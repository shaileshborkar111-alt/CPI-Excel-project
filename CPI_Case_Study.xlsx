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3" activeTab="10"/>
  </bookViews>
  <sheets>
    <sheet name="README" sheetId="1" r:id="rId1"/>
    <sheet name="Data" sheetId="2" r:id="rId2"/>
    <sheet name="RU_Raw" sheetId="3" r:id="rId3"/>
    <sheet name="RU_Clean" sheetId="4" r:id="rId4"/>
    <sheet name="MoM" sheetId="5" r:id="rId5"/>
    <sheet name="YoY" sheetId="6" r:id="rId6"/>
    <sheet name="Q1" sheetId="7" r:id="rId7"/>
    <sheet name="Q2" sheetId="8" r:id="rId8"/>
    <sheet name="Q3" sheetId="9" r:id="rId9"/>
    <sheet name="Q4" sheetId="10" r:id="rId10"/>
    <sheet name="Q5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<sst xmlns="http://schemas.openxmlformats.org/spreadsheetml/2006/main" count="1258" uniqueCount="171">
  <si>
    <t>India CPI Inflation Case Study - Excel workbook</t>
  </si>
  <si>
    <t>Sheets</t>
  </si>
  <si>
    <t>Data: raw CSV (month labels fixed, NA left blank).</t>
  </si>
  <si>
    <t>RU_Raw -&gt; RU_Clean: Rural+Urban rows laid out Jan-2013..May-2023; missing values imputed in RU_Clean.</t>
  </si>
  <si>
    <t>MoM / YoY: month-on-month and year-on-year % change for every category.</t>
  </si>
  <si>
    <t>Q1..Q5: one sheet per question. Green cells = answers. Every number is a formula.</t>
  </si>
  <si>
    <t>Colour code</t>
  </si>
  <si>
    <t>Blue text on yellow = input you can change. Green text = pulled from another sheet. Black = calculation.</t>
  </si>
  <si>
    <t>Data cleaning log</t>
  </si>
  <si>
    <t>1) Month typo "Marcrh" (Rural+Urban, 2014) corrected to March; "November " trailing space removed.</t>
  </si>
  <si>
    <t>2) April 2019 is absent from the file for all sectors -&gt; added as a blank row and imputed (average of Mar and May).</t>
  </si>
  <si>
    <t>3) April and May 2020 have NA values (lockdown) -&gt; imputed with straight-line interpolation.</t>
  </si>
  <si>
    <t>4) Housing has "-" / NA for Rural in almost all months (text "-" converted to blank), so the Rural+Urban sector is used throughout.</t>
  </si>
  <si>
    <t>5) The problem statement mentions November 2023, but the data ends May 2023, so May 2023 is the latest month.</t>
  </si>
  <si>
    <t>Assumptions</t>
  </si>
  <si>
    <t>Equal weights across categories (as stated). Aggregates (Food and beverages, Clothing and footwear, General index) excluded from Q1 buckets.</t>
  </si>
  <si>
    <t>Q2 default start month = January; change Q2!B3 to test other months.</t>
  </si>
  <si>
    <t>Q5 needs monthly Indian Basket crude prices (PPAC, ppac.gov.in). Six verified monthly points are pre-filled; fill the rest to see correlations.</t>
  </si>
  <si>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</si>
  <si>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</si>
  <si>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</si>
  <si>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</si>
  <si>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</si>
  <si>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</si>
  <si>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</si>
  <si>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</si>
  <si>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</si>
  <si>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</si>
  <si>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</si>
  <si>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</si>
  <si>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</si>
  <si>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</si>
  <si>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</si>
  <si>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</si>
  <si>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</si>
  <si>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</si>
  <si>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</si>
  <si>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</si>
  <si>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</si>
  <si>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</si>
  <si>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</si>
  <si>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</si>
  <si>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</si>
  <si>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</si>
  <si>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</si>
  <si>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</si>
  <si>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</si>
  <si>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</si>
  <si>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Key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</si>
  <si>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</si>
  <si>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</si>
  <si>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</si>
  <si>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</si>
  <si>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</si>
  <si>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</si>
  <si>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</si>
  <si>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</si>
  <si>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</si>
  <si>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</si>
  <si>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</si>
  <si>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</si>
  <si>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</si>
  <si>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</si>
  <si>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</si>
  <si>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Rural+Urban index - raw (lookup from Data, NA stays blank)</t>
  </si>
  <si>
    <t>Row = every month Jan-2013..May-2023. Blank = value missing in source file.</t>
  </si>
  <si>
    <t>MonthNo</t>
  </si>
  <si>
    <t>Date</t>
  </si>
  <si>
    <t>Data row</t>
  </si>
  <si>
    <t>Rural+Urban index - cleaned (missing values imputed)</t>
  </si>
  <si>
    <t>Imputation: 1 missing month = average of previous &amp; next month; 2 missing months = straight-line (linear) between neighbours. Last column = equal-weight Food bucket.</t>
  </si>
  <si>
    <t># imputed in row</t>
  </si>
  <si>
    <t>Flag</t>
  </si>
  <si>
    <t>Food bucket (sum of 12 food items)</t>
  </si>
  <si>
    <t>Month-on-month inflation % (Rural+Urban)</t>
  </si>
  <si>
    <t>Formula: (current - earlier) / earlier x 100, from RU_Clean</t>
  </si>
  <si>
    <t>Year-on-year inflation % (Rural+Urban)</t>
  </si>
  <si>
    <t>Q1 - Contribution of broader categories to the CPI basket (latest month)</t>
  </si>
  <si>
    <t>Rural+Urban sector, equal weights. Contribution = bucket index sum / total of all buckets. Aggregate columns (Food and beverages, Clothing and footwear, General index) are excluded to avoid double counting.</t>
  </si>
  <si>
    <t>Latest month in data</t>
  </si>
  <si>
    <t>Row of latest month</t>
  </si>
  <si>
    <t>Sub-category</t>
  </si>
  <si>
    <t>Broader bucket (editable)</t>
  </si>
  <si>
    <t>Index (latest month)</t>
  </si>
  <si>
    <t>Broader category</t>
  </si>
  <si>
    <t>Sum of index</t>
  </si>
  <si>
    <t>Contribution %</t>
  </si>
  <si>
    <t>Rank</t>
  </si>
  <si>
    <t>Food &amp; Beverages</t>
  </si>
  <si>
    <t>Clothing &amp; Footwear</t>
  </si>
  <si>
    <t>Energy (Fuel &amp; Light)</t>
  </si>
  <si>
    <t>Transport &amp; Communication</t>
  </si>
  <si>
    <t>Other</t>
  </si>
  <si>
    <t>Total</t>
  </si>
  <si>
    <t>ANSWER: highest contribution</t>
  </si>
  <si>
    <t>Note: Food has 12 sub-items, so under equal weights it naturally carries the largest share.</t>
  </si>
  <si>
    <t>Q2 - Year-on-year inflation, General index (Rural+Urban), from 2017</t>
  </si>
  <si>
    <t>Annual inflation = (CPI at end - CPI at start) / CPI at start x 100. Start month is selectable (1 = January ... 12 = December).</t>
  </si>
  <si>
    <t>Start month (1-12)</t>
  </si>
  <si>
    <t>&lt;- change this to test other start months (blank rows = end month not in data)</t>
  </si>
  <si>
    <t>Year (start)</t>
  </si>
  <si>
    <t>Start date</t>
  </si>
  <si>
    <t>End date</t>
  </si>
  <si>
    <t>CPI at start</t>
  </si>
  <si>
    <t>CPI at end</t>
  </si>
  <si>
    <t>Inflation %</t>
  </si>
  <si>
    <t>ANSWER: year with highest inflation</t>
  </si>
  <si>
    <t>Highest rate (%)</t>
  </si>
  <si>
    <t>Period measured</t>
  </si>
  <si>
    <t>Reason (research, valid for the default January start): the year measured Jan-2019 to Jan-2020 ended with a surge in food prices. Retail inflation hit a ~5.5-year high of 7.35% in Dec-2019 (NSO release, 13 Jan 2020), driven mainly by vegetables (+60.5% y-o-y) and costlier onions after unseasonal weather; pulses (+15.4%) and meat/fish (~+10%) also rose, and overall food inflation reached 14.1%. Sources: PTI/Business Standard, 13 Jan 2020; The Wire, 14 Jan 2020. Note: 2022 is the runner-up (Russia-Ukraine war, edible oil and wheat prices). 2023 is excluded because only 5 months are in the data.</t>
  </si>
  <si>
    <t>Q3 - Food inflation, 12 months ending May-2023 (Rural+Urban)</t>
  </si>
  <si>
    <t>Food bucket = sum of the 12 food sub-category indices (equal weights, same as Q1). MoM % is identical whether you use the sum or the average.</t>
  </si>
  <si>
    <t>End month</t>
  </si>
  <si>
    <t>Food bucket index</t>
  </si>
  <si>
    <t>MoM % (food bucket)</t>
  </si>
  <si>
    <t>Official 'Food and beverages' index</t>
  </si>
  <si>
    <t>MoM % (official)</t>
  </si>
  <si>
    <t>ANSWERS (food bucket)</t>
  </si>
  <si>
    <t>Highest MoM food inflation</t>
  </si>
  <si>
    <t>Lowest MoM food inflation</t>
  </si>
  <si>
    <t>Total change over 12 months (%)</t>
  </si>
  <si>
    <t>Absolute change by food sub-category (start month = 12 months before end month)</t>
  </si>
  <si>
    <t>Food sub-category</t>
  </si>
  <si>
    <t>Index at start</t>
  </si>
  <si>
    <t>Index at end</t>
  </si>
  <si>
    <t>Absolute change (points)</t>
  </si>
  <si>
    <t>% change</t>
  </si>
  <si>
    <t>Share of total food change</t>
  </si>
  <si>
    <t>Total (food bucket)</t>
  </si>
  <si>
    <t>ANSWER: biggest contributor (absolute change)</t>
  </si>
  <si>
    <t>Highest % change</t>
  </si>
  <si>
    <t>Q4 - COVID-19 impact: inflation before vs after March 2020 (Rural+Urban)</t>
  </si>
  <si>
    <t>Average monthly (MoM) and yearly (YoY) inflation in the window before the onset vs the window starting at the onset month.</t>
  </si>
  <si>
    <t>Onset month</t>
  </si>
  <si>
    <t>Window length (months)</t>
  </si>
  <si>
    <t>Before window: from</t>
  </si>
  <si>
    <t>Note: Apr-May 2020 values are missing in the source (lockdown) and are imputed in RU_Clean.</t>
  </si>
  <si>
    <t>Before window: to</t>
  </si>
  <si>
    <t>After window: from</t>
  </si>
  <si>
    <t>After window: to</t>
  </si>
  <si>
    <t>Category</t>
  </si>
  <si>
    <t>Avg MoM % before</t>
  </si>
  <si>
    <t>Avg MoM % after</t>
  </si>
  <si>
    <t>Change in avg MoM (pp)</t>
  </si>
  <si>
    <t>Avg YoY % before</t>
  </si>
  <si>
    <t>Avg YoY % after</t>
  </si>
  <si>
    <t>Change in avg YoY (pp)</t>
  </si>
  <si>
    <t>ANSWER: biggest rise in avg MoM after onset</t>
  </si>
  <si>
    <t>Biggest fall in avg MoM after onset</t>
  </si>
  <si>
    <t>Monthly YoY % trend (for chart)</t>
  </si>
  <si>
    <t>General index YoY %</t>
  </si>
  <si>
    <t>Food bucket YoY %</t>
  </si>
  <si>
    <t>Health YoY %</t>
  </si>
  <si>
    <t>Q5 - Imported crude oil price vs inflation (Dec-2020 base, Jan-2021 to May-2023, month-on-month)</t>
  </si>
  <si>
    <t>Oil price data is NOT in the CSV. Paste monthly Indian Basket crude price ($/bbl, PPAC) into the yellow column B. Correlation appears once 12+ monthly changes are available.</t>
  </si>
  <si>
    <t>ANSWER: category most correlated (|r| max)</t>
  </si>
  <si>
    <t>Valid oil MoM data points</t>
  </si>
  <si>
    <t>Correlation with oil MoM %</t>
  </si>
  <si>
    <t>Oil price ($/bbl) - INPUT</t>
  </si>
  <si>
    <t>Source / note</t>
  </si>
  <si>
    <t>Oil MoM %</t>
  </si>
  <si>
    <t>PPAC snapshot Apr-2022 (Indian basket, Apr-2021)</t>
  </si>
  <si>
    <t>PPAC snapshot Apr-2022 (Mar-2022)</t>
  </si>
  <si>
    <t>PPAC snapshot Apr-2022</t>
  </si>
  <si>
    <t>PPAC via Livemint (May-2022)</t>
  </si>
  <si>
    <t>PPAC via Livemint (Apr-2023)</t>
  </si>
  <si>
    <t>PPAC via Livemint (May-2023)</t>
  </si>
  <si>
    <t>Ranking of categories by correlation with oil</t>
  </si>
  <si>
    <t>#</t>
  </si>
  <si>
    <t>Correlation</t>
  </si>
  <si>
    <t>|Correlation|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</si>
</sst>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mmm/yy"/>
    <numFmt numFmtId="181" formatCode="mmm/yyyy"/>
    <numFmt numFmtId="182" formatCode="0.0"/>
    <numFmt numFmtId="183" formatCode="0.0%"/>
  </numFmts>
  <fonts count="29">
    <font>
      <sz val="11"/>
      <color theme="1"/>
      <name val="Calibri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Border="0" applyAlignment="0" applyProtection="0"/>
    <xf numFmtId="177" fontId="8" fillId="0" borderId="0" applyBorder="0" applyAlignment="0" applyProtection="0"/>
    <xf numFmtId="9" fontId="8" fillId="0" borderId="0" applyBorder="0" applyAlignment="0" applyProtection="0"/>
    <xf numFmtId="178" fontId="8" fillId="0" borderId="0" applyBorder="0" applyAlignment="0" applyProtection="0"/>
    <xf numFmtId="179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2" fontId="3" fillId="2" borderId="0" xfId="0" applyNumberFormat="1" applyFont="1" applyFill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180" fontId="4" fillId="0" borderId="0" xfId="0" applyNumberFormat="1" applyFont="1"/>
    <xf numFmtId="2" fontId="6" fillId="4" borderId="0" xfId="0" applyNumberFormat="1" applyFont="1" applyFill="1"/>
    <xf numFmtId="2" fontId="7" fillId="0" borderId="0" xfId="0" applyNumberFormat="1" applyFont="1"/>
    <xf numFmtId="2" fontId="4" fillId="0" borderId="0" xfId="0" applyNumberFormat="1" applyFont="1"/>
    <xf numFmtId="181" fontId="6" fillId="4" borderId="0" xfId="0" applyNumberFormat="1" applyFont="1" applyFill="1"/>
    <xf numFmtId="0" fontId="6" fillId="4" borderId="0" xfId="0" applyFont="1" applyFill="1"/>
    <xf numFmtId="180" fontId="6" fillId="0" borderId="0" xfId="0" applyNumberFormat="1" applyFont="1"/>
    <xf numFmtId="182" fontId="7" fillId="0" borderId="0" xfId="0" applyNumberFormat="1" applyFont="1"/>
    <xf numFmtId="0" fontId="4" fillId="2" borderId="0" xfId="0" applyFont="1" applyFill="1"/>
    <xf numFmtId="2" fontId="4" fillId="2" borderId="0" xfId="0" applyNumberFormat="1" applyFont="1" applyFill="1"/>
    <xf numFmtId="182" fontId="4" fillId="0" borderId="0" xfId="0" applyNumberFormat="1" applyFont="1"/>
    <xf numFmtId="183" fontId="4" fillId="0" borderId="0" xfId="0" applyNumberFormat="1" applyFont="1"/>
    <xf numFmtId="182" fontId="3" fillId="0" borderId="0" xfId="0" applyNumberFormat="1" applyFont="1"/>
    <xf numFmtId="183" fontId="3" fillId="0" borderId="0" xfId="0" applyNumberFormat="1" applyFont="1"/>
    <xf numFmtId="182" fontId="3" fillId="2" borderId="0" xfId="0" applyNumberFormat="1" applyFont="1" applyFill="1"/>
    <xf numFmtId="1" fontId="6" fillId="0" borderId="0" xfId="0" applyNumberFormat="1" applyFont="1"/>
    <xf numFmtId="1" fontId="4" fillId="0" borderId="0" xfId="0" applyNumberFormat="1" applyFont="1"/>
    <xf numFmtId="1" fontId="3" fillId="2" borderId="0" xfId="0" applyNumberFormat="1" applyFont="1" applyFill="1"/>
    <xf numFmtId="0" fontId="4" fillId="0" borderId="0" xfId="0" applyFont="1" applyBorder="1" applyAlignment="1">
      <alignment vertical="top" wrapText="1"/>
    </xf>
    <xf numFmtId="181" fontId="4" fillId="0" borderId="0" xfId="0" applyNumberFormat="1" applyFont="1"/>
    <xf numFmtId="183" fontId="3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9D3E3B"/>
      <rgbColor rgb="00FFF2CC"/>
      <rgbColor rgb="00F9F9F9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D4A5A4"/>
      <rgbColor rgb="00CC99FF"/>
      <rgbColor rgb="00FFCC99"/>
      <rgbColor rgb="004F81BD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BE4B48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Contribution to CPI basket (%)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'Q1'!$G$8</c:f>
              <c:strCache>
                <c:ptCount val="1"/>
                <c:pt idx="0">
                  <c:v>Contribution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'Q1'!$E$9:$E$16</c:f>
              <c:strCache>
                <c:ptCount val="8"/>
                <c:pt idx="0">
                  <c:v>Food &amp; Beverages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Energy (Fuel &amp; Light)</c:v>
                </c:pt>
                <c:pt idx="4">
                  <c:v>Health</c:v>
                </c:pt>
                <c:pt idx="5">
                  <c:v>Education</c:v>
                </c:pt>
                <c:pt idx="6">
                  <c:v>Transport &amp; Communication</c:v>
                </c:pt>
                <c:pt idx="7">
                  <c:v>Other</c:v>
                </c:pt>
              </c:strCache>
            </c:strRef>
          </c:cat>
          <c:val>
            <c:numRef>
              <c:f>'Q1'!$G$9:$G$16</c:f>
              <c:numCache>
                <c:formatCode>0.0%</c:formatCode>
                <c:ptCount val="8"/>
                <c:pt idx="0">
                  <c:v>0.496094751812735</c:v>
                </c:pt>
                <c:pt idx="1">
                  <c:v>0.0855657364015761</c:v>
                </c:pt>
                <c:pt idx="2">
                  <c:v>0.0409409899512718</c:v>
                </c:pt>
                <c:pt idx="3">
                  <c:v>0.0426196637989322</c:v>
                </c:pt>
                <c:pt idx="4">
                  <c:v>0.0432957963209065</c:v>
                </c:pt>
                <c:pt idx="5">
                  <c:v>0.0412907136695344</c:v>
                </c:pt>
                <c:pt idx="6">
                  <c:v>0.0384229791797813</c:v>
                </c:pt>
                <c:pt idx="7">
                  <c:v>0.211769368865263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3484590"/>
        <c:axId val="84194156"/>
      </c:barChart>
      <c:catAx>
        <c:axId val="834845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4194156"/>
        <c:crosses val="autoZero"/>
        <c:auto val="1"/>
        <c:lblAlgn val="ctr"/>
        <c:lblOffset val="100"/>
        <c:noMultiLvlLbl val="0"/>
      </c:catAx>
      <c:valAx>
        <c:axId val="84194156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3484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450e55f-efa5-40bc-b755-013ca7d1b04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Y-o-Y inflation % (General index)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'Q2'!$F$7</c:f>
              <c:strCache>
                <c:ptCount val="1"/>
                <c:pt idx="0">
                  <c:v>Inflation %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'Q2'!$A$8:$A$13</c:f>
              <c:numCache>
                <c:formatCode>0</c:formatCode>
                <c:ptCount val="6"/>
                <c:pt idx="0" c:formatCode="0">
                  <c:v>2017</c:v>
                </c:pt>
                <c:pt idx="1" c:formatCode="0">
                  <c:v>2018</c:v>
                </c:pt>
                <c:pt idx="2" c:formatCode="0">
                  <c:v>2019</c:v>
                </c:pt>
                <c:pt idx="3" c:formatCode="0">
                  <c:v>2020</c:v>
                </c:pt>
                <c:pt idx="4" c:formatCode="0">
                  <c:v>2021</c:v>
                </c:pt>
                <c:pt idx="5" c:formatCode="0">
                  <c:v>2022</c:v>
                </c:pt>
              </c:numCache>
            </c:numRef>
          </c:cat>
          <c:val>
            <c:numRef>
              <c:f>'Q2'!$F$8:$F$13</c:f>
              <c:numCache>
                <c:formatCode>0.00</c:formatCode>
                <c:ptCount val="6"/>
                <c:pt idx="0">
                  <c:v>5.06523407521105</c:v>
                </c:pt>
                <c:pt idx="1">
                  <c:v>1.97224251278304</c:v>
                </c:pt>
                <c:pt idx="2">
                  <c:v>7.59312320916905</c:v>
                </c:pt>
                <c:pt idx="3">
                  <c:v>4.72703062583224</c:v>
                </c:pt>
                <c:pt idx="4">
                  <c:v>5.34011443102351</c:v>
                </c:pt>
                <c:pt idx="5">
                  <c:v>6.51780325890164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66464650"/>
        <c:axId val="55582725"/>
      </c:lineChart>
      <c:catAx>
        <c:axId val="6646465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5582725"/>
        <c:crosses val="autoZero"/>
        <c:auto val="1"/>
        <c:lblAlgn val="ctr"/>
        <c:lblOffset val="100"/>
        <c:noMultiLvlLbl val="0"/>
      </c:catAx>
      <c:valAx>
        <c:axId val="5558272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6464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00282ebe-1bd5-4391-b00b-7a071c9a544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Food bucket MoM % (Jun-22 to May-23)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'Q3'!$C$6</c:f>
              <c:strCache>
                <c:ptCount val="1"/>
                <c:pt idx="0">
                  <c:v>MoM % (food bucket)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'Q3'!$A$8:$A$19</c:f>
              <c:numCache>
                <c:formatCode>mmm/yy</c:formatCode>
                <c:ptCount val="12"/>
                <c:pt idx="0" c:formatCode="mmm/yy">
                  <c:v>44713</c:v>
                </c:pt>
                <c:pt idx="1" c:formatCode="mmm/yy">
                  <c:v>44743</c:v>
                </c:pt>
                <c:pt idx="2" c:formatCode="mmm/yy">
                  <c:v>44774</c:v>
                </c:pt>
                <c:pt idx="3" c:formatCode="mmm/yy">
                  <c:v>44805</c:v>
                </c:pt>
                <c:pt idx="4" c:formatCode="mmm/yy">
                  <c:v>44835</c:v>
                </c:pt>
                <c:pt idx="5" c:formatCode="mmm/yy">
                  <c:v>44866</c:v>
                </c:pt>
                <c:pt idx="6" c:formatCode="mmm/yy">
                  <c:v>44896</c:v>
                </c:pt>
                <c:pt idx="7" c:formatCode="mmm/yy">
                  <c:v>44927</c:v>
                </c:pt>
                <c:pt idx="8" c:formatCode="mmm/yy">
                  <c:v>44958</c:v>
                </c:pt>
                <c:pt idx="9" c:formatCode="mmm/yy">
                  <c:v>44986</c:v>
                </c:pt>
                <c:pt idx="10" c:formatCode="mmm/yy">
                  <c:v>45017</c:v>
                </c:pt>
                <c:pt idx="11" c:formatCode="mmm/yy">
                  <c:v>45047</c:v>
                </c:pt>
              </c:numCache>
            </c:numRef>
          </c:cat>
          <c:val>
            <c:numRef>
              <c:f>'Q3'!$C$7:$C$19</c:f>
              <c:numCache>
                <c:formatCode>General</c:formatCode>
                <c:ptCount val="13"/>
                <c:pt idx="1" c:formatCode="0.00">
                  <c:v>1.03601859024011</c:v>
                </c:pt>
                <c:pt idx="2" c:formatCode="0.00">
                  <c:v>0.206037374221379</c:v>
                </c:pt>
                <c:pt idx="3" c:formatCode="0.00">
                  <c:v>0.0765074355663898</c:v>
                </c:pt>
                <c:pt idx="4" c:formatCode="0.00">
                  <c:v>0.487362033541967</c:v>
                </c:pt>
                <c:pt idx="5" c:formatCode="0.00">
                  <c:v>0.694213304170052</c:v>
                </c:pt>
                <c:pt idx="6" c:formatCode="0.00">
                  <c:v>0.037776833356931</c:v>
                </c:pt>
                <c:pt idx="7" c:formatCode="0.00">
                  <c:v>-0.519235308000944</c:v>
                </c:pt>
                <c:pt idx="8" c:formatCode="0.00">
                  <c:v>0.403321470937129</c:v>
                </c:pt>
                <c:pt idx="9" c:formatCode="0.00">
                  <c:v>-0.656899810964087</c:v>
                </c:pt>
                <c:pt idx="10" c:formatCode="0.00">
                  <c:v>0.00475714761428615</c:v>
                </c:pt>
                <c:pt idx="11" c:formatCode="0.00">
                  <c:v>0.451907525449551</c:v>
                </c:pt>
                <c:pt idx="12" c:formatCode="0.00">
                  <c:v>0.762418904200403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371438"/>
        <c:axId val="47276172"/>
      </c:barChart>
      <c:dateAx>
        <c:axId val="6371438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7276172"/>
        <c:crosses val="autoZero"/>
        <c:auto val="1"/>
        <c:lblOffset val="100"/>
        <c:baseTimeUnit val="months"/>
      </c:dateAx>
      <c:valAx>
        <c:axId val="4727617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371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84c890d-7410-4ff1-834b-8ba3a547d11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YoY inflation %, 2019-2021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'Q4'!$B$28</c:f>
              <c:strCache>
                <c:ptCount val="1"/>
                <c:pt idx="0">
                  <c:v>General index YoY %</c:v>
                </c:pt>
              </c:strCache>
            </c:strRef>
          </c:tx>
          <c:spPr>
            <a:ln w="47520" cap="rnd" cmpd="sng" algn="ctr">
              <a:solidFill>
                <a:srgbClr val="9D3E3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'Q4'!$A$29:$A$64</c:f>
              <c:numCache>
                <c:formatCode>mmm/yy</c:formatCode>
                <c:ptCount val="36"/>
                <c:pt idx="0" c:formatCode="mmm/yy">
                  <c:v>43466</c:v>
                </c:pt>
                <c:pt idx="1" c:formatCode="mmm/yy">
                  <c:v>43497</c:v>
                </c:pt>
                <c:pt idx="2" c:formatCode="mmm/yy">
                  <c:v>43525</c:v>
                </c:pt>
                <c:pt idx="3" c:formatCode="mmm/yy">
                  <c:v>43556</c:v>
                </c:pt>
                <c:pt idx="4" c:formatCode="mmm/yy">
                  <c:v>43586</c:v>
                </c:pt>
                <c:pt idx="5" c:formatCode="mmm/yy">
                  <c:v>43617</c:v>
                </c:pt>
                <c:pt idx="6" c:formatCode="mmm/yy">
                  <c:v>43647</c:v>
                </c:pt>
                <c:pt idx="7" c:formatCode="mmm/yy">
                  <c:v>43678</c:v>
                </c:pt>
                <c:pt idx="8" c:formatCode="mmm/yy">
                  <c:v>43709</c:v>
                </c:pt>
                <c:pt idx="9" c:formatCode="mmm/yy">
                  <c:v>43739</c:v>
                </c:pt>
                <c:pt idx="10" c:formatCode="mmm/yy">
                  <c:v>43770</c:v>
                </c:pt>
                <c:pt idx="11" c:formatCode="mmm/yy">
                  <c:v>43800</c:v>
                </c:pt>
                <c:pt idx="12" c:formatCode="mmm/yy">
                  <c:v>43831</c:v>
                </c:pt>
                <c:pt idx="13" c:formatCode="mmm/yy">
                  <c:v>43862</c:v>
                </c:pt>
                <c:pt idx="14" c:formatCode="mmm/yy">
                  <c:v>43891</c:v>
                </c:pt>
                <c:pt idx="15" c:formatCode="mmm/yy">
                  <c:v>43922</c:v>
                </c:pt>
                <c:pt idx="16" c:formatCode="mmm/yy">
                  <c:v>43952</c:v>
                </c:pt>
                <c:pt idx="17" c:formatCode="mmm/yy">
                  <c:v>43983</c:v>
                </c:pt>
                <c:pt idx="18" c:formatCode="mmm/yy">
                  <c:v>44013</c:v>
                </c:pt>
                <c:pt idx="19" c:formatCode="mmm/yy">
                  <c:v>44044</c:v>
                </c:pt>
                <c:pt idx="20" c:formatCode="mmm/yy">
                  <c:v>44075</c:v>
                </c:pt>
                <c:pt idx="21" c:formatCode="mmm/yy">
                  <c:v>44105</c:v>
                </c:pt>
                <c:pt idx="22" c:formatCode="mmm/yy">
                  <c:v>44136</c:v>
                </c:pt>
                <c:pt idx="23" c:formatCode="mmm/yy">
                  <c:v>44166</c:v>
                </c:pt>
                <c:pt idx="24" c:formatCode="mmm/yy">
                  <c:v>44197</c:v>
                </c:pt>
                <c:pt idx="25" c:formatCode="mmm/yy">
                  <c:v>44228</c:v>
                </c:pt>
                <c:pt idx="26" c:formatCode="mmm/yy">
                  <c:v>44256</c:v>
                </c:pt>
                <c:pt idx="27" c:formatCode="mmm/yy">
                  <c:v>44287</c:v>
                </c:pt>
                <c:pt idx="28" c:formatCode="mmm/yy">
                  <c:v>44317</c:v>
                </c:pt>
                <c:pt idx="29" c:formatCode="mmm/yy">
                  <c:v>44348</c:v>
                </c:pt>
                <c:pt idx="30" c:formatCode="mmm/yy">
                  <c:v>44378</c:v>
                </c:pt>
                <c:pt idx="31" c:formatCode="mmm/yy">
                  <c:v>44409</c:v>
                </c:pt>
                <c:pt idx="32" c:formatCode="mmm/yy">
                  <c:v>44440</c:v>
                </c:pt>
                <c:pt idx="33" c:formatCode="mmm/yy">
                  <c:v>44470</c:v>
                </c:pt>
                <c:pt idx="34" c:formatCode="mmm/yy">
                  <c:v>44501</c:v>
                </c:pt>
                <c:pt idx="35" c:formatCode="mmm/yy">
                  <c:v>44531</c:v>
                </c:pt>
              </c:numCache>
            </c:numRef>
          </c:cat>
          <c:val>
            <c:numRef>
              <c:f>'Q4'!$B$29:$B$64</c:f>
              <c:numCache>
                <c:formatCode>0.00</c:formatCode>
                <c:ptCount val="36"/>
                <c:pt idx="0">
                  <c:v>1.97224251278304</c:v>
                </c:pt>
                <c:pt idx="1">
                  <c:v>2.56598240469208</c:v>
                </c:pt>
                <c:pt idx="2">
                  <c:v>2.85714285714286</c:v>
                </c:pt>
                <c:pt idx="3">
                  <c:v>2.99051787016776</c:v>
                </c:pt>
                <c:pt idx="4">
                  <c:v>3.04789550072568</c:v>
                </c:pt>
                <c:pt idx="5">
                  <c:v>3.17689530685921</c:v>
                </c:pt>
                <c:pt idx="6">
                  <c:v>3.14735336194562</c:v>
                </c:pt>
                <c:pt idx="7">
                  <c:v>3.27635327635327</c:v>
                </c:pt>
                <c:pt idx="8">
                  <c:v>3.99429386590586</c:v>
                </c:pt>
                <c:pt idx="9">
                  <c:v>4.54545454545453</c:v>
                </c:pt>
                <c:pt idx="10">
                  <c:v>5.53977272727272</c:v>
                </c:pt>
                <c:pt idx="11">
                  <c:v>7.3518915060671</c:v>
                </c:pt>
                <c:pt idx="12">
                  <c:v>7.59312320916905</c:v>
                </c:pt>
                <c:pt idx="13">
                  <c:v>6.57612580414581</c:v>
                </c:pt>
                <c:pt idx="14">
                  <c:v>5.84045584045583</c:v>
                </c:pt>
                <c:pt idx="15">
                  <c:v>5.99622285174693</c:v>
                </c:pt>
                <c:pt idx="16">
                  <c:v>6.15023474178405</c:v>
                </c:pt>
                <c:pt idx="17">
                  <c:v>6.22813156053184</c:v>
                </c:pt>
                <c:pt idx="18">
                  <c:v>5.27045769764218</c:v>
                </c:pt>
                <c:pt idx="19">
                  <c:v>6.13793103448276</c:v>
                </c:pt>
                <c:pt idx="20">
                  <c:v>6.10425240054868</c:v>
                </c:pt>
                <c:pt idx="21">
                  <c:v>6.25000000000001</c:v>
                </c:pt>
                <c:pt idx="22">
                  <c:v>6.59488559892329</c:v>
                </c:pt>
                <c:pt idx="23">
                  <c:v>5.65159574468085</c:v>
                </c:pt>
                <c:pt idx="24">
                  <c:v>4.72703062583224</c:v>
                </c:pt>
                <c:pt idx="25">
                  <c:v>5.03018108651912</c:v>
                </c:pt>
                <c:pt idx="26">
                  <c:v>5.51816958277256</c:v>
                </c:pt>
                <c:pt idx="27">
                  <c:v>5.43429844097997</c:v>
                </c:pt>
                <c:pt idx="28">
                  <c:v>6.41309155241043</c:v>
                </c:pt>
                <c:pt idx="29">
                  <c:v>6.25823451910408</c:v>
                </c:pt>
                <c:pt idx="30">
                  <c:v>7.04874835309617</c:v>
                </c:pt>
                <c:pt idx="31">
                  <c:v>6.0428849902534</c:v>
                </c:pt>
                <c:pt idx="32">
                  <c:v>5.4945054945055</c:v>
                </c:pt>
                <c:pt idx="33">
                  <c:v>5.81841432225064</c:v>
                </c:pt>
                <c:pt idx="34">
                  <c:v>5.23989898989898</c:v>
                </c:pt>
                <c:pt idx="35">
                  <c:v>4.59408432976714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'Q4'!$C$28</c:f>
              <c:strCache>
                <c:ptCount val="1"/>
                <c:pt idx="0">
                  <c:v>Food bucket YoY %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'Q4'!$A$29:$A$64</c:f>
              <c:numCache>
                <c:formatCode>mmm/yy</c:formatCode>
                <c:ptCount val="36"/>
                <c:pt idx="0" c:formatCode="mmm/yy">
                  <c:v>43466</c:v>
                </c:pt>
                <c:pt idx="1" c:formatCode="mmm/yy">
                  <c:v>43497</c:v>
                </c:pt>
                <c:pt idx="2" c:formatCode="mmm/yy">
                  <c:v>43525</c:v>
                </c:pt>
                <c:pt idx="3" c:formatCode="mmm/yy">
                  <c:v>43556</c:v>
                </c:pt>
                <c:pt idx="4" c:formatCode="mmm/yy">
                  <c:v>43586</c:v>
                </c:pt>
                <c:pt idx="5" c:formatCode="mmm/yy">
                  <c:v>43617</c:v>
                </c:pt>
                <c:pt idx="6" c:formatCode="mmm/yy">
                  <c:v>43647</c:v>
                </c:pt>
                <c:pt idx="7" c:formatCode="mmm/yy">
                  <c:v>43678</c:v>
                </c:pt>
                <c:pt idx="8" c:formatCode="mmm/yy">
                  <c:v>43709</c:v>
                </c:pt>
                <c:pt idx="9" c:formatCode="mmm/yy">
                  <c:v>43739</c:v>
                </c:pt>
                <c:pt idx="10" c:formatCode="mmm/yy">
                  <c:v>43770</c:v>
                </c:pt>
                <c:pt idx="11" c:formatCode="mmm/yy">
                  <c:v>43800</c:v>
                </c:pt>
                <c:pt idx="12" c:formatCode="mmm/yy">
                  <c:v>43831</c:v>
                </c:pt>
                <c:pt idx="13" c:formatCode="mmm/yy">
                  <c:v>43862</c:v>
                </c:pt>
                <c:pt idx="14" c:formatCode="mmm/yy">
                  <c:v>43891</c:v>
                </c:pt>
                <c:pt idx="15" c:formatCode="mmm/yy">
                  <c:v>43922</c:v>
                </c:pt>
                <c:pt idx="16" c:formatCode="mmm/yy">
                  <c:v>43952</c:v>
                </c:pt>
                <c:pt idx="17" c:formatCode="mmm/yy">
                  <c:v>43983</c:v>
                </c:pt>
                <c:pt idx="18" c:formatCode="mmm/yy">
                  <c:v>44013</c:v>
                </c:pt>
                <c:pt idx="19" c:formatCode="mmm/yy">
                  <c:v>44044</c:v>
                </c:pt>
                <c:pt idx="20" c:formatCode="mmm/yy">
                  <c:v>44075</c:v>
                </c:pt>
                <c:pt idx="21" c:formatCode="mmm/yy">
                  <c:v>44105</c:v>
                </c:pt>
                <c:pt idx="22" c:formatCode="mmm/yy">
                  <c:v>44136</c:v>
                </c:pt>
                <c:pt idx="23" c:formatCode="mmm/yy">
                  <c:v>44166</c:v>
                </c:pt>
                <c:pt idx="24" c:formatCode="mmm/yy">
                  <c:v>44197</c:v>
                </c:pt>
                <c:pt idx="25" c:formatCode="mmm/yy">
                  <c:v>44228</c:v>
                </c:pt>
                <c:pt idx="26" c:formatCode="mmm/yy">
                  <c:v>44256</c:v>
                </c:pt>
                <c:pt idx="27" c:formatCode="mmm/yy">
                  <c:v>44287</c:v>
                </c:pt>
                <c:pt idx="28" c:formatCode="mmm/yy">
                  <c:v>44317</c:v>
                </c:pt>
                <c:pt idx="29" c:formatCode="mmm/yy">
                  <c:v>44348</c:v>
                </c:pt>
                <c:pt idx="30" c:formatCode="mmm/yy">
                  <c:v>44378</c:v>
                </c:pt>
                <c:pt idx="31" c:formatCode="mmm/yy">
                  <c:v>44409</c:v>
                </c:pt>
                <c:pt idx="32" c:formatCode="mmm/yy">
                  <c:v>44440</c:v>
                </c:pt>
                <c:pt idx="33" c:formatCode="mmm/yy">
                  <c:v>44470</c:v>
                </c:pt>
                <c:pt idx="34" c:formatCode="mmm/yy">
                  <c:v>44501</c:v>
                </c:pt>
                <c:pt idx="35" c:formatCode="mmm/yy">
                  <c:v>44531</c:v>
                </c:pt>
              </c:numCache>
            </c:numRef>
          </c:cat>
          <c:val>
            <c:numRef>
              <c:f>'Q4'!$C$29:$C$64</c:f>
              <c:numCache>
                <c:formatCode>0.00</c:formatCode>
                <c:ptCount val="36"/>
                <c:pt idx="0">
                  <c:v>-1.50545498872434</c:v>
                </c:pt>
                <c:pt idx="1">
                  <c:v>-0.197190041902873</c:v>
                </c:pt>
                <c:pt idx="2">
                  <c:v>0.37064492216458</c:v>
                </c:pt>
                <c:pt idx="3">
                  <c:v>1.12990861941218</c:v>
                </c:pt>
                <c:pt idx="4">
                  <c:v>1.80674600727633</c:v>
                </c:pt>
                <c:pt idx="5">
                  <c:v>2.24506025570441</c:v>
                </c:pt>
                <c:pt idx="6">
                  <c:v>2.35201644597618</c:v>
                </c:pt>
                <c:pt idx="7">
                  <c:v>2.63126131563064</c:v>
                </c:pt>
                <c:pt idx="8">
                  <c:v>4.36825086937953</c:v>
                </c:pt>
                <c:pt idx="9">
                  <c:v>6.08004888481514</c:v>
                </c:pt>
                <c:pt idx="10">
                  <c:v>7.51833740831294</c:v>
                </c:pt>
                <c:pt idx="11">
                  <c:v>10.2486765973163</c:v>
                </c:pt>
                <c:pt idx="12">
                  <c:v>10.575495049505</c:v>
                </c:pt>
                <c:pt idx="13">
                  <c:v>8.73672511731292</c:v>
                </c:pt>
                <c:pt idx="14">
                  <c:v>7.49015263417035</c:v>
                </c:pt>
                <c:pt idx="15">
                  <c:v>10.3364063740155</c:v>
                </c:pt>
                <c:pt idx="16">
                  <c:v>9.63052695336158</c:v>
                </c:pt>
                <c:pt idx="17">
                  <c:v>8.45997367476368</c:v>
                </c:pt>
                <c:pt idx="18">
                  <c:v>7.08884688090739</c:v>
                </c:pt>
                <c:pt idx="19">
                  <c:v>8.09126190756203</c:v>
                </c:pt>
                <c:pt idx="20">
                  <c:v>8.08440989068803</c:v>
                </c:pt>
                <c:pt idx="21">
                  <c:v>8.70967741935487</c:v>
                </c:pt>
                <c:pt idx="22">
                  <c:v>9.77259806708357</c:v>
                </c:pt>
                <c:pt idx="23">
                  <c:v>8.5199039696276</c:v>
                </c:pt>
                <c:pt idx="24">
                  <c:v>7.19682131064972</c:v>
                </c:pt>
                <c:pt idx="25">
                  <c:v>6.88774061666005</c:v>
                </c:pt>
                <c:pt idx="26">
                  <c:v>7.79845405095905</c:v>
                </c:pt>
                <c:pt idx="27">
                  <c:v>5.47255422753431</c:v>
                </c:pt>
                <c:pt idx="28">
                  <c:v>7.45856353591162</c:v>
                </c:pt>
                <c:pt idx="29">
                  <c:v>8.74338040600175</c:v>
                </c:pt>
                <c:pt idx="30">
                  <c:v>9.38879082082966</c:v>
                </c:pt>
                <c:pt idx="31">
                  <c:v>7.60526602110763</c:v>
                </c:pt>
                <c:pt idx="32">
                  <c:v>6.97674418604651</c:v>
                </c:pt>
                <c:pt idx="33">
                  <c:v>6.39041966935141</c:v>
                </c:pt>
                <c:pt idx="34">
                  <c:v>4.84230151742709</c:v>
                </c:pt>
                <c:pt idx="35">
                  <c:v>3.54993054483717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'Q4'!$D$28</c:f>
              <c:strCache>
                <c:ptCount val="1"/>
                <c:pt idx="0">
                  <c:v>Health YoY %</c:v>
                </c:pt>
              </c:strCache>
            </c:strRef>
          </c:tx>
          <c:spPr>
            <a:ln w="47520" cap="rnd" cmpd="sng" algn="ctr">
              <a:solidFill>
                <a:srgbClr val="D4A5A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'Q4'!$A$29:$A$64</c:f>
              <c:numCache>
                <c:formatCode>mmm/yy</c:formatCode>
                <c:ptCount val="36"/>
                <c:pt idx="0" c:formatCode="mmm/yy">
                  <c:v>43466</c:v>
                </c:pt>
                <c:pt idx="1" c:formatCode="mmm/yy">
                  <c:v>43497</c:v>
                </c:pt>
                <c:pt idx="2" c:formatCode="mmm/yy">
                  <c:v>43525</c:v>
                </c:pt>
                <c:pt idx="3" c:formatCode="mmm/yy">
                  <c:v>43556</c:v>
                </c:pt>
                <c:pt idx="4" c:formatCode="mmm/yy">
                  <c:v>43586</c:v>
                </c:pt>
                <c:pt idx="5" c:formatCode="mmm/yy">
                  <c:v>43617</c:v>
                </c:pt>
                <c:pt idx="6" c:formatCode="mmm/yy">
                  <c:v>43647</c:v>
                </c:pt>
                <c:pt idx="7" c:formatCode="mmm/yy">
                  <c:v>43678</c:v>
                </c:pt>
                <c:pt idx="8" c:formatCode="mmm/yy">
                  <c:v>43709</c:v>
                </c:pt>
                <c:pt idx="9" c:formatCode="mmm/yy">
                  <c:v>43739</c:v>
                </c:pt>
                <c:pt idx="10" c:formatCode="mmm/yy">
                  <c:v>43770</c:v>
                </c:pt>
                <c:pt idx="11" c:formatCode="mmm/yy">
                  <c:v>43800</c:v>
                </c:pt>
                <c:pt idx="12" c:formatCode="mmm/yy">
                  <c:v>43831</c:v>
                </c:pt>
                <c:pt idx="13" c:formatCode="mmm/yy">
                  <c:v>43862</c:v>
                </c:pt>
                <c:pt idx="14" c:formatCode="mmm/yy">
                  <c:v>43891</c:v>
                </c:pt>
                <c:pt idx="15" c:formatCode="mmm/yy">
                  <c:v>43922</c:v>
                </c:pt>
                <c:pt idx="16" c:formatCode="mmm/yy">
                  <c:v>43952</c:v>
                </c:pt>
                <c:pt idx="17" c:formatCode="mmm/yy">
                  <c:v>43983</c:v>
                </c:pt>
                <c:pt idx="18" c:formatCode="mmm/yy">
                  <c:v>44013</c:v>
                </c:pt>
                <c:pt idx="19" c:formatCode="mmm/yy">
                  <c:v>44044</c:v>
                </c:pt>
                <c:pt idx="20" c:formatCode="mmm/yy">
                  <c:v>44075</c:v>
                </c:pt>
                <c:pt idx="21" c:formatCode="mmm/yy">
                  <c:v>44105</c:v>
                </c:pt>
                <c:pt idx="22" c:formatCode="mmm/yy">
                  <c:v>44136</c:v>
                </c:pt>
                <c:pt idx="23" c:formatCode="mmm/yy">
                  <c:v>44166</c:v>
                </c:pt>
                <c:pt idx="24" c:formatCode="mmm/yy">
                  <c:v>44197</c:v>
                </c:pt>
                <c:pt idx="25" c:formatCode="mmm/yy">
                  <c:v>44228</c:v>
                </c:pt>
                <c:pt idx="26" c:formatCode="mmm/yy">
                  <c:v>44256</c:v>
                </c:pt>
                <c:pt idx="27" c:formatCode="mmm/yy">
                  <c:v>44287</c:v>
                </c:pt>
                <c:pt idx="28" c:formatCode="mmm/yy">
                  <c:v>44317</c:v>
                </c:pt>
                <c:pt idx="29" c:formatCode="mmm/yy">
                  <c:v>44348</c:v>
                </c:pt>
                <c:pt idx="30" c:formatCode="mmm/yy">
                  <c:v>44378</c:v>
                </c:pt>
                <c:pt idx="31" c:formatCode="mmm/yy">
                  <c:v>44409</c:v>
                </c:pt>
                <c:pt idx="32" c:formatCode="mmm/yy">
                  <c:v>44440</c:v>
                </c:pt>
                <c:pt idx="33" c:formatCode="mmm/yy">
                  <c:v>44470</c:v>
                </c:pt>
                <c:pt idx="34" c:formatCode="mmm/yy">
                  <c:v>44501</c:v>
                </c:pt>
                <c:pt idx="35" c:formatCode="mmm/yy">
                  <c:v>44531</c:v>
                </c:pt>
              </c:numCache>
            </c:numRef>
          </c:cat>
          <c:val>
            <c:numRef>
              <c:f>'Q4'!$D$29:$D$64</c:f>
              <c:numCache>
                <c:formatCode>0.00</c:formatCode>
                <c:ptCount val="36"/>
                <c:pt idx="0">
                  <c:v>8.8522130532633</c:v>
                </c:pt>
                <c:pt idx="1">
                  <c:v>8.81913303437966</c:v>
                </c:pt>
                <c:pt idx="2">
                  <c:v>8.86075949367087</c:v>
                </c:pt>
                <c:pt idx="3">
                  <c:v>8.3949704142012</c:v>
                </c:pt>
                <c:pt idx="4">
                  <c:v>8.01470588235295</c:v>
                </c:pt>
                <c:pt idx="5">
                  <c:v>8.22320117474304</c:v>
                </c:pt>
                <c:pt idx="6">
                  <c:v>7.95620437956205</c:v>
                </c:pt>
                <c:pt idx="7">
                  <c:v>7.84313725490197</c:v>
                </c:pt>
                <c:pt idx="8">
                  <c:v>7.65895953757225</c:v>
                </c:pt>
                <c:pt idx="9">
                  <c:v>5.137227304715</c:v>
                </c:pt>
                <c:pt idx="10">
                  <c:v>5.48909218859959</c:v>
                </c:pt>
                <c:pt idx="11">
                  <c:v>3.79572118702553</c:v>
                </c:pt>
                <c:pt idx="12">
                  <c:v>4.20399724328049</c:v>
                </c:pt>
                <c:pt idx="13">
                  <c:v>4.18956043956044</c:v>
                </c:pt>
                <c:pt idx="14">
                  <c:v>4.17236662106705</c:v>
                </c:pt>
                <c:pt idx="15">
                  <c:v>2.83179802115317</c:v>
                </c:pt>
                <c:pt idx="16">
                  <c:v>3.84615384615385</c:v>
                </c:pt>
                <c:pt idx="17">
                  <c:v>4.74898236092266</c:v>
                </c:pt>
                <c:pt idx="18">
                  <c:v>4.394861392833</c:v>
                </c:pt>
                <c:pt idx="19">
                  <c:v>4.37710437710438</c:v>
                </c:pt>
                <c:pt idx="20">
                  <c:v>4.42953020134228</c:v>
                </c:pt>
                <c:pt idx="21">
                  <c:v>4.61847389558233</c:v>
                </c:pt>
                <c:pt idx="22">
                  <c:v>4.869913275517</c:v>
                </c:pt>
                <c:pt idx="23">
                  <c:v>5.25265957446809</c:v>
                </c:pt>
                <c:pt idx="24">
                  <c:v>5.35714285714287</c:v>
                </c:pt>
                <c:pt idx="25">
                  <c:v>6.32827949901122</c:v>
                </c:pt>
                <c:pt idx="26">
                  <c:v>6.17202889034798</c:v>
                </c:pt>
                <c:pt idx="27">
                  <c:v>7.69741207697414</c:v>
                </c:pt>
                <c:pt idx="28">
                  <c:v>8.68567682726975</c:v>
                </c:pt>
                <c:pt idx="29">
                  <c:v>7.70725388601037</c:v>
                </c:pt>
                <c:pt idx="30">
                  <c:v>8.16062176165803</c:v>
                </c:pt>
                <c:pt idx="31">
                  <c:v>8.64516129032258</c:v>
                </c:pt>
                <c:pt idx="32">
                  <c:v>8.22622107969153</c:v>
                </c:pt>
                <c:pt idx="33">
                  <c:v>8.18937939859244</c:v>
                </c:pt>
                <c:pt idx="34">
                  <c:v>8.07888040712469</c:v>
                </c:pt>
                <c:pt idx="35">
                  <c:v>7.77005685407453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10053880"/>
        <c:axId val="64990269"/>
      </c:lineChart>
      <c:dateAx>
        <c:axId val="10053880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4990269"/>
        <c:crosses val="autoZero"/>
        <c:auto val="1"/>
        <c:lblOffset val="100"/>
        <c:baseTimeUnit val="months"/>
      </c:dateAx>
      <c:valAx>
        <c:axId val="6499026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0053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ec506e-6e9d-43a8-a1cb-1e6e0677c71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21</xdr:row>
      <xdr:rowOff>160920</xdr:rowOff>
    </xdr:from>
    <xdr:to>
      <xdr:col>8</xdr:col>
      <xdr:colOff>284520</xdr:colOff>
      <xdr:row>37</xdr:row>
      <xdr:rowOff>0</xdr:rowOff>
    </xdr:to>
    <xdr:graphicFrame>
      <xdr:nvGraphicFramePr>
        <xdr:cNvPr id="2" name="Chart 1"/>
        <xdr:cNvGraphicFramePr/>
      </xdr:nvGraphicFramePr>
      <xdr:xfrm>
        <a:off x="5280660" y="4191635"/>
        <a:ext cx="561848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160560</xdr:rowOff>
    </xdr:from>
    <xdr:to>
      <xdr:col>4</xdr:col>
      <xdr:colOff>0</xdr:colOff>
      <xdr:row>40</xdr:row>
      <xdr:rowOff>182520</xdr:rowOff>
    </xdr:to>
    <xdr:graphicFrame>
      <xdr:nvGraphicFramePr>
        <xdr:cNvPr id="2" name="Chart 1"/>
        <xdr:cNvGraphicFramePr/>
      </xdr:nvGraphicFramePr>
      <xdr:xfrm>
        <a:off x="0" y="4777740"/>
        <a:ext cx="562356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9</xdr:row>
      <xdr:rowOff>160560</xdr:rowOff>
    </xdr:from>
    <xdr:to>
      <xdr:col>12</xdr:col>
      <xdr:colOff>259920</xdr:colOff>
      <xdr:row>23</xdr:row>
      <xdr:rowOff>193320</xdr:rowOff>
    </xdr:to>
    <xdr:graphicFrame>
      <xdr:nvGraphicFramePr>
        <xdr:cNvPr id="2" name="Chart 1"/>
        <xdr:cNvGraphicFramePr/>
      </xdr:nvGraphicFramePr>
      <xdr:xfrm>
        <a:off x="9464040" y="2232660"/>
        <a:ext cx="5610860" cy="2593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25</xdr:row>
      <xdr:rowOff>160920</xdr:rowOff>
    </xdr:from>
    <xdr:to>
      <xdr:col>13</xdr:col>
      <xdr:colOff>414000</xdr:colOff>
      <xdr:row>40</xdr:row>
      <xdr:rowOff>70560</xdr:rowOff>
    </xdr:to>
    <xdr:graphicFrame>
      <xdr:nvGraphicFramePr>
        <xdr:cNvPr id="3" name="Chart 1"/>
        <xdr:cNvGraphicFramePr/>
      </xdr:nvGraphicFramePr>
      <xdr:xfrm>
        <a:off x="7543800" y="5159375"/>
        <a:ext cx="6315075" cy="2805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A1"/>
    </sheetView>
  </sheetViews>
  <sheetFormatPr defaultColWidth="8.67592592592593" defaultRowHeight="14.4"/>
  <cols>
    <col min="1" max="1" width="130" customWidth="1"/>
  </cols>
  <sheetData>
    <row r="1" ht="17.4" spans="1:1">
      <c r="A1" s="1" t="s">
        <v>0</v>
      </c>
    </row>
    <row r="3" spans="1:1">
      <c r="A3" s="5" t="s">
        <v>1</v>
      </c>
    </row>
    <row r="4" spans="1:1">
      <c r="A4" s="6" t="s">
        <v>2</v>
      </c>
    </row>
    <row r="5" spans="1:1">
      <c r="A5" s="6" t="s">
        <v>3</v>
      </c>
    </row>
    <row r="6" spans="1:1">
      <c r="A6" s="6" t="s">
        <v>4</v>
      </c>
    </row>
    <row r="7" spans="1:1">
      <c r="A7" s="6" t="s">
        <v>5</v>
      </c>
    </row>
    <row r="8" spans="1:1">
      <c r="A8" s="6"/>
    </row>
    <row r="9" spans="1:1">
      <c r="A9" s="5" t="s">
        <v>6</v>
      </c>
    </row>
    <row r="10" spans="1:1">
      <c r="A10" s="6" t="s">
        <v>7</v>
      </c>
    </row>
    <row r="11" spans="1:1">
      <c r="A11" s="6"/>
    </row>
    <row r="12" spans="1:1">
      <c r="A12" s="5" t="s">
        <v>8</v>
      </c>
    </row>
    <row r="13" spans="1:1">
      <c r="A13" s="6" t="s">
        <v>9</v>
      </c>
    </row>
    <row r="14" spans="1:1">
      <c r="A14" s="6" t="s">
        <v>10</v>
      </c>
    </row>
    <row r="15" spans="1:1">
      <c r="A15" s="6" t="s">
        <v>11</v>
      </c>
    </row>
    <row r="16" spans="1:1">
      <c r="A16" s="6" t="s">
        <v>12</v>
      </c>
    </row>
    <row r="17" spans="1:1">
      <c r="A17" s="6" t="s">
        <v>13</v>
      </c>
    </row>
    <row r="18" spans="1:1">
      <c r="A18" s="6"/>
    </row>
    <row r="19" spans="1:1">
      <c r="A19" s="5" t="s">
        <v>14</v>
      </c>
    </row>
    <row r="20" spans="1:1">
      <c r="A20" s="6" t="s">
        <v>15</v>
      </c>
    </row>
    <row r="21" spans="1:1">
      <c r="A21" s="6" t="s">
        <v>16</v>
      </c>
    </row>
    <row r="22" spans="1:1">
      <c r="A22" s="6" t="s">
        <v>17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13" customWidth="1"/>
    <col min="2" max="31" width="14" customWidth="1"/>
  </cols>
  <sheetData>
    <row r="1" ht="39.6" spans="1:3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8" t="s">
        <v>39</v>
      </c>
      <c r="W1" s="8" t="s">
        <v>40</v>
      </c>
      <c r="X1" s="8" t="s">
        <v>41</v>
      </c>
      <c r="Y1" s="8" t="s">
        <v>42</v>
      </c>
      <c r="Z1" s="8" t="s">
        <v>43</v>
      </c>
      <c r="AA1" s="8" t="s">
        <v>44</v>
      </c>
      <c r="AB1" s="8" t="s">
        <v>45</v>
      </c>
      <c r="AC1" s="8" t="s">
        <v>46</v>
      </c>
      <c r="AD1" s="8" t="s">
        <v>47</v>
      </c>
      <c r="AE1" s="8" t="s">
        <v>48</v>
      </c>
    </row>
    <row r="2" spans="1:31">
      <c r="A2" s="6" t="s">
        <v>49</v>
      </c>
      <c r="B2" s="6">
        <v>2013</v>
      </c>
      <c r="C2" s="6" t="s">
        <v>50</v>
      </c>
      <c r="D2" s="6">
        <v>107.5</v>
      </c>
      <c r="E2" s="6">
        <v>106.3</v>
      </c>
      <c r="F2" s="6">
        <v>108.1</v>
      </c>
      <c r="G2" s="6">
        <v>104.9</v>
      </c>
      <c r="H2" s="6">
        <v>106.1</v>
      </c>
      <c r="I2" s="6">
        <v>103.9</v>
      </c>
      <c r="J2" s="6">
        <v>101.9</v>
      </c>
      <c r="K2" s="6">
        <v>106.1</v>
      </c>
      <c r="L2" s="6">
        <v>106.8</v>
      </c>
      <c r="M2" s="6">
        <v>103.1</v>
      </c>
      <c r="N2" s="6">
        <v>104.8</v>
      </c>
      <c r="O2" s="6">
        <v>106.7</v>
      </c>
      <c r="P2" s="6">
        <v>105.5</v>
      </c>
      <c r="Q2" s="6">
        <v>105.1</v>
      </c>
      <c r="R2" s="6">
        <v>106.5</v>
      </c>
      <c r="S2" s="6">
        <v>105.8</v>
      </c>
      <c r="T2" s="6">
        <v>106.4</v>
      </c>
      <c r="V2" s="6">
        <v>105.5</v>
      </c>
      <c r="W2" s="6">
        <v>104.8</v>
      </c>
      <c r="X2" s="6">
        <v>104</v>
      </c>
      <c r="Y2" s="6">
        <v>103.3</v>
      </c>
      <c r="Z2" s="6">
        <v>103.4</v>
      </c>
      <c r="AA2" s="6">
        <v>103.8</v>
      </c>
      <c r="AB2" s="6">
        <v>104.7</v>
      </c>
      <c r="AC2" s="6">
        <v>104</v>
      </c>
      <c r="AD2" s="6">
        <v>105.1</v>
      </c>
      <c r="AE2" s="6" t="str">
        <f t="shared" ref="AE2:AE65" si="0">A2&amp;"|"&amp;B2&amp;"|"&amp;C2</f>
        <v>Rural|2013|January</v>
      </c>
    </row>
    <row r="3" spans="1:31">
      <c r="A3" s="6" t="s">
        <v>51</v>
      </c>
      <c r="B3" s="6">
        <v>2013</v>
      </c>
      <c r="C3" s="6" t="s">
        <v>50</v>
      </c>
      <c r="D3" s="6">
        <v>110.5</v>
      </c>
      <c r="E3" s="6">
        <v>109.1</v>
      </c>
      <c r="F3" s="6">
        <v>113</v>
      </c>
      <c r="G3" s="6">
        <v>103.6</v>
      </c>
      <c r="H3" s="6">
        <v>103.4</v>
      </c>
      <c r="I3" s="6">
        <v>102.3</v>
      </c>
      <c r="J3" s="6">
        <v>102.9</v>
      </c>
      <c r="K3" s="6">
        <v>105.8</v>
      </c>
      <c r="L3" s="6">
        <v>105.1</v>
      </c>
      <c r="M3" s="6">
        <v>101.8</v>
      </c>
      <c r="N3" s="6">
        <v>105.1</v>
      </c>
      <c r="O3" s="6">
        <v>107.9</v>
      </c>
      <c r="P3" s="6">
        <v>105.9</v>
      </c>
      <c r="Q3" s="6">
        <v>105.2</v>
      </c>
      <c r="R3" s="6">
        <v>105.9</v>
      </c>
      <c r="S3" s="6">
        <v>105</v>
      </c>
      <c r="T3" s="6">
        <v>105.8</v>
      </c>
      <c r="U3" s="6">
        <v>100.3</v>
      </c>
      <c r="V3" s="6">
        <v>105.4</v>
      </c>
      <c r="W3" s="6">
        <v>104.8</v>
      </c>
      <c r="X3" s="6">
        <v>104.1</v>
      </c>
      <c r="Y3" s="6">
        <v>103.2</v>
      </c>
      <c r="Z3" s="6">
        <v>102.9</v>
      </c>
      <c r="AA3" s="6">
        <v>103.5</v>
      </c>
      <c r="AB3" s="6">
        <v>104.3</v>
      </c>
      <c r="AC3" s="6">
        <v>103.7</v>
      </c>
      <c r="AD3" s="6">
        <v>104</v>
      </c>
      <c r="AE3" s="6" t="str">
        <f t="shared" si="0"/>
        <v>Urban|2013|January</v>
      </c>
    </row>
    <row r="4" spans="1:31">
      <c r="A4" s="6" t="s">
        <v>52</v>
      </c>
      <c r="B4" s="6">
        <v>2013</v>
      </c>
      <c r="C4" s="6" t="s">
        <v>50</v>
      </c>
      <c r="D4" s="6">
        <v>108.4</v>
      </c>
      <c r="E4" s="6">
        <v>107.3</v>
      </c>
      <c r="F4" s="6">
        <v>110</v>
      </c>
      <c r="G4" s="6">
        <v>104.4</v>
      </c>
      <c r="H4" s="6">
        <v>105.1</v>
      </c>
      <c r="I4" s="6">
        <v>103.2</v>
      </c>
      <c r="J4" s="6">
        <v>102.2</v>
      </c>
      <c r="K4" s="6">
        <v>106</v>
      </c>
      <c r="L4" s="6">
        <v>106.2</v>
      </c>
      <c r="M4" s="6">
        <v>102.7</v>
      </c>
      <c r="N4" s="6">
        <v>104.9</v>
      </c>
      <c r="O4" s="6">
        <v>107.3</v>
      </c>
      <c r="P4" s="6">
        <v>105.6</v>
      </c>
      <c r="Q4" s="6">
        <v>105.1</v>
      </c>
      <c r="R4" s="6">
        <v>106.3</v>
      </c>
      <c r="S4" s="6">
        <v>105.5</v>
      </c>
      <c r="T4" s="6">
        <v>106.2</v>
      </c>
      <c r="U4" s="6">
        <v>100.3</v>
      </c>
      <c r="V4" s="6">
        <v>105.5</v>
      </c>
      <c r="W4" s="6">
        <v>104.8</v>
      </c>
      <c r="X4" s="6">
        <v>104</v>
      </c>
      <c r="Y4" s="6">
        <v>103.2</v>
      </c>
      <c r="Z4" s="6">
        <v>103.1</v>
      </c>
      <c r="AA4" s="6">
        <v>103.6</v>
      </c>
      <c r="AB4" s="6">
        <v>104.5</v>
      </c>
      <c r="AC4" s="6">
        <v>103.9</v>
      </c>
      <c r="AD4" s="6">
        <v>104.6</v>
      </c>
      <c r="AE4" s="6" t="str">
        <f t="shared" si="0"/>
        <v>Rural+Urban|2013|January</v>
      </c>
    </row>
    <row r="5" spans="1:31">
      <c r="A5" s="6" t="s">
        <v>49</v>
      </c>
      <c r="B5" s="6">
        <v>2013</v>
      </c>
      <c r="C5" s="6" t="s">
        <v>53</v>
      </c>
      <c r="D5" s="6">
        <v>109.2</v>
      </c>
      <c r="E5" s="6">
        <v>108.7</v>
      </c>
      <c r="F5" s="6">
        <v>110.2</v>
      </c>
      <c r="G5" s="6">
        <v>105.4</v>
      </c>
      <c r="H5" s="6">
        <v>106.7</v>
      </c>
      <c r="I5" s="6">
        <v>104</v>
      </c>
      <c r="J5" s="6">
        <v>102.4</v>
      </c>
      <c r="K5" s="6">
        <v>105.9</v>
      </c>
      <c r="L5" s="6">
        <v>105.7</v>
      </c>
      <c r="M5" s="6">
        <v>103.1</v>
      </c>
      <c r="N5" s="6">
        <v>105.1</v>
      </c>
      <c r="O5" s="6">
        <v>107.7</v>
      </c>
      <c r="P5" s="6">
        <v>106.3</v>
      </c>
      <c r="Q5" s="6">
        <v>105.6</v>
      </c>
      <c r="R5" s="6">
        <v>107.1</v>
      </c>
      <c r="S5" s="6">
        <v>106.3</v>
      </c>
      <c r="T5" s="6">
        <v>107</v>
      </c>
      <c r="V5" s="6">
        <v>106.2</v>
      </c>
      <c r="W5" s="6">
        <v>105.2</v>
      </c>
      <c r="X5" s="6">
        <v>104.4</v>
      </c>
      <c r="Y5" s="6">
        <v>103.9</v>
      </c>
      <c r="Z5" s="6">
        <v>104</v>
      </c>
      <c r="AA5" s="6">
        <v>104.1</v>
      </c>
      <c r="AB5" s="6">
        <v>104.6</v>
      </c>
      <c r="AC5" s="6">
        <v>104.4</v>
      </c>
      <c r="AD5" s="6">
        <v>105.8</v>
      </c>
      <c r="AE5" s="6" t="str">
        <f t="shared" si="0"/>
        <v>Rural|2013|February</v>
      </c>
    </row>
    <row r="6" spans="1:31">
      <c r="A6" s="6" t="s">
        <v>51</v>
      </c>
      <c r="B6" s="6">
        <v>2013</v>
      </c>
      <c r="C6" s="6" t="s">
        <v>53</v>
      </c>
      <c r="D6" s="6">
        <v>112.9</v>
      </c>
      <c r="E6" s="6">
        <v>112.9</v>
      </c>
      <c r="F6" s="6">
        <v>116.9</v>
      </c>
      <c r="G6" s="6">
        <v>104</v>
      </c>
      <c r="H6" s="6">
        <v>103.5</v>
      </c>
      <c r="I6" s="6">
        <v>103.1</v>
      </c>
      <c r="J6" s="6">
        <v>104.9</v>
      </c>
      <c r="K6" s="6">
        <v>104.1</v>
      </c>
      <c r="L6" s="6">
        <v>103.8</v>
      </c>
      <c r="M6" s="6">
        <v>102.3</v>
      </c>
      <c r="N6" s="6">
        <v>106</v>
      </c>
      <c r="O6" s="6">
        <v>109</v>
      </c>
      <c r="P6" s="6">
        <v>107.2</v>
      </c>
      <c r="Q6" s="6">
        <v>106</v>
      </c>
      <c r="R6" s="6">
        <v>106.6</v>
      </c>
      <c r="S6" s="6">
        <v>105.5</v>
      </c>
      <c r="T6" s="6">
        <v>106.4</v>
      </c>
      <c r="U6" s="6">
        <v>100.4</v>
      </c>
      <c r="V6" s="6">
        <v>105.7</v>
      </c>
      <c r="W6" s="6">
        <v>105.2</v>
      </c>
      <c r="X6" s="6">
        <v>104.7</v>
      </c>
      <c r="Y6" s="6">
        <v>104.4</v>
      </c>
      <c r="Z6" s="6">
        <v>103.3</v>
      </c>
      <c r="AA6" s="6">
        <v>103.7</v>
      </c>
      <c r="AB6" s="6">
        <v>104.3</v>
      </c>
      <c r="AC6" s="6">
        <v>104.3</v>
      </c>
      <c r="AD6" s="6">
        <v>104.7</v>
      </c>
      <c r="AE6" s="6" t="str">
        <f t="shared" si="0"/>
        <v>Urban|2013|February</v>
      </c>
    </row>
    <row r="7" spans="1:31">
      <c r="A7" s="6" t="s">
        <v>52</v>
      </c>
      <c r="B7" s="6">
        <v>2013</v>
      </c>
      <c r="C7" s="6" t="s">
        <v>53</v>
      </c>
      <c r="D7" s="6">
        <v>110.4</v>
      </c>
      <c r="E7" s="6">
        <v>110.2</v>
      </c>
      <c r="F7" s="6">
        <v>112.8</v>
      </c>
      <c r="G7" s="6">
        <v>104.9</v>
      </c>
      <c r="H7" s="6">
        <v>105.5</v>
      </c>
      <c r="I7" s="6">
        <v>103.6</v>
      </c>
      <c r="J7" s="6">
        <v>103.2</v>
      </c>
      <c r="K7" s="6">
        <v>105.3</v>
      </c>
      <c r="L7" s="6">
        <v>105.1</v>
      </c>
      <c r="M7" s="6">
        <v>102.8</v>
      </c>
      <c r="N7" s="6">
        <v>105.5</v>
      </c>
      <c r="O7" s="6">
        <v>108.3</v>
      </c>
      <c r="P7" s="6">
        <v>106.6</v>
      </c>
      <c r="Q7" s="6">
        <v>105.7</v>
      </c>
      <c r="R7" s="6">
        <v>106.9</v>
      </c>
      <c r="S7" s="6">
        <v>106</v>
      </c>
      <c r="T7" s="6">
        <v>106.8</v>
      </c>
      <c r="U7" s="6">
        <v>100.4</v>
      </c>
      <c r="V7" s="6">
        <v>106</v>
      </c>
      <c r="W7" s="6">
        <v>105.2</v>
      </c>
      <c r="X7" s="6">
        <v>104.5</v>
      </c>
      <c r="Y7" s="6">
        <v>104.2</v>
      </c>
      <c r="Z7" s="6">
        <v>103.6</v>
      </c>
      <c r="AA7" s="6">
        <v>103.9</v>
      </c>
      <c r="AB7" s="6">
        <v>104.5</v>
      </c>
      <c r="AC7" s="6">
        <v>104.4</v>
      </c>
      <c r="AD7" s="6">
        <v>105.3</v>
      </c>
      <c r="AE7" s="6" t="str">
        <f t="shared" si="0"/>
        <v>Rural+Urban|2013|February</v>
      </c>
    </row>
    <row r="8" spans="1:31">
      <c r="A8" s="6" t="s">
        <v>49</v>
      </c>
      <c r="B8" s="6">
        <v>2013</v>
      </c>
      <c r="C8" s="6" t="s">
        <v>54</v>
      </c>
      <c r="D8" s="6">
        <v>110.2</v>
      </c>
      <c r="E8" s="6">
        <v>108.8</v>
      </c>
      <c r="F8" s="6">
        <v>109.9</v>
      </c>
      <c r="G8" s="6">
        <v>105.6</v>
      </c>
      <c r="H8" s="6">
        <v>106.2</v>
      </c>
      <c r="I8" s="6">
        <v>105.7</v>
      </c>
      <c r="J8" s="6">
        <v>101.4</v>
      </c>
      <c r="K8" s="6">
        <v>105.7</v>
      </c>
      <c r="L8" s="6">
        <v>105</v>
      </c>
      <c r="M8" s="6">
        <v>103.3</v>
      </c>
      <c r="N8" s="6">
        <v>105.6</v>
      </c>
      <c r="O8" s="6">
        <v>108.2</v>
      </c>
      <c r="P8" s="6">
        <v>106.6</v>
      </c>
      <c r="Q8" s="6">
        <v>106.5</v>
      </c>
      <c r="R8" s="6">
        <v>107.6</v>
      </c>
      <c r="S8" s="6">
        <v>106.8</v>
      </c>
      <c r="T8" s="6">
        <v>107.5</v>
      </c>
      <c r="V8" s="6">
        <v>106.1</v>
      </c>
      <c r="W8" s="6">
        <v>105.6</v>
      </c>
      <c r="X8" s="6">
        <v>104.7</v>
      </c>
      <c r="Y8" s="6">
        <v>104.6</v>
      </c>
      <c r="Z8" s="6">
        <v>104</v>
      </c>
      <c r="AA8" s="6">
        <v>104.3</v>
      </c>
      <c r="AB8" s="6">
        <v>104.3</v>
      </c>
      <c r="AC8" s="6">
        <v>104.6</v>
      </c>
      <c r="AD8" s="6">
        <v>106</v>
      </c>
      <c r="AE8" s="6" t="str">
        <f t="shared" si="0"/>
        <v>Rural|2013|March</v>
      </c>
    </row>
    <row r="9" spans="1:31">
      <c r="A9" s="6" t="s">
        <v>51</v>
      </c>
      <c r="B9" s="6">
        <v>2013</v>
      </c>
      <c r="C9" s="6" t="s">
        <v>54</v>
      </c>
      <c r="D9" s="6">
        <v>113.9</v>
      </c>
      <c r="E9" s="6">
        <v>111.4</v>
      </c>
      <c r="F9" s="6">
        <v>113.2</v>
      </c>
      <c r="G9" s="6">
        <v>104.3</v>
      </c>
      <c r="H9" s="6">
        <v>102.7</v>
      </c>
      <c r="I9" s="6">
        <v>104.9</v>
      </c>
      <c r="J9" s="6">
        <v>103.8</v>
      </c>
      <c r="K9" s="6">
        <v>103.5</v>
      </c>
      <c r="L9" s="6">
        <v>102.6</v>
      </c>
      <c r="M9" s="6">
        <v>102.4</v>
      </c>
      <c r="N9" s="6">
        <v>107</v>
      </c>
      <c r="O9" s="6">
        <v>109.8</v>
      </c>
      <c r="P9" s="6">
        <v>107.3</v>
      </c>
      <c r="Q9" s="6">
        <v>106.8</v>
      </c>
      <c r="R9" s="6">
        <v>107.2</v>
      </c>
      <c r="S9" s="6">
        <v>106</v>
      </c>
      <c r="T9" s="6">
        <v>107</v>
      </c>
      <c r="U9" s="6">
        <v>100.4</v>
      </c>
      <c r="V9" s="6">
        <v>106</v>
      </c>
      <c r="W9" s="6">
        <v>105.7</v>
      </c>
      <c r="X9" s="6">
        <v>105.2</v>
      </c>
      <c r="Y9" s="6">
        <v>105.5</v>
      </c>
      <c r="Z9" s="6">
        <v>103.5</v>
      </c>
      <c r="AA9" s="6">
        <v>103.8</v>
      </c>
      <c r="AB9" s="6">
        <v>104.2</v>
      </c>
      <c r="AC9" s="6">
        <v>104.9</v>
      </c>
      <c r="AD9" s="6">
        <v>105</v>
      </c>
      <c r="AE9" s="6" t="str">
        <f t="shared" si="0"/>
        <v>Urban|2013|March</v>
      </c>
    </row>
    <row r="10" spans="1:31">
      <c r="A10" s="6" t="s">
        <v>52</v>
      </c>
      <c r="B10" s="6">
        <v>2013</v>
      </c>
      <c r="C10" s="6" t="s">
        <v>54</v>
      </c>
      <c r="D10" s="6">
        <v>111.4</v>
      </c>
      <c r="E10" s="6">
        <v>109.7</v>
      </c>
      <c r="F10" s="6">
        <v>111.2</v>
      </c>
      <c r="G10" s="6">
        <v>105.1</v>
      </c>
      <c r="H10" s="6">
        <v>104.9</v>
      </c>
      <c r="I10" s="6">
        <v>105.3</v>
      </c>
      <c r="J10" s="6">
        <v>102.2</v>
      </c>
      <c r="K10" s="6">
        <v>105</v>
      </c>
      <c r="L10" s="6">
        <v>104.2</v>
      </c>
      <c r="M10" s="6">
        <v>103</v>
      </c>
      <c r="N10" s="6">
        <v>106.2</v>
      </c>
      <c r="O10" s="6">
        <v>108.9</v>
      </c>
      <c r="P10" s="6">
        <v>106.9</v>
      </c>
      <c r="Q10" s="6">
        <v>106.6</v>
      </c>
      <c r="R10" s="6">
        <v>107.4</v>
      </c>
      <c r="S10" s="6">
        <v>106.5</v>
      </c>
      <c r="T10" s="6">
        <v>107.3</v>
      </c>
      <c r="U10" s="6">
        <v>100.4</v>
      </c>
      <c r="V10" s="6">
        <v>106.1</v>
      </c>
      <c r="W10" s="6">
        <v>105.6</v>
      </c>
      <c r="X10" s="6">
        <v>104.9</v>
      </c>
      <c r="Y10" s="6">
        <v>105.1</v>
      </c>
      <c r="Z10" s="6">
        <v>103.7</v>
      </c>
      <c r="AA10" s="6">
        <v>104</v>
      </c>
      <c r="AB10" s="6">
        <v>104.3</v>
      </c>
      <c r="AC10" s="6">
        <v>104.7</v>
      </c>
      <c r="AD10" s="6">
        <v>105.5</v>
      </c>
      <c r="AE10" s="6" t="str">
        <f t="shared" si="0"/>
        <v>Rural+Urban|2013|March</v>
      </c>
    </row>
    <row r="11" spans="1:31">
      <c r="A11" s="6" t="s">
        <v>49</v>
      </c>
      <c r="B11" s="6">
        <v>2013</v>
      </c>
      <c r="C11" s="6" t="s">
        <v>55</v>
      </c>
      <c r="D11" s="6">
        <v>110.2</v>
      </c>
      <c r="E11" s="6">
        <v>109.5</v>
      </c>
      <c r="F11" s="6">
        <v>106.9</v>
      </c>
      <c r="G11" s="6">
        <v>106.3</v>
      </c>
      <c r="H11" s="6">
        <v>105.7</v>
      </c>
      <c r="I11" s="6">
        <v>108.3</v>
      </c>
      <c r="J11" s="6">
        <v>103.4</v>
      </c>
      <c r="K11" s="6">
        <v>105.7</v>
      </c>
      <c r="L11" s="6">
        <v>104.2</v>
      </c>
      <c r="M11" s="6">
        <v>103.2</v>
      </c>
      <c r="N11" s="6">
        <v>106.5</v>
      </c>
      <c r="O11" s="6">
        <v>108.8</v>
      </c>
      <c r="P11" s="6">
        <v>107.1</v>
      </c>
      <c r="Q11" s="6">
        <v>107.1</v>
      </c>
      <c r="R11" s="6">
        <v>108.1</v>
      </c>
      <c r="S11" s="6">
        <v>107.4</v>
      </c>
      <c r="T11" s="6">
        <v>108</v>
      </c>
      <c r="V11" s="6">
        <v>106.5</v>
      </c>
      <c r="W11" s="6">
        <v>106.1</v>
      </c>
      <c r="X11" s="6">
        <v>105.1</v>
      </c>
      <c r="Y11" s="6">
        <v>104.4</v>
      </c>
      <c r="Z11" s="6">
        <v>104.5</v>
      </c>
      <c r="AA11" s="6">
        <v>104.8</v>
      </c>
      <c r="AB11" s="6">
        <v>102.7</v>
      </c>
      <c r="AC11" s="6">
        <v>104.6</v>
      </c>
      <c r="AD11" s="6">
        <v>106.4</v>
      </c>
      <c r="AE11" s="6" t="str">
        <f t="shared" si="0"/>
        <v>Rural|2013|April</v>
      </c>
    </row>
    <row r="12" spans="1:31">
      <c r="A12" s="6" t="s">
        <v>51</v>
      </c>
      <c r="B12" s="6">
        <v>2013</v>
      </c>
      <c r="C12" s="6" t="s">
        <v>55</v>
      </c>
      <c r="D12" s="6">
        <v>114.6</v>
      </c>
      <c r="E12" s="6">
        <v>113.4</v>
      </c>
      <c r="F12" s="6">
        <v>106</v>
      </c>
      <c r="G12" s="6">
        <v>104.7</v>
      </c>
      <c r="H12" s="6">
        <v>102.1</v>
      </c>
      <c r="I12" s="6">
        <v>109.5</v>
      </c>
      <c r="J12" s="6">
        <v>109.7</v>
      </c>
      <c r="K12" s="6">
        <v>104.6</v>
      </c>
      <c r="L12" s="6">
        <v>102</v>
      </c>
      <c r="M12" s="6">
        <v>103.5</v>
      </c>
      <c r="N12" s="6">
        <v>108.2</v>
      </c>
      <c r="O12" s="6">
        <v>110.6</v>
      </c>
      <c r="P12" s="6">
        <v>108.8</v>
      </c>
      <c r="Q12" s="6">
        <v>108.5</v>
      </c>
      <c r="R12" s="6">
        <v>107.9</v>
      </c>
      <c r="S12" s="6">
        <v>106.4</v>
      </c>
      <c r="T12" s="6">
        <v>107.7</v>
      </c>
      <c r="U12" s="6">
        <v>100.5</v>
      </c>
      <c r="V12" s="6">
        <v>106.4</v>
      </c>
      <c r="W12" s="6">
        <v>106.5</v>
      </c>
      <c r="X12" s="6">
        <v>105.7</v>
      </c>
      <c r="Y12" s="6">
        <v>105</v>
      </c>
      <c r="Z12" s="6">
        <v>104</v>
      </c>
      <c r="AA12" s="6">
        <v>105.2</v>
      </c>
      <c r="AB12" s="6">
        <v>103.2</v>
      </c>
      <c r="AC12" s="6">
        <v>105.1</v>
      </c>
      <c r="AD12" s="6">
        <v>105.7</v>
      </c>
      <c r="AE12" s="6" t="str">
        <f t="shared" si="0"/>
        <v>Urban|2013|April</v>
      </c>
    </row>
    <row r="13" spans="1:31">
      <c r="A13" s="6" t="s">
        <v>52</v>
      </c>
      <c r="B13" s="6">
        <v>2013</v>
      </c>
      <c r="C13" s="6" t="s">
        <v>55</v>
      </c>
      <c r="D13" s="6">
        <v>111.6</v>
      </c>
      <c r="E13" s="6">
        <v>110.9</v>
      </c>
      <c r="F13" s="6">
        <v>106.6</v>
      </c>
      <c r="G13" s="6">
        <v>105.7</v>
      </c>
      <c r="H13" s="6">
        <v>104.4</v>
      </c>
      <c r="I13" s="6">
        <v>108.9</v>
      </c>
      <c r="J13" s="6">
        <v>105.5</v>
      </c>
      <c r="K13" s="6">
        <v>105.3</v>
      </c>
      <c r="L13" s="6">
        <v>103.5</v>
      </c>
      <c r="M13" s="6">
        <v>103.3</v>
      </c>
      <c r="N13" s="6">
        <v>107.2</v>
      </c>
      <c r="O13" s="6">
        <v>109.6</v>
      </c>
      <c r="P13" s="6">
        <v>107.7</v>
      </c>
      <c r="Q13" s="6">
        <v>107.5</v>
      </c>
      <c r="R13" s="6">
        <v>108</v>
      </c>
      <c r="S13" s="6">
        <v>107</v>
      </c>
      <c r="T13" s="6">
        <v>107.9</v>
      </c>
      <c r="U13" s="6">
        <v>100.5</v>
      </c>
      <c r="V13" s="6">
        <v>106.5</v>
      </c>
      <c r="W13" s="6">
        <v>106.3</v>
      </c>
      <c r="X13" s="6">
        <v>105.3</v>
      </c>
      <c r="Y13" s="6">
        <v>104.7</v>
      </c>
      <c r="Z13" s="6">
        <v>104.2</v>
      </c>
      <c r="AA13" s="6">
        <v>105</v>
      </c>
      <c r="AB13" s="6">
        <v>102.9</v>
      </c>
      <c r="AC13" s="6">
        <v>104.8</v>
      </c>
      <c r="AD13" s="6">
        <v>106.1</v>
      </c>
      <c r="AE13" s="6" t="str">
        <f t="shared" si="0"/>
        <v>Rural+Urban|2013|April</v>
      </c>
    </row>
    <row r="14" spans="1:31">
      <c r="A14" s="6" t="s">
        <v>49</v>
      </c>
      <c r="B14" s="6">
        <v>2013</v>
      </c>
      <c r="C14" s="6" t="s">
        <v>56</v>
      </c>
      <c r="D14" s="6">
        <v>110.9</v>
      </c>
      <c r="E14" s="6">
        <v>109.8</v>
      </c>
      <c r="F14" s="6">
        <v>105.9</v>
      </c>
      <c r="G14" s="6">
        <v>107.5</v>
      </c>
      <c r="H14" s="6">
        <v>105.3</v>
      </c>
      <c r="I14" s="6">
        <v>108.1</v>
      </c>
      <c r="J14" s="6">
        <v>107.3</v>
      </c>
      <c r="K14" s="6">
        <v>106.1</v>
      </c>
      <c r="L14" s="6">
        <v>103.7</v>
      </c>
      <c r="M14" s="6">
        <v>104</v>
      </c>
      <c r="N14" s="6">
        <v>107.4</v>
      </c>
      <c r="O14" s="6">
        <v>109.9</v>
      </c>
      <c r="P14" s="6">
        <v>108.1</v>
      </c>
      <c r="Q14" s="6">
        <v>108.1</v>
      </c>
      <c r="R14" s="6">
        <v>108.8</v>
      </c>
      <c r="S14" s="6">
        <v>107.9</v>
      </c>
      <c r="T14" s="6">
        <v>108.6</v>
      </c>
      <c r="V14" s="6">
        <v>107.5</v>
      </c>
      <c r="W14" s="6">
        <v>106.8</v>
      </c>
      <c r="X14" s="6">
        <v>105.7</v>
      </c>
      <c r="Y14" s="6">
        <v>104.1</v>
      </c>
      <c r="Z14" s="6">
        <v>105</v>
      </c>
      <c r="AA14" s="6">
        <v>105.5</v>
      </c>
      <c r="AB14" s="6">
        <v>102.1</v>
      </c>
      <c r="AC14" s="6">
        <v>104.8</v>
      </c>
      <c r="AD14" s="6">
        <v>107.2</v>
      </c>
      <c r="AE14" s="6" t="str">
        <f t="shared" si="0"/>
        <v>Rural|2013|May</v>
      </c>
    </row>
    <row r="15" spans="1:31">
      <c r="A15" s="6" t="s">
        <v>51</v>
      </c>
      <c r="B15" s="6">
        <v>2013</v>
      </c>
      <c r="C15" s="6" t="s">
        <v>56</v>
      </c>
      <c r="D15" s="6">
        <v>115.4</v>
      </c>
      <c r="E15" s="6">
        <v>114.2</v>
      </c>
      <c r="F15" s="6">
        <v>102.7</v>
      </c>
      <c r="G15" s="6">
        <v>105.5</v>
      </c>
      <c r="H15" s="6">
        <v>101.5</v>
      </c>
      <c r="I15" s="6">
        <v>110.6</v>
      </c>
      <c r="J15" s="6">
        <v>123.7</v>
      </c>
      <c r="K15" s="6">
        <v>105.2</v>
      </c>
      <c r="L15" s="6">
        <v>101.9</v>
      </c>
      <c r="M15" s="6">
        <v>105</v>
      </c>
      <c r="N15" s="6">
        <v>109.1</v>
      </c>
      <c r="O15" s="6">
        <v>111.3</v>
      </c>
      <c r="P15" s="6">
        <v>111.1</v>
      </c>
      <c r="Q15" s="6">
        <v>109.8</v>
      </c>
      <c r="R15" s="6">
        <v>108.5</v>
      </c>
      <c r="S15" s="6">
        <v>106.7</v>
      </c>
      <c r="T15" s="6">
        <v>108.3</v>
      </c>
      <c r="U15" s="6">
        <v>100.5</v>
      </c>
      <c r="V15" s="6">
        <v>107.2</v>
      </c>
      <c r="W15" s="6">
        <v>107.1</v>
      </c>
      <c r="X15" s="6">
        <v>106.2</v>
      </c>
      <c r="Y15" s="6">
        <v>103.9</v>
      </c>
      <c r="Z15" s="6">
        <v>104.6</v>
      </c>
      <c r="AA15" s="6">
        <v>105.7</v>
      </c>
      <c r="AB15" s="6">
        <v>102.6</v>
      </c>
      <c r="AC15" s="6">
        <v>104.9</v>
      </c>
      <c r="AD15" s="6">
        <v>106.6</v>
      </c>
      <c r="AE15" s="6" t="str">
        <f t="shared" si="0"/>
        <v>Urban|2013|May</v>
      </c>
    </row>
    <row r="16" spans="1:31">
      <c r="A16" s="6" t="s">
        <v>52</v>
      </c>
      <c r="B16" s="6">
        <v>2013</v>
      </c>
      <c r="C16" s="6" t="s">
        <v>56</v>
      </c>
      <c r="D16" s="6">
        <v>112.3</v>
      </c>
      <c r="E16" s="6">
        <v>111.3</v>
      </c>
      <c r="F16" s="6">
        <v>104.7</v>
      </c>
      <c r="G16" s="6">
        <v>106.8</v>
      </c>
      <c r="H16" s="6">
        <v>103.9</v>
      </c>
      <c r="I16" s="6">
        <v>109.3</v>
      </c>
      <c r="J16" s="6">
        <v>112.9</v>
      </c>
      <c r="K16" s="6">
        <v>105.8</v>
      </c>
      <c r="L16" s="6">
        <v>103.1</v>
      </c>
      <c r="M16" s="6">
        <v>104.3</v>
      </c>
      <c r="N16" s="6">
        <v>108.1</v>
      </c>
      <c r="O16" s="6">
        <v>110.5</v>
      </c>
      <c r="P16" s="6">
        <v>109.2</v>
      </c>
      <c r="Q16" s="6">
        <v>108.6</v>
      </c>
      <c r="R16" s="6">
        <v>108.7</v>
      </c>
      <c r="S16" s="6">
        <v>107.4</v>
      </c>
      <c r="T16" s="6">
        <v>108.5</v>
      </c>
      <c r="U16" s="6">
        <v>100.5</v>
      </c>
      <c r="V16" s="6">
        <v>107.4</v>
      </c>
      <c r="W16" s="6">
        <v>106.9</v>
      </c>
      <c r="X16" s="6">
        <v>105.9</v>
      </c>
      <c r="Y16" s="6">
        <v>104</v>
      </c>
      <c r="Z16" s="6">
        <v>104.8</v>
      </c>
      <c r="AA16" s="6">
        <v>105.6</v>
      </c>
      <c r="AB16" s="6">
        <v>102.3</v>
      </c>
      <c r="AC16" s="6">
        <v>104.8</v>
      </c>
      <c r="AD16" s="6">
        <v>106.9</v>
      </c>
      <c r="AE16" s="6" t="str">
        <f t="shared" si="0"/>
        <v>Rural+Urban|2013|May</v>
      </c>
    </row>
    <row r="17" spans="1:31">
      <c r="A17" s="6" t="s">
        <v>49</v>
      </c>
      <c r="B17" s="6">
        <v>2013</v>
      </c>
      <c r="C17" s="6" t="s">
        <v>57</v>
      </c>
      <c r="D17" s="6">
        <v>112.3</v>
      </c>
      <c r="E17" s="6">
        <v>112.1</v>
      </c>
      <c r="F17" s="6">
        <v>108.1</v>
      </c>
      <c r="G17" s="6">
        <v>108.3</v>
      </c>
      <c r="H17" s="6">
        <v>105.9</v>
      </c>
      <c r="I17" s="6">
        <v>109.2</v>
      </c>
      <c r="J17" s="6">
        <v>118</v>
      </c>
      <c r="K17" s="6">
        <v>106.8</v>
      </c>
      <c r="L17" s="6">
        <v>104.1</v>
      </c>
      <c r="M17" s="6">
        <v>105.4</v>
      </c>
      <c r="N17" s="6">
        <v>108.2</v>
      </c>
      <c r="O17" s="6">
        <v>111</v>
      </c>
      <c r="P17" s="6">
        <v>110.6</v>
      </c>
      <c r="Q17" s="6">
        <v>109</v>
      </c>
      <c r="R17" s="6">
        <v>109.7</v>
      </c>
      <c r="S17" s="6">
        <v>108.8</v>
      </c>
      <c r="T17" s="6">
        <v>109.5</v>
      </c>
      <c r="V17" s="6">
        <v>108.5</v>
      </c>
      <c r="W17" s="6">
        <v>107.5</v>
      </c>
      <c r="X17" s="6">
        <v>106.3</v>
      </c>
      <c r="Y17" s="6">
        <v>105</v>
      </c>
      <c r="Z17" s="6">
        <v>105.6</v>
      </c>
      <c r="AA17" s="6">
        <v>106.5</v>
      </c>
      <c r="AB17" s="6">
        <v>102.5</v>
      </c>
      <c r="AC17" s="6">
        <v>105.5</v>
      </c>
      <c r="AD17" s="6">
        <v>108.9</v>
      </c>
      <c r="AE17" s="6" t="str">
        <f t="shared" si="0"/>
        <v>Rural|2013|June</v>
      </c>
    </row>
    <row r="18" spans="1:31">
      <c r="A18" s="6" t="s">
        <v>51</v>
      </c>
      <c r="B18" s="6">
        <v>2013</v>
      </c>
      <c r="C18" s="6" t="s">
        <v>57</v>
      </c>
      <c r="D18" s="6">
        <v>117</v>
      </c>
      <c r="E18" s="6">
        <v>120.1</v>
      </c>
      <c r="F18" s="6">
        <v>112.5</v>
      </c>
      <c r="G18" s="6">
        <v>107.3</v>
      </c>
      <c r="H18" s="6">
        <v>101.3</v>
      </c>
      <c r="I18" s="6">
        <v>112.4</v>
      </c>
      <c r="J18" s="6">
        <v>143.6</v>
      </c>
      <c r="K18" s="6">
        <v>105.4</v>
      </c>
      <c r="L18" s="6">
        <v>101.4</v>
      </c>
      <c r="M18" s="6">
        <v>106.4</v>
      </c>
      <c r="N18" s="6">
        <v>110</v>
      </c>
      <c r="O18" s="6">
        <v>112.2</v>
      </c>
      <c r="P18" s="6">
        <v>115</v>
      </c>
      <c r="Q18" s="6">
        <v>110.9</v>
      </c>
      <c r="R18" s="6">
        <v>109.2</v>
      </c>
      <c r="S18" s="6">
        <v>107.2</v>
      </c>
      <c r="T18" s="6">
        <v>108.9</v>
      </c>
      <c r="U18" s="6">
        <v>106.6</v>
      </c>
      <c r="V18" s="6">
        <v>108</v>
      </c>
      <c r="W18" s="6">
        <v>107.7</v>
      </c>
      <c r="X18" s="6">
        <v>106.5</v>
      </c>
      <c r="Y18" s="6">
        <v>105.2</v>
      </c>
      <c r="Z18" s="6">
        <v>105.2</v>
      </c>
      <c r="AA18" s="6">
        <v>108.1</v>
      </c>
      <c r="AB18" s="6">
        <v>103.3</v>
      </c>
      <c r="AC18" s="6">
        <v>106.1</v>
      </c>
      <c r="AD18" s="6">
        <v>109.7</v>
      </c>
      <c r="AE18" s="6" t="str">
        <f t="shared" si="0"/>
        <v>Urban|2013|June</v>
      </c>
    </row>
    <row r="19" spans="1:31">
      <c r="A19" s="6" t="s">
        <v>52</v>
      </c>
      <c r="B19" s="6">
        <v>2013</v>
      </c>
      <c r="C19" s="6" t="s">
        <v>57</v>
      </c>
      <c r="D19" s="6">
        <v>113.8</v>
      </c>
      <c r="E19" s="6">
        <v>114.9</v>
      </c>
      <c r="F19" s="6">
        <v>109.8</v>
      </c>
      <c r="G19" s="6">
        <v>107.9</v>
      </c>
      <c r="H19" s="6">
        <v>104.2</v>
      </c>
      <c r="I19" s="6">
        <v>110.7</v>
      </c>
      <c r="J19" s="6">
        <v>126.7</v>
      </c>
      <c r="K19" s="6">
        <v>106.3</v>
      </c>
      <c r="L19" s="6">
        <v>103.2</v>
      </c>
      <c r="M19" s="6">
        <v>105.7</v>
      </c>
      <c r="N19" s="6">
        <v>109</v>
      </c>
      <c r="O19" s="6">
        <v>111.6</v>
      </c>
      <c r="P19" s="6">
        <v>112.2</v>
      </c>
      <c r="Q19" s="6">
        <v>109.5</v>
      </c>
      <c r="R19" s="6">
        <v>109.5</v>
      </c>
      <c r="S19" s="6">
        <v>108.1</v>
      </c>
      <c r="T19" s="6">
        <v>109.3</v>
      </c>
      <c r="U19" s="6">
        <v>106.6</v>
      </c>
      <c r="V19" s="6">
        <v>108.3</v>
      </c>
      <c r="W19" s="6">
        <v>107.6</v>
      </c>
      <c r="X19" s="6">
        <v>106.4</v>
      </c>
      <c r="Y19" s="6">
        <v>105.1</v>
      </c>
      <c r="Z19" s="6">
        <v>105.4</v>
      </c>
      <c r="AA19" s="6">
        <v>107.4</v>
      </c>
      <c r="AB19" s="6">
        <v>102.8</v>
      </c>
      <c r="AC19" s="6">
        <v>105.8</v>
      </c>
      <c r="AD19" s="6">
        <v>109.3</v>
      </c>
      <c r="AE19" s="6" t="str">
        <f t="shared" si="0"/>
        <v>Rural+Urban|2013|June</v>
      </c>
    </row>
    <row r="20" spans="1:31">
      <c r="A20" s="6" t="s">
        <v>49</v>
      </c>
      <c r="B20" s="6">
        <v>2013</v>
      </c>
      <c r="C20" s="6" t="s">
        <v>58</v>
      </c>
      <c r="D20" s="6">
        <v>113.4</v>
      </c>
      <c r="E20" s="6">
        <v>114.9</v>
      </c>
      <c r="F20" s="6">
        <v>110.5</v>
      </c>
      <c r="G20" s="6">
        <v>109.3</v>
      </c>
      <c r="H20" s="6">
        <v>106.2</v>
      </c>
      <c r="I20" s="6">
        <v>110.3</v>
      </c>
      <c r="J20" s="6">
        <v>129.2</v>
      </c>
      <c r="K20" s="6">
        <v>107.1</v>
      </c>
      <c r="L20" s="6">
        <v>104.3</v>
      </c>
      <c r="M20" s="6">
        <v>106.4</v>
      </c>
      <c r="N20" s="6">
        <v>109.1</v>
      </c>
      <c r="O20" s="6">
        <v>112.1</v>
      </c>
      <c r="P20" s="6">
        <v>113.1</v>
      </c>
      <c r="Q20" s="6">
        <v>109.8</v>
      </c>
      <c r="R20" s="6">
        <v>110.5</v>
      </c>
      <c r="S20" s="6">
        <v>109.5</v>
      </c>
      <c r="T20" s="6">
        <v>110.3</v>
      </c>
      <c r="V20" s="6">
        <v>109.5</v>
      </c>
      <c r="W20" s="6">
        <v>108.3</v>
      </c>
      <c r="X20" s="6">
        <v>106.9</v>
      </c>
      <c r="Y20" s="6">
        <v>106.8</v>
      </c>
      <c r="Z20" s="6">
        <v>106.4</v>
      </c>
      <c r="AA20" s="6">
        <v>107.8</v>
      </c>
      <c r="AB20" s="6">
        <v>102.5</v>
      </c>
      <c r="AC20" s="6">
        <v>106.5</v>
      </c>
      <c r="AD20" s="6">
        <v>110.7</v>
      </c>
      <c r="AE20" s="6" t="str">
        <f t="shared" si="0"/>
        <v>Rural|2013|July</v>
      </c>
    </row>
    <row r="21" spans="1:31">
      <c r="A21" s="6" t="s">
        <v>51</v>
      </c>
      <c r="B21" s="6">
        <v>2013</v>
      </c>
      <c r="C21" s="6" t="s">
        <v>58</v>
      </c>
      <c r="D21" s="6">
        <v>117.8</v>
      </c>
      <c r="E21" s="6">
        <v>119.2</v>
      </c>
      <c r="F21" s="6">
        <v>114</v>
      </c>
      <c r="G21" s="6">
        <v>108.3</v>
      </c>
      <c r="H21" s="6">
        <v>101.1</v>
      </c>
      <c r="I21" s="6">
        <v>113.2</v>
      </c>
      <c r="J21" s="6">
        <v>160.9</v>
      </c>
      <c r="K21" s="6">
        <v>105.1</v>
      </c>
      <c r="L21" s="6">
        <v>101.3</v>
      </c>
      <c r="M21" s="6">
        <v>107.5</v>
      </c>
      <c r="N21" s="6">
        <v>110.4</v>
      </c>
      <c r="O21" s="6">
        <v>113.1</v>
      </c>
      <c r="P21" s="6">
        <v>117.5</v>
      </c>
      <c r="Q21" s="6">
        <v>111.7</v>
      </c>
      <c r="R21" s="6">
        <v>109.8</v>
      </c>
      <c r="S21" s="6">
        <v>107.8</v>
      </c>
      <c r="T21" s="6">
        <v>109.5</v>
      </c>
      <c r="U21" s="6">
        <v>107.7</v>
      </c>
      <c r="V21" s="6">
        <v>108.6</v>
      </c>
      <c r="W21" s="6">
        <v>108.1</v>
      </c>
      <c r="X21" s="6">
        <v>107.1</v>
      </c>
      <c r="Y21" s="6">
        <v>107.3</v>
      </c>
      <c r="Z21" s="6">
        <v>105.9</v>
      </c>
      <c r="AA21" s="6">
        <v>110.1</v>
      </c>
      <c r="AB21" s="6">
        <v>103.2</v>
      </c>
      <c r="AC21" s="6">
        <v>107.3</v>
      </c>
      <c r="AD21" s="6">
        <v>111.4</v>
      </c>
      <c r="AE21" s="6" t="str">
        <f t="shared" si="0"/>
        <v>Urban|2013|July</v>
      </c>
    </row>
    <row r="22" spans="1:31">
      <c r="A22" s="6" t="s">
        <v>52</v>
      </c>
      <c r="B22" s="6">
        <v>2013</v>
      </c>
      <c r="C22" s="6" t="s">
        <v>58</v>
      </c>
      <c r="D22" s="6">
        <v>114.8</v>
      </c>
      <c r="E22" s="6">
        <v>116.4</v>
      </c>
      <c r="F22" s="6">
        <v>111.9</v>
      </c>
      <c r="G22" s="6">
        <v>108.9</v>
      </c>
      <c r="H22" s="6">
        <v>104.3</v>
      </c>
      <c r="I22" s="6">
        <v>111.7</v>
      </c>
      <c r="J22" s="6">
        <v>140</v>
      </c>
      <c r="K22" s="6">
        <v>106.4</v>
      </c>
      <c r="L22" s="6">
        <v>103.3</v>
      </c>
      <c r="M22" s="6">
        <v>106.8</v>
      </c>
      <c r="N22" s="6">
        <v>109.6</v>
      </c>
      <c r="O22" s="6">
        <v>112.6</v>
      </c>
      <c r="P22" s="6">
        <v>114.7</v>
      </c>
      <c r="Q22" s="6">
        <v>110.3</v>
      </c>
      <c r="R22" s="6">
        <v>110.2</v>
      </c>
      <c r="S22" s="6">
        <v>108.8</v>
      </c>
      <c r="T22" s="6">
        <v>110</v>
      </c>
      <c r="U22" s="6">
        <v>107.7</v>
      </c>
      <c r="V22" s="6">
        <v>109.2</v>
      </c>
      <c r="W22" s="6">
        <v>108.2</v>
      </c>
      <c r="X22" s="6">
        <v>107</v>
      </c>
      <c r="Y22" s="6">
        <v>107.1</v>
      </c>
      <c r="Z22" s="6">
        <v>106.1</v>
      </c>
      <c r="AA22" s="6">
        <v>109.1</v>
      </c>
      <c r="AB22" s="6">
        <v>102.8</v>
      </c>
      <c r="AC22" s="6">
        <v>106.9</v>
      </c>
      <c r="AD22" s="6">
        <v>111</v>
      </c>
      <c r="AE22" s="6" t="str">
        <f t="shared" si="0"/>
        <v>Rural+Urban|2013|July</v>
      </c>
    </row>
    <row r="23" spans="1:31">
      <c r="A23" s="6" t="s">
        <v>49</v>
      </c>
      <c r="B23" s="6">
        <v>2013</v>
      </c>
      <c r="C23" s="6" t="s">
        <v>59</v>
      </c>
      <c r="D23" s="6">
        <v>114.3</v>
      </c>
      <c r="E23" s="6">
        <v>115.4</v>
      </c>
      <c r="F23" s="6">
        <v>111.1</v>
      </c>
      <c r="G23" s="6">
        <v>110</v>
      </c>
      <c r="H23" s="6">
        <v>106.4</v>
      </c>
      <c r="I23" s="6">
        <v>110.8</v>
      </c>
      <c r="J23" s="6">
        <v>138.9</v>
      </c>
      <c r="K23" s="6">
        <v>107.4</v>
      </c>
      <c r="L23" s="6">
        <v>104.1</v>
      </c>
      <c r="M23" s="6">
        <v>106.9</v>
      </c>
      <c r="N23" s="6">
        <v>109.7</v>
      </c>
      <c r="O23" s="6">
        <v>112.6</v>
      </c>
      <c r="P23" s="6">
        <v>114.9</v>
      </c>
      <c r="Q23" s="6">
        <v>110.7</v>
      </c>
      <c r="R23" s="6">
        <v>111.3</v>
      </c>
      <c r="S23" s="6">
        <v>110.2</v>
      </c>
      <c r="T23" s="6">
        <v>111.1</v>
      </c>
      <c r="V23" s="6">
        <v>109.9</v>
      </c>
      <c r="W23" s="6">
        <v>108.7</v>
      </c>
      <c r="X23" s="6">
        <v>107.5</v>
      </c>
      <c r="Y23" s="6">
        <v>107.8</v>
      </c>
      <c r="Z23" s="6">
        <v>106.8</v>
      </c>
      <c r="AA23" s="6">
        <v>108.7</v>
      </c>
      <c r="AB23" s="6">
        <v>105</v>
      </c>
      <c r="AC23" s="6">
        <v>107.5</v>
      </c>
      <c r="AD23" s="6">
        <v>112.1</v>
      </c>
      <c r="AE23" s="6" t="str">
        <f t="shared" si="0"/>
        <v>Rural|2013|August</v>
      </c>
    </row>
    <row r="24" spans="1:31">
      <c r="A24" s="6" t="s">
        <v>51</v>
      </c>
      <c r="B24" s="6">
        <v>2013</v>
      </c>
      <c r="C24" s="6" t="s">
        <v>59</v>
      </c>
      <c r="D24" s="6">
        <v>118.3</v>
      </c>
      <c r="E24" s="6">
        <v>120.4</v>
      </c>
      <c r="F24" s="6">
        <v>112.7</v>
      </c>
      <c r="G24" s="6">
        <v>108.9</v>
      </c>
      <c r="H24" s="6">
        <v>101.1</v>
      </c>
      <c r="I24" s="6">
        <v>108.7</v>
      </c>
      <c r="J24" s="6">
        <v>177</v>
      </c>
      <c r="K24" s="6">
        <v>104.7</v>
      </c>
      <c r="L24" s="6">
        <v>101</v>
      </c>
      <c r="M24" s="6">
        <v>108.5</v>
      </c>
      <c r="N24" s="6">
        <v>110.9</v>
      </c>
      <c r="O24" s="6">
        <v>114.3</v>
      </c>
      <c r="P24" s="6">
        <v>119.6</v>
      </c>
      <c r="Q24" s="6">
        <v>112.4</v>
      </c>
      <c r="R24" s="6">
        <v>110.6</v>
      </c>
      <c r="S24" s="6">
        <v>108.3</v>
      </c>
      <c r="T24" s="6">
        <v>110.2</v>
      </c>
      <c r="U24" s="6">
        <v>108.9</v>
      </c>
      <c r="V24" s="6">
        <v>109.3</v>
      </c>
      <c r="W24" s="6">
        <v>108.7</v>
      </c>
      <c r="X24" s="6">
        <v>107.6</v>
      </c>
      <c r="Y24" s="6">
        <v>108.1</v>
      </c>
      <c r="Z24" s="6">
        <v>106.5</v>
      </c>
      <c r="AA24" s="6">
        <v>110.8</v>
      </c>
      <c r="AB24" s="6">
        <v>106</v>
      </c>
      <c r="AC24" s="6">
        <v>108.3</v>
      </c>
      <c r="AD24" s="6">
        <v>112.7</v>
      </c>
      <c r="AE24" s="6" t="str">
        <f t="shared" si="0"/>
        <v>Urban|2013|August</v>
      </c>
    </row>
    <row r="25" spans="1:31">
      <c r="A25" s="6" t="s">
        <v>52</v>
      </c>
      <c r="B25" s="6">
        <v>2013</v>
      </c>
      <c r="C25" s="6" t="s">
        <v>59</v>
      </c>
      <c r="D25" s="6">
        <v>115.6</v>
      </c>
      <c r="E25" s="6">
        <v>117.2</v>
      </c>
      <c r="F25" s="6">
        <v>111.7</v>
      </c>
      <c r="G25" s="6">
        <v>109.6</v>
      </c>
      <c r="H25" s="6">
        <v>104.5</v>
      </c>
      <c r="I25" s="6">
        <v>109.8</v>
      </c>
      <c r="J25" s="6">
        <v>151.8</v>
      </c>
      <c r="K25" s="6">
        <v>106.5</v>
      </c>
      <c r="L25" s="6">
        <v>103.1</v>
      </c>
      <c r="M25" s="6">
        <v>107.4</v>
      </c>
      <c r="N25" s="6">
        <v>110.2</v>
      </c>
      <c r="O25" s="6">
        <v>113.4</v>
      </c>
      <c r="P25" s="6">
        <v>116.6</v>
      </c>
      <c r="Q25" s="6">
        <v>111.2</v>
      </c>
      <c r="R25" s="6">
        <v>111</v>
      </c>
      <c r="S25" s="6">
        <v>109.4</v>
      </c>
      <c r="T25" s="6">
        <v>110.7</v>
      </c>
      <c r="U25" s="6">
        <v>108.9</v>
      </c>
      <c r="V25" s="6">
        <v>109.7</v>
      </c>
      <c r="W25" s="6">
        <v>108.7</v>
      </c>
      <c r="X25" s="6">
        <v>107.5</v>
      </c>
      <c r="Y25" s="6">
        <v>108</v>
      </c>
      <c r="Z25" s="6">
        <v>106.6</v>
      </c>
      <c r="AA25" s="6">
        <v>109.9</v>
      </c>
      <c r="AB25" s="6">
        <v>105.4</v>
      </c>
      <c r="AC25" s="6">
        <v>107.9</v>
      </c>
      <c r="AD25" s="6">
        <v>112.4</v>
      </c>
      <c r="AE25" s="6" t="str">
        <f t="shared" si="0"/>
        <v>Rural+Urban|2013|August</v>
      </c>
    </row>
    <row r="26" spans="1:31">
      <c r="A26" s="6" t="s">
        <v>49</v>
      </c>
      <c r="B26" s="6">
        <v>2013</v>
      </c>
      <c r="C26" s="6" t="s">
        <v>60</v>
      </c>
      <c r="D26" s="6">
        <v>115.4</v>
      </c>
      <c r="E26" s="6">
        <v>115.7</v>
      </c>
      <c r="F26" s="6">
        <v>111.7</v>
      </c>
      <c r="G26" s="6">
        <v>111</v>
      </c>
      <c r="H26" s="6">
        <v>107.4</v>
      </c>
      <c r="I26" s="6">
        <v>110.9</v>
      </c>
      <c r="J26" s="6">
        <v>154</v>
      </c>
      <c r="K26" s="6">
        <v>108.1</v>
      </c>
      <c r="L26" s="6">
        <v>104.2</v>
      </c>
      <c r="M26" s="6">
        <v>107.9</v>
      </c>
      <c r="N26" s="6">
        <v>110.4</v>
      </c>
      <c r="O26" s="6">
        <v>114</v>
      </c>
      <c r="P26" s="6">
        <v>117.8</v>
      </c>
      <c r="Q26" s="6">
        <v>111.7</v>
      </c>
      <c r="R26" s="6">
        <v>112.7</v>
      </c>
      <c r="S26" s="6">
        <v>111.4</v>
      </c>
      <c r="T26" s="6">
        <v>112.5</v>
      </c>
      <c r="V26" s="6">
        <v>111.1</v>
      </c>
      <c r="W26" s="6">
        <v>109.6</v>
      </c>
      <c r="X26" s="6">
        <v>108.3</v>
      </c>
      <c r="Y26" s="6">
        <v>109.3</v>
      </c>
      <c r="Z26" s="6">
        <v>107.7</v>
      </c>
      <c r="AA26" s="6">
        <v>109.8</v>
      </c>
      <c r="AB26" s="6">
        <v>106.7</v>
      </c>
      <c r="AC26" s="6">
        <v>108.7</v>
      </c>
      <c r="AD26" s="6">
        <v>114.2</v>
      </c>
      <c r="AE26" s="6" t="str">
        <f t="shared" si="0"/>
        <v>Rural|2013|September</v>
      </c>
    </row>
    <row r="27" spans="1:31">
      <c r="A27" s="6" t="s">
        <v>51</v>
      </c>
      <c r="B27" s="6">
        <v>2013</v>
      </c>
      <c r="C27" s="6" t="s">
        <v>60</v>
      </c>
      <c r="D27" s="6">
        <v>118.6</v>
      </c>
      <c r="E27" s="6">
        <v>119.1</v>
      </c>
      <c r="F27" s="6">
        <v>113.2</v>
      </c>
      <c r="G27" s="6">
        <v>109.6</v>
      </c>
      <c r="H27" s="6">
        <v>101.7</v>
      </c>
      <c r="I27" s="6">
        <v>103.2</v>
      </c>
      <c r="J27" s="6">
        <v>174.3</v>
      </c>
      <c r="K27" s="6">
        <v>105.1</v>
      </c>
      <c r="L27" s="6">
        <v>100.8</v>
      </c>
      <c r="M27" s="6">
        <v>109.1</v>
      </c>
      <c r="N27" s="6">
        <v>111.1</v>
      </c>
      <c r="O27" s="6">
        <v>115.4</v>
      </c>
      <c r="P27" s="6">
        <v>119.2</v>
      </c>
      <c r="Q27" s="6">
        <v>112.9</v>
      </c>
      <c r="R27" s="6">
        <v>111.4</v>
      </c>
      <c r="S27" s="6">
        <v>109</v>
      </c>
      <c r="T27" s="6">
        <v>111.1</v>
      </c>
      <c r="U27" s="6">
        <v>109.7</v>
      </c>
      <c r="V27" s="6">
        <v>109.5</v>
      </c>
      <c r="W27" s="6">
        <v>109.6</v>
      </c>
      <c r="X27" s="6">
        <v>107.9</v>
      </c>
      <c r="Y27" s="6">
        <v>110.4</v>
      </c>
      <c r="Z27" s="6">
        <v>107.4</v>
      </c>
      <c r="AA27" s="6">
        <v>111.2</v>
      </c>
      <c r="AB27" s="6">
        <v>106.9</v>
      </c>
      <c r="AC27" s="6">
        <v>109.4</v>
      </c>
      <c r="AD27" s="6">
        <v>113.2</v>
      </c>
      <c r="AE27" s="6" t="str">
        <f t="shared" si="0"/>
        <v>Urban|2013|September</v>
      </c>
    </row>
    <row r="28" spans="1:31">
      <c r="A28" s="6" t="s">
        <v>52</v>
      </c>
      <c r="B28" s="6">
        <v>2013</v>
      </c>
      <c r="C28" s="6" t="s">
        <v>60</v>
      </c>
      <c r="D28" s="6">
        <v>116.4</v>
      </c>
      <c r="E28" s="6">
        <v>116.9</v>
      </c>
      <c r="F28" s="6">
        <v>112.3</v>
      </c>
      <c r="G28" s="6">
        <v>110.5</v>
      </c>
      <c r="H28" s="6">
        <v>105.3</v>
      </c>
      <c r="I28" s="6">
        <v>107.3</v>
      </c>
      <c r="J28" s="6">
        <v>160.9</v>
      </c>
      <c r="K28" s="6">
        <v>107.1</v>
      </c>
      <c r="L28" s="6">
        <v>103.1</v>
      </c>
      <c r="M28" s="6">
        <v>108.3</v>
      </c>
      <c r="N28" s="6">
        <v>110.7</v>
      </c>
      <c r="O28" s="6">
        <v>114.6</v>
      </c>
      <c r="P28" s="6">
        <v>118.3</v>
      </c>
      <c r="Q28" s="6">
        <v>112</v>
      </c>
      <c r="R28" s="6">
        <v>112.2</v>
      </c>
      <c r="S28" s="6">
        <v>110.4</v>
      </c>
      <c r="T28" s="6">
        <v>111.9</v>
      </c>
      <c r="U28" s="6">
        <v>109.7</v>
      </c>
      <c r="V28" s="6">
        <v>110.5</v>
      </c>
      <c r="W28" s="6">
        <v>109.6</v>
      </c>
      <c r="X28" s="6">
        <v>108.1</v>
      </c>
      <c r="Y28" s="6">
        <v>109.9</v>
      </c>
      <c r="Z28" s="6">
        <v>107.5</v>
      </c>
      <c r="AA28" s="6">
        <v>110.6</v>
      </c>
      <c r="AB28" s="6">
        <v>106.8</v>
      </c>
      <c r="AC28" s="6">
        <v>109</v>
      </c>
      <c r="AD28" s="6">
        <v>113.7</v>
      </c>
      <c r="AE28" s="6" t="str">
        <f t="shared" si="0"/>
        <v>Rural+Urban|2013|September</v>
      </c>
    </row>
    <row r="29" spans="1:31">
      <c r="A29" s="6" t="s">
        <v>49</v>
      </c>
      <c r="B29" s="6">
        <v>2013</v>
      </c>
      <c r="C29" s="6" t="s">
        <v>61</v>
      </c>
      <c r="D29" s="6">
        <v>116.3</v>
      </c>
      <c r="E29" s="6">
        <v>115.4</v>
      </c>
      <c r="F29" s="6">
        <v>112.6</v>
      </c>
      <c r="G29" s="6">
        <v>111.7</v>
      </c>
      <c r="H29" s="6">
        <v>107.7</v>
      </c>
      <c r="I29" s="6">
        <v>113.2</v>
      </c>
      <c r="J29" s="6">
        <v>164.9</v>
      </c>
      <c r="K29" s="6">
        <v>108.3</v>
      </c>
      <c r="L29" s="6">
        <v>103.9</v>
      </c>
      <c r="M29" s="6">
        <v>108.2</v>
      </c>
      <c r="N29" s="6">
        <v>111.1</v>
      </c>
      <c r="O29" s="6">
        <v>114.9</v>
      </c>
      <c r="P29" s="6">
        <v>119.8</v>
      </c>
      <c r="Q29" s="6">
        <v>112.2</v>
      </c>
      <c r="R29" s="6">
        <v>113.6</v>
      </c>
      <c r="S29" s="6">
        <v>112.3</v>
      </c>
      <c r="T29" s="6">
        <v>113.4</v>
      </c>
      <c r="V29" s="6">
        <v>111.6</v>
      </c>
      <c r="W29" s="6">
        <v>110.4</v>
      </c>
      <c r="X29" s="6">
        <v>108.9</v>
      </c>
      <c r="Y29" s="6">
        <v>109.3</v>
      </c>
      <c r="Z29" s="6">
        <v>108.3</v>
      </c>
      <c r="AA29" s="6">
        <v>110.2</v>
      </c>
      <c r="AB29" s="6">
        <v>107.5</v>
      </c>
      <c r="AC29" s="6">
        <v>109.1</v>
      </c>
      <c r="AD29" s="6">
        <v>115.5</v>
      </c>
      <c r="AE29" s="6" t="str">
        <f t="shared" si="0"/>
        <v>Rural|2013|October</v>
      </c>
    </row>
    <row r="30" spans="1:31">
      <c r="A30" s="6" t="s">
        <v>51</v>
      </c>
      <c r="B30" s="6">
        <v>2013</v>
      </c>
      <c r="C30" s="6" t="s">
        <v>61</v>
      </c>
      <c r="D30" s="6">
        <v>118.9</v>
      </c>
      <c r="E30" s="6">
        <v>118.1</v>
      </c>
      <c r="F30" s="6">
        <v>114.5</v>
      </c>
      <c r="G30" s="6">
        <v>110.4</v>
      </c>
      <c r="H30" s="6">
        <v>102.3</v>
      </c>
      <c r="I30" s="6">
        <v>106.2</v>
      </c>
      <c r="J30" s="6">
        <v>183.5</v>
      </c>
      <c r="K30" s="6">
        <v>105.3</v>
      </c>
      <c r="L30" s="6">
        <v>100.2</v>
      </c>
      <c r="M30" s="6">
        <v>109.6</v>
      </c>
      <c r="N30" s="6">
        <v>111.4</v>
      </c>
      <c r="O30" s="6">
        <v>116</v>
      </c>
      <c r="P30" s="6">
        <v>120.8</v>
      </c>
      <c r="Q30" s="6">
        <v>113.5</v>
      </c>
      <c r="R30" s="6">
        <v>112.5</v>
      </c>
      <c r="S30" s="6">
        <v>109.7</v>
      </c>
      <c r="T30" s="6">
        <v>112</v>
      </c>
      <c r="U30" s="6">
        <v>110.5</v>
      </c>
      <c r="V30" s="6">
        <v>109.7</v>
      </c>
      <c r="W30" s="6">
        <v>110.2</v>
      </c>
      <c r="X30" s="6">
        <v>108.2</v>
      </c>
      <c r="Y30" s="6">
        <v>109.7</v>
      </c>
      <c r="Z30" s="6">
        <v>108</v>
      </c>
      <c r="AA30" s="6">
        <v>111.3</v>
      </c>
      <c r="AB30" s="6">
        <v>107.3</v>
      </c>
      <c r="AC30" s="6">
        <v>109.4</v>
      </c>
      <c r="AD30" s="6">
        <v>114</v>
      </c>
      <c r="AE30" s="6" t="str">
        <f t="shared" si="0"/>
        <v>Urban|2013|October</v>
      </c>
    </row>
    <row r="31" spans="1:31">
      <c r="A31" s="6" t="s">
        <v>52</v>
      </c>
      <c r="B31" s="6">
        <v>2013</v>
      </c>
      <c r="C31" s="6" t="s">
        <v>61</v>
      </c>
      <c r="D31" s="6">
        <v>117.1</v>
      </c>
      <c r="E31" s="6">
        <v>116.3</v>
      </c>
      <c r="F31" s="6">
        <v>113.3</v>
      </c>
      <c r="G31" s="6">
        <v>111.2</v>
      </c>
      <c r="H31" s="6">
        <v>105.7</v>
      </c>
      <c r="I31" s="6">
        <v>109.9</v>
      </c>
      <c r="J31" s="6">
        <v>171.2</v>
      </c>
      <c r="K31" s="6">
        <v>107.3</v>
      </c>
      <c r="L31" s="6">
        <v>102.7</v>
      </c>
      <c r="M31" s="6">
        <v>108.7</v>
      </c>
      <c r="N31" s="6">
        <v>111.2</v>
      </c>
      <c r="O31" s="6">
        <v>115.4</v>
      </c>
      <c r="P31" s="6">
        <v>120.2</v>
      </c>
      <c r="Q31" s="6">
        <v>112.5</v>
      </c>
      <c r="R31" s="6">
        <v>113.2</v>
      </c>
      <c r="S31" s="6">
        <v>111.2</v>
      </c>
      <c r="T31" s="6">
        <v>112.8</v>
      </c>
      <c r="U31" s="6">
        <v>110.5</v>
      </c>
      <c r="V31" s="6">
        <v>110.9</v>
      </c>
      <c r="W31" s="6">
        <v>110.3</v>
      </c>
      <c r="X31" s="6">
        <v>108.6</v>
      </c>
      <c r="Y31" s="6">
        <v>109.5</v>
      </c>
      <c r="Z31" s="6">
        <v>108.1</v>
      </c>
      <c r="AA31" s="6">
        <v>110.8</v>
      </c>
      <c r="AB31" s="6">
        <v>107.4</v>
      </c>
      <c r="AC31" s="6">
        <v>109.2</v>
      </c>
      <c r="AD31" s="6">
        <v>114.8</v>
      </c>
      <c r="AE31" s="6" t="str">
        <f t="shared" si="0"/>
        <v>Rural+Urban|2013|October</v>
      </c>
    </row>
    <row r="32" spans="1:31">
      <c r="A32" s="6" t="s">
        <v>49</v>
      </c>
      <c r="B32" s="6">
        <v>2013</v>
      </c>
      <c r="C32" s="6" t="s">
        <v>62</v>
      </c>
      <c r="D32" s="6">
        <v>117.3</v>
      </c>
      <c r="E32" s="6">
        <v>114.9</v>
      </c>
      <c r="F32" s="6">
        <v>116.2</v>
      </c>
      <c r="G32" s="6">
        <v>112.8</v>
      </c>
      <c r="H32" s="6">
        <v>108.9</v>
      </c>
      <c r="I32" s="6">
        <v>116.6</v>
      </c>
      <c r="J32" s="6">
        <v>178.1</v>
      </c>
      <c r="K32" s="6">
        <v>109.1</v>
      </c>
      <c r="L32" s="6">
        <v>103.6</v>
      </c>
      <c r="M32" s="6">
        <v>109</v>
      </c>
      <c r="N32" s="6">
        <v>111.8</v>
      </c>
      <c r="O32" s="6">
        <v>116</v>
      </c>
      <c r="P32" s="6">
        <v>122.5</v>
      </c>
      <c r="Q32" s="6">
        <v>112.8</v>
      </c>
      <c r="R32" s="6">
        <v>114.6</v>
      </c>
      <c r="S32" s="6">
        <v>113.1</v>
      </c>
      <c r="T32" s="6">
        <v>114.4</v>
      </c>
      <c r="V32" s="6">
        <v>112.6</v>
      </c>
      <c r="W32" s="6">
        <v>111.3</v>
      </c>
      <c r="X32" s="6">
        <v>109.7</v>
      </c>
      <c r="Y32" s="6">
        <v>109.6</v>
      </c>
      <c r="Z32" s="6">
        <v>108.7</v>
      </c>
      <c r="AA32" s="6">
        <v>111</v>
      </c>
      <c r="AB32" s="6">
        <v>108.2</v>
      </c>
      <c r="AC32" s="6">
        <v>109.8</v>
      </c>
      <c r="AD32" s="6">
        <v>117.4</v>
      </c>
      <c r="AE32" s="6" t="str">
        <f t="shared" si="0"/>
        <v>Rural|2013|November</v>
      </c>
    </row>
    <row r="33" spans="1:31">
      <c r="A33" s="6" t="s">
        <v>51</v>
      </c>
      <c r="B33" s="6">
        <v>2013</v>
      </c>
      <c r="C33" s="6" t="s">
        <v>62</v>
      </c>
      <c r="D33" s="6">
        <v>119.8</v>
      </c>
      <c r="E33" s="6">
        <v>116.3</v>
      </c>
      <c r="F33" s="6">
        <v>122.6</v>
      </c>
      <c r="G33" s="6">
        <v>112</v>
      </c>
      <c r="H33" s="6">
        <v>103.2</v>
      </c>
      <c r="I33" s="6">
        <v>110</v>
      </c>
      <c r="J33" s="6">
        <v>192.8</v>
      </c>
      <c r="K33" s="6">
        <v>106.3</v>
      </c>
      <c r="L33" s="6">
        <v>99.5</v>
      </c>
      <c r="M33" s="6">
        <v>110.3</v>
      </c>
      <c r="N33" s="6">
        <v>111.8</v>
      </c>
      <c r="O33" s="6">
        <v>117.1</v>
      </c>
      <c r="P33" s="6">
        <v>122.9</v>
      </c>
      <c r="Q33" s="6">
        <v>114.1</v>
      </c>
      <c r="R33" s="6">
        <v>113.5</v>
      </c>
      <c r="S33" s="6">
        <v>110.3</v>
      </c>
      <c r="T33" s="6">
        <v>113</v>
      </c>
      <c r="U33" s="6">
        <v>111.1</v>
      </c>
      <c r="V33" s="6">
        <v>110</v>
      </c>
      <c r="W33" s="6">
        <v>110.9</v>
      </c>
      <c r="X33" s="6">
        <v>108.6</v>
      </c>
      <c r="Y33" s="6">
        <v>109.5</v>
      </c>
      <c r="Z33" s="6">
        <v>108.5</v>
      </c>
      <c r="AA33" s="6">
        <v>111.3</v>
      </c>
      <c r="AB33" s="6">
        <v>107.9</v>
      </c>
      <c r="AC33" s="6">
        <v>109.6</v>
      </c>
      <c r="AD33" s="6">
        <v>115</v>
      </c>
      <c r="AE33" s="6" t="str">
        <f t="shared" si="0"/>
        <v>Urban|2013|November</v>
      </c>
    </row>
    <row r="34" spans="1:31">
      <c r="A34" s="6" t="s">
        <v>52</v>
      </c>
      <c r="B34" s="6">
        <v>2013</v>
      </c>
      <c r="C34" s="6" t="s">
        <v>62</v>
      </c>
      <c r="D34" s="6">
        <v>118.1</v>
      </c>
      <c r="E34" s="6">
        <v>115.4</v>
      </c>
      <c r="F34" s="6">
        <v>118.7</v>
      </c>
      <c r="G34" s="6">
        <v>112.5</v>
      </c>
      <c r="H34" s="6">
        <v>106.8</v>
      </c>
      <c r="I34" s="6">
        <v>113.5</v>
      </c>
      <c r="J34" s="6">
        <v>183.1</v>
      </c>
      <c r="K34" s="6">
        <v>108.2</v>
      </c>
      <c r="L34" s="6">
        <v>102.2</v>
      </c>
      <c r="M34" s="6">
        <v>109.4</v>
      </c>
      <c r="N34" s="6">
        <v>111.8</v>
      </c>
      <c r="O34" s="6">
        <v>116.5</v>
      </c>
      <c r="P34" s="6">
        <v>122.6</v>
      </c>
      <c r="Q34" s="6">
        <v>113.1</v>
      </c>
      <c r="R34" s="6">
        <v>114.2</v>
      </c>
      <c r="S34" s="6">
        <v>111.9</v>
      </c>
      <c r="T34" s="6">
        <v>113.8</v>
      </c>
      <c r="U34" s="6">
        <v>111.1</v>
      </c>
      <c r="V34" s="6">
        <v>111.6</v>
      </c>
      <c r="W34" s="6">
        <v>111.1</v>
      </c>
      <c r="X34" s="6">
        <v>109.3</v>
      </c>
      <c r="Y34" s="6">
        <v>109.5</v>
      </c>
      <c r="Z34" s="6">
        <v>108.6</v>
      </c>
      <c r="AA34" s="6">
        <v>111.2</v>
      </c>
      <c r="AB34" s="6">
        <v>108.1</v>
      </c>
      <c r="AC34" s="6">
        <v>109.7</v>
      </c>
      <c r="AD34" s="6">
        <v>116.3</v>
      </c>
      <c r="AE34" s="6" t="str">
        <f t="shared" si="0"/>
        <v>Rural+Urban|2013|November</v>
      </c>
    </row>
    <row r="35" spans="1:31">
      <c r="A35" s="6" t="s">
        <v>49</v>
      </c>
      <c r="B35" s="6">
        <v>2013</v>
      </c>
      <c r="C35" s="6" t="s">
        <v>63</v>
      </c>
      <c r="D35" s="6">
        <v>118.4</v>
      </c>
      <c r="E35" s="6">
        <v>115.9</v>
      </c>
      <c r="F35" s="6">
        <v>120.4</v>
      </c>
      <c r="G35" s="6">
        <v>113.8</v>
      </c>
      <c r="H35" s="6">
        <v>109.5</v>
      </c>
      <c r="I35" s="6">
        <v>115.5</v>
      </c>
      <c r="J35" s="6">
        <v>145.7</v>
      </c>
      <c r="K35" s="6">
        <v>109.5</v>
      </c>
      <c r="L35" s="6">
        <v>102.9</v>
      </c>
      <c r="M35" s="6">
        <v>109.8</v>
      </c>
      <c r="N35" s="6">
        <v>112.1</v>
      </c>
      <c r="O35" s="6">
        <v>116.8</v>
      </c>
      <c r="P35" s="6">
        <v>118.7</v>
      </c>
      <c r="Q35" s="6">
        <v>113.6</v>
      </c>
      <c r="R35" s="6">
        <v>115.8</v>
      </c>
      <c r="S35" s="6">
        <v>114</v>
      </c>
      <c r="T35" s="6">
        <v>115.5</v>
      </c>
      <c r="V35" s="6">
        <v>112.8</v>
      </c>
      <c r="W35" s="6">
        <v>112.1</v>
      </c>
      <c r="X35" s="6">
        <v>110.1</v>
      </c>
      <c r="Y35" s="6">
        <v>109.9</v>
      </c>
      <c r="Z35" s="6">
        <v>109.2</v>
      </c>
      <c r="AA35" s="6">
        <v>111.6</v>
      </c>
      <c r="AB35" s="6">
        <v>108.1</v>
      </c>
      <c r="AC35" s="6">
        <v>110.1</v>
      </c>
      <c r="AD35" s="6">
        <v>115.5</v>
      </c>
      <c r="AE35" s="6" t="str">
        <f t="shared" si="0"/>
        <v>Rural|2013|December</v>
      </c>
    </row>
    <row r="36" spans="1:31">
      <c r="A36" s="6" t="s">
        <v>51</v>
      </c>
      <c r="B36" s="6">
        <v>2013</v>
      </c>
      <c r="C36" s="6" t="s">
        <v>63</v>
      </c>
      <c r="D36" s="6">
        <v>120.5</v>
      </c>
      <c r="E36" s="6">
        <v>118.1</v>
      </c>
      <c r="F36" s="6">
        <v>128.5</v>
      </c>
      <c r="G36" s="6">
        <v>112.8</v>
      </c>
      <c r="H36" s="6">
        <v>103.4</v>
      </c>
      <c r="I36" s="6">
        <v>110.7</v>
      </c>
      <c r="J36" s="6">
        <v>144.8</v>
      </c>
      <c r="K36" s="6">
        <v>107.1</v>
      </c>
      <c r="L36" s="6">
        <v>98.6</v>
      </c>
      <c r="M36" s="6">
        <v>111.9</v>
      </c>
      <c r="N36" s="6">
        <v>112.1</v>
      </c>
      <c r="O36" s="6">
        <v>118.1</v>
      </c>
      <c r="P36" s="6">
        <v>117.8</v>
      </c>
      <c r="Q36" s="6">
        <v>115</v>
      </c>
      <c r="R36" s="6">
        <v>114.2</v>
      </c>
      <c r="S36" s="6">
        <v>110.9</v>
      </c>
      <c r="T36" s="6">
        <v>113.7</v>
      </c>
      <c r="U36" s="6">
        <v>110.7</v>
      </c>
      <c r="V36" s="6">
        <v>110.4</v>
      </c>
      <c r="W36" s="6">
        <v>111.3</v>
      </c>
      <c r="X36" s="6">
        <v>109</v>
      </c>
      <c r="Y36" s="6">
        <v>109.7</v>
      </c>
      <c r="Z36" s="6">
        <v>108.9</v>
      </c>
      <c r="AA36" s="6">
        <v>111.4</v>
      </c>
      <c r="AB36" s="6">
        <v>107.7</v>
      </c>
      <c r="AC36" s="6">
        <v>109.8</v>
      </c>
      <c r="AD36" s="6">
        <v>113.3</v>
      </c>
      <c r="AE36" s="6" t="str">
        <f t="shared" si="0"/>
        <v>Urban|2013|December</v>
      </c>
    </row>
    <row r="37" spans="1:31">
      <c r="A37" s="6" t="s">
        <v>52</v>
      </c>
      <c r="B37" s="6">
        <v>2013</v>
      </c>
      <c r="C37" s="6" t="s">
        <v>63</v>
      </c>
      <c r="D37" s="6">
        <v>119.1</v>
      </c>
      <c r="E37" s="6">
        <v>116.7</v>
      </c>
      <c r="F37" s="6">
        <v>123.5</v>
      </c>
      <c r="G37" s="6">
        <v>113.4</v>
      </c>
      <c r="H37" s="6">
        <v>107.3</v>
      </c>
      <c r="I37" s="6">
        <v>113.3</v>
      </c>
      <c r="J37" s="6">
        <v>145.4</v>
      </c>
      <c r="K37" s="6">
        <v>108.7</v>
      </c>
      <c r="L37" s="6">
        <v>101.5</v>
      </c>
      <c r="M37" s="6">
        <v>110.5</v>
      </c>
      <c r="N37" s="6">
        <v>112.1</v>
      </c>
      <c r="O37" s="6">
        <v>117.4</v>
      </c>
      <c r="P37" s="6">
        <v>118.4</v>
      </c>
      <c r="Q37" s="6">
        <v>114</v>
      </c>
      <c r="R37" s="6">
        <v>115.2</v>
      </c>
      <c r="S37" s="6">
        <v>112.7</v>
      </c>
      <c r="T37" s="6">
        <v>114.8</v>
      </c>
      <c r="U37" s="6">
        <v>110.7</v>
      </c>
      <c r="V37" s="6">
        <v>111.9</v>
      </c>
      <c r="W37" s="6">
        <v>111.7</v>
      </c>
      <c r="X37" s="6">
        <v>109.7</v>
      </c>
      <c r="Y37" s="6">
        <v>109.8</v>
      </c>
      <c r="Z37" s="6">
        <v>109</v>
      </c>
      <c r="AA37" s="6">
        <v>111.5</v>
      </c>
      <c r="AB37" s="6">
        <v>107.9</v>
      </c>
      <c r="AC37" s="6">
        <v>110</v>
      </c>
      <c r="AD37" s="6">
        <v>114.5</v>
      </c>
      <c r="AE37" s="6" t="str">
        <f t="shared" si="0"/>
        <v>Rural+Urban|2013|December</v>
      </c>
    </row>
    <row r="38" spans="1:31">
      <c r="A38" s="6" t="s">
        <v>49</v>
      </c>
      <c r="B38" s="6">
        <v>2014</v>
      </c>
      <c r="C38" s="6" t="s">
        <v>50</v>
      </c>
      <c r="D38" s="6">
        <v>118.9</v>
      </c>
      <c r="E38" s="6">
        <v>117.1</v>
      </c>
      <c r="F38" s="6">
        <v>120.5</v>
      </c>
      <c r="G38" s="6">
        <v>114.4</v>
      </c>
      <c r="H38" s="6">
        <v>109</v>
      </c>
      <c r="I38" s="6">
        <v>115.5</v>
      </c>
      <c r="J38" s="6">
        <v>123.9</v>
      </c>
      <c r="K38" s="6">
        <v>109.6</v>
      </c>
      <c r="L38" s="6">
        <v>101.8</v>
      </c>
      <c r="M38" s="6">
        <v>110.2</v>
      </c>
      <c r="N38" s="6">
        <v>112.4</v>
      </c>
      <c r="O38" s="6">
        <v>117.3</v>
      </c>
      <c r="P38" s="6">
        <v>116</v>
      </c>
      <c r="Q38" s="6">
        <v>114</v>
      </c>
      <c r="R38" s="6">
        <v>116.5</v>
      </c>
      <c r="S38" s="6">
        <v>114.5</v>
      </c>
      <c r="T38" s="6">
        <v>116.2</v>
      </c>
      <c r="V38" s="6">
        <v>113</v>
      </c>
      <c r="W38" s="6">
        <v>112.6</v>
      </c>
      <c r="X38" s="6">
        <v>110.6</v>
      </c>
      <c r="Y38" s="6">
        <v>110.5</v>
      </c>
      <c r="Z38" s="6">
        <v>109.6</v>
      </c>
      <c r="AA38" s="6">
        <v>111.8</v>
      </c>
      <c r="AB38" s="6">
        <v>108.3</v>
      </c>
      <c r="AC38" s="6">
        <v>110.6</v>
      </c>
      <c r="AD38" s="6">
        <v>114.2</v>
      </c>
      <c r="AE38" s="6" t="str">
        <f t="shared" si="0"/>
        <v>Rural|2014|January</v>
      </c>
    </row>
    <row r="39" spans="1:31">
      <c r="A39" s="6" t="s">
        <v>51</v>
      </c>
      <c r="B39" s="6">
        <v>2014</v>
      </c>
      <c r="C39" s="6" t="s">
        <v>50</v>
      </c>
      <c r="D39" s="6">
        <v>121.2</v>
      </c>
      <c r="E39" s="6">
        <v>122</v>
      </c>
      <c r="F39" s="6">
        <v>129.9</v>
      </c>
      <c r="G39" s="6">
        <v>113.6</v>
      </c>
      <c r="H39" s="6">
        <v>102.9</v>
      </c>
      <c r="I39" s="6">
        <v>112.1</v>
      </c>
      <c r="J39" s="6">
        <v>118.9</v>
      </c>
      <c r="K39" s="6">
        <v>107.5</v>
      </c>
      <c r="L39" s="6">
        <v>96.9</v>
      </c>
      <c r="M39" s="6">
        <v>112.7</v>
      </c>
      <c r="N39" s="6">
        <v>112.1</v>
      </c>
      <c r="O39" s="6">
        <v>119</v>
      </c>
      <c r="P39" s="6">
        <v>115.5</v>
      </c>
      <c r="Q39" s="6">
        <v>115.7</v>
      </c>
      <c r="R39" s="6">
        <v>114.8</v>
      </c>
      <c r="S39" s="6">
        <v>111.3</v>
      </c>
      <c r="T39" s="6">
        <v>114.3</v>
      </c>
      <c r="U39" s="6">
        <v>111.6</v>
      </c>
      <c r="V39" s="6">
        <v>111</v>
      </c>
      <c r="W39" s="6">
        <v>111.9</v>
      </c>
      <c r="X39" s="6">
        <v>109.7</v>
      </c>
      <c r="Y39" s="6">
        <v>110.8</v>
      </c>
      <c r="Z39" s="6">
        <v>109.8</v>
      </c>
      <c r="AA39" s="6">
        <v>111.5</v>
      </c>
      <c r="AB39" s="6">
        <v>108</v>
      </c>
      <c r="AC39" s="6">
        <v>110.5</v>
      </c>
      <c r="AD39" s="6">
        <v>112.9</v>
      </c>
      <c r="AE39" s="6" t="str">
        <f t="shared" si="0"/>
        <v>Urban|2014|January</v>
      </c>
    </row>
    <row r="40" spans="1:31">
      <c r="A40" s="6" t="s">
        <v>52</v>
      </c>
      <c r="B40" s="6">
        <v>2014</v>
      </c>
      <c r="C40" s="6" t="s">
        <v>50</v>
      </c>
      <c r="D40" s="6">
        <v>119.6</v>
      </c>
      <c r="E40" s="6">
        <v>118.8</v>
      </c>
      <c r="F40" s="6">
        <v>124.1</v>
      </c>
      <c r="G40" s="6">
        <v>114.1</v>
      </c>
      <c r="H40" s="6">
        <v>106.8</v>
      </c>
      <c r="I40" s="6">
        <v>113.9</v>
      </c>
      <c r="J40" s="6">
        <v>122.2</v>
      </c>
      <c r="K40" s="6">
        <v>108.9</v>
      </c>
      <c r="L40" s="6">
        <v>100.2</v>
      </c>
      <c r="M40" s="6">
        <v>111</v>
      </c>
      <c r="N40" s="6">
        <v>112.3</v>
      </c>
      <c r="O40" s="6">
        <v>118.1</v>
      </c>
      <c r="P40" s="6">
        <v>115.8</v>
      </c>
      <c r="Q40" s="6">
        <v>114.5</v>
      </c>
      <c r="R40" s="6">
        <v>115.8</v>
      </c>
      <c r="S40" s="6">
        <v>113.2</v>
      </c>
      <c r="T40" s="6">
        <v>115.4</v>
      </c>
      <c r="U40" s="6">
        <v>111.6</v>
      </c>
      <c r="V40" s="6">
        <v>112.2</v>
      </c>
      <c r="W40" s="6">
        <v>112.3</v>
      </c>
      <c r="X40" s="6">
        <v>110.3</v>
      </c>
      <c r="Y40" s="6">
        <v>110.7</v>
      </c>
      <c r="Z40" s="6">
        <v>109.7</v>
      </c>
      <c r="AA40" s="6">
        <v>111.6</v>
      </c>
      <c r="AB40" s="6">
        <v>108.2</v>
      </c>
      <c r="AC40" s="6">
        <v>110.6</v>
      </c>
      <c r="AD40" s="6">
        <v>113.6</v>
      </c>
      <c r="AE40" s="6" t="str">
        <f t="shared" si="0"/>
        <v>Rural+Urban|2014|January</v>
      </c>
    </row>
    <row r="41" spans="1:31">
      <c r="A41" s="6" t="s">
        <v>49</v>
      </c>
      <c r="B41" s="6">
        <v>2014</v>
      </c>
      <c r="C41" s="6" t="s">
        <v>53</v>
      </c>
      <c r="D41" s="6">
        <v>119.4</v>
      </c>
      <c r="E41" s="6">
        <v>117.7</v>
      </c>
      <c r="F41" s="6">
        <v>121.2</v>
      </c>
      <c r="G41" s="6">
        <v>115</v>
      </c>
      <c r="H41" s="6">
        <v>109</v>
      </c>
      <c r="I41" s="6">
        <v>116.6</v>
      </c>
      <c r="J41" s="6">
        <v>116</v>
      </c>
      <c r="K41" s="6">
        <v>109.8</v>
      </c>
      <c r="L41" s="6">
        <v>101.1</v>
      </c>
      <c r="M41" s="6">
        <v>110.4</v>
      </c>
      <c r="N41" s="6">
        <v>112.9</v>
      </c>
      <c r="O41" s="6">
        <v>117.8</v>
      </c>
      <c r="P41" s="6">
        <v>115.3</v>
      </c>
      <c r="Q41" s="6">
        <v>114.2</v>
      </c>
      <c r="R41" s="6">
        <v>117.1</v>
      </c>
      <c r="S41" s="6">
        <v>114.5</v>
      </c>
      <c r="T41" s="6">
        <v>116.7</v>
      </c>
      <c r="V41" s="6">
        <v>113.2</v>
      </c>
      <c r="W41" s="6">
        <v>112.9</v>
      </c>
      <c r="X41" s="6">
        <v>110.9</v>
      </c>
      <c r="Y41" s="6">
        <v>110.8</v>
      </c>
      <c r="Z41" s="6">
        <v>109.9</v>
      </c>
      <c r="AA41" s="6">
        <v>112</v>
      </c>
      <c r="AB41" s="6">
        <v>108.7</v>
      </c>
      <c r="AC41" s="6">
        <v>110.9</v>
      </c>
      <c r="AD41" s="6">
        <v>114</v>
      </c>
      <c r="AE41" s="6" t="str">
        <f t="shared" si="0"/>
        <v>Rural|2014|February</v>
      </c>
    </row>
    <row r="42" spans="1:31">
      <c r="A42" s="6" t="s">
        <v>51</v>
      </c>
      <c r="B42" s="6">
        <v>2014</v>
      </c>
      <c r="C42" s="6" t="s">
        <v>53</v>
      </c>
      <c r="D42" s="6">
        <v>121.9</v>
      </c>
      <c r="E42" s="6">
        <v>122</v>
      </c>
      <c r="F42" s="6">
        <v>124.5</v>
      </c>
      <c r="G42" s="6">
        <v>115.2</v>
      </c>
      <c r="H42" s="6">
        <v>102.5</v>
      </c>
      <c r="I42" s="6">
        <v>114.1</v>
      </c>
      <c r="J42" s="6">
        <v>111.5</v>
      </c>
      <c r="K42" s="6">
        <v>108.2</v>
      </c>
      <c r="L42" s="6">
        <v>95.4</v>
      </c>
      <c r="M42" s="6">
        <v>113.5</v>
      </c>
      <c r="N42" s="6">
        <v>112.1</v>
      </c>
      <c r="O42" s="6">
        <v>119.9</v>
      </c>
      <c r="P42" s="6">
        <v>115.2</v>
      </c>
      <c r="Q42" s="6">
        <v>116.2</v>
      </c>
      <c r="R42" s="6">
        <v>115.3</v>
      </c>
      <c r="S42" s="6">
        <v>111.7</v>
      </c>
      <c r="T42" s="6">
        <v>114.7</v>
      </c>
      <c r="U42" s="6">
        <v>112.5</v>
      </c>
      <c r="V42" s="6">
        <v>111.1</v>
      </c>
      <c r="W42" s="6">
        <v>112.6</v>
      </c>
      <c r="X42" s="6">
        <v>110.4</v>
      </c>
      <c r="Y42" s="6">
        <v>111.3</v>
      </c>
      <c r="Z42" s="6">
        <v>110.3</v>
      </c>
      <c r="AA42" s="6">
        <v>111.6</v>
      </c>
      <c r="AB42" s="6">
        <v>108.7</v>
      </c>
      <c r="AC42" s="6">
        <v>111</v>
      </c>
      <c r="AD42" s="6">
        <v>113.1</v>
      </c>
      <c r="AE42" s="6" t="str">
        <f t="shared" si="0"/>
        <v>Urban|2014|February</v>
      </c>
    </row>
    <row r="43" spans="1:31">
      <c r="A43" s="6" t="s">
        <v>52</v>
      </c>
      <c r="B43" s="6">
        <v>2014</v>
      </c>
      <c r="C43" s="6" t="s">
        <v>53</v>
      </c>
      <c r="D43" s="6">
        <v>120.2</v>
      </c>
      <c r="E43" s="6">
        <v>119.2</v>
      </c>
      <c r="F43" s="6">
        <v>122.5</v>
      </c>
      <c r="G43" s="6">
        <v>115.1</v>
      </c>
      <c r="H43" s="6">
        <v>106.6</v>
      </c>
      <c r="I43" s="6">
        <v>115.4</v>
      </c>
      <c r="J43" s="6">
        <v>114.5</v>
      </c>
      <c r="K43" s="6">
        <v>109.3</v>
      </c>
      <c r="L43" s="6">
        <v>99.2</v>
      </c>
      <c r="M43" s="6">
        <v>111.4</v>
      </c>
      <c r="N43" s="6">
        <v>112.6</v>
      </c>
      <c r="O43" s="6">
        <v>118.8</v>
      </c>
      <c r="P43" s="6">
        <v>115.3</v>
      </c>
      <c r="Q43" s="6">
        <v>114.7</v>
      </c>
      <c r="R43" s="6">
        <v>116.4</v>
      </c>
      <c r="S43" s="6">
        <v>113.3</v>
      </c>
      <c r="T43" s="6">
        <v>115.9</v>
      </c>
      <c r="U43" s="6">
        <v>112.5</v>
      </c>
      <c r="V43" s="6">
        <v>112.4</v>
      </c>
      <c r="W43" s="6">
        <v>112.8</v>
      </c>
      <c r="X43" s="6">
        <v>110.7</v>
      </c>
      <c r="Y43" s="6">
        <v>111.1</v>
      </c>
      <c r="Z43" s="6">
        <v>110.1</v>
      </c>
      <c r="AA43" s="6">
        <v>111.8</v>
      </c>
      <c r="AB43" s="6">
        <v>108.7</v>
      </c>
      <c r="AC43" s="6">
        <v>110.9</v>
      </c>
      <c r="AD43" s="6">
        <v>113.6</v>
      </c>
      <c r="AE43" s="6" t="str">
        <f t="shared" si="0"/>
        <v>Rural+Urban|2014|February</v>
      </c>
    </row>
    <row r="44" spans="1:31">
      <c r="A44" s="6" t="s">
        <v>49</v>
      </c>
      <c r="B44" s="6">
        <v>2014</v>
      </c>
      <c r="C44" s="6" t="s">
        <v>54</v>
      </c>
      <c r="D44" s="6">
        <v>120.1</v>
      </c>
      <c r="E44" s="6">
        <v>118.1</v>
      </c>
      <c r="F44" s="6">
        <v>120.7</v>
      </c>
      <c r="G44" s="6">
        <v>116.1</v>
      </c>
      <c r="H44" s="6">
        <v>109.3</v>
      </c>
      <c r="I44" s="6">
        <v>119.6</v>
      </c>
      <c r="J44" s="6">
        <v>117.9</v>
      </c>
      <c r="K44" s="6">
        <v>110.2</v>
      </c>
      <c r="L44" s="6">
        <v>101.2</v>
      </c>
      <c r="M44" s="6">
        <v>110.7</v>
      </c>
      <c r="N44" s="6">
        <v>113</v>
      </c>
      <c r="O44" s="6">
        <v>118.3</v>
      </c>
      <c r="P44" s="6">
        <v>116.2</v>
      </c>
      <c r="Q44" s="6">
        <v>114.6</v>
      </c>
      <c r="R44" s="6">
        <v>117.5</v>
      </c>
      <c r="S44" s="6">
        <v>114.9</v>
      </c>
      <c r="T44" s="6">
        <v>117.2</v>
      </c>
      <c r="V44" s="6">
        <v>113.4</v>
      </c>
      <c r="W44" s="6">
        <v>113.4</v>
      </c>
      <c r="X44" s="6">
        <v>111.4</v>
      </c>
      <c r="Y44" s="6">
        <v>111.2</v>
      </c>
      <c r="Z44" s="6">
        <v>110.2</v>
      </c>
      <c r="AA44" s="6">
        <v>112.4</v>
      </c>
      <c r="AB44" s="6">
        <v>108.9</v>
      </c>
      <c r="AC44" s="6">
        <v>111.3</v>
      </c>
      <c r="AD44" s="6">
        <v>114.6</v>
      </c>
      <c r="AE44" s="6" t="str">
        <f t="shared" si="0"/>
        <v>Rural|2014|March</v>
      </c>
    </row>
    <row r="45" spans="1:31">
      <c r="A45" s="6" t="s">
        <v>51</v>
      </c>
      <c r="B45" s="6">
        <v>2014</v>
      </c>
      <c r="C45" s="6" t="s">
        <v>54</v>
      </c>
      <c r="D45" s="6">
        <v>122.1</v>
      </c>
      <c r="E45" s="6">
        <v>121.4</v>
      </c>
      <c r="F45" s="6">
        <v>121.5</v>
      </c>
      <c r="G45" s="6">
        <v>116.2</v>
      </c>
      <c r="H45" s="6">
        <v>102.8</v>
      </c>
      <c r="I45" s="6">
        <v>117.7</v>
      </c>
      <c r="J45" s="6">
        <v>113.3</v>
      </c>
      <c r="K45" s="6">
        <v>108.9</v>
      </c>
      <c r="L45" s="6">
        <v>96.3</v>
      </c>
      <c r="M45" s="6">
        <v>114.1</v>
      </c>
      <c r="N45" s="6">
        <v>112.2</v>
      </c>
      <c r="O45" s="6">
        <v>120.5</v>
      </c>
      <c r="P45" s="6">
        <v>116</v>
      </c>
      <c r="Q45" s="6">
        <v>116.7</v>
      </c>
      <c r="R45" s="6">
        <v>115.8</v>
      </c>
      <c r="S45" s="6">
        <v>112.1</v>
      </c>
      <c r="T45" s="6">
        <v>115.2</v>
      </c>
      <c r="U45" s="6">
        <v>113.2</v>
      </c>
      <c r="V45" s="6">
        <v>110.9</v>
      </c>
      <c r="W45" s="6">
        <v>113</v>
      </c>
      <c r="X45" s="6">
        <v>110.8</v>
      </c>
      <c r="Y45" s="6">
        <v>111.6</v>
      </c>
      <c r="Z45" s="6">
        <v>110.9</v>
      </c>
      <c r="AA45" s="6">
        <v>111.8</v>
      </c>
      <c r="AB45" s="6">
        <v>109.2</v>
      </c>
      <c r="AC45" s="6">
        <v>111.4</v>
      </c>
      <c r="AD45" s="6">
        <v>113.7</v>
      </c>
      <c r="AE45" s="6" t="str">
        <f t="shared" si="0"/>
        <v>Urban|2014|March</v>
      </c>
    </row>
    <row r="46" spans="1:31">
      <c r="A46" s="6" t="s">
        <v>52</v>
      </c>
      <c r="B46" s="6">
        <v>2014</v>
      </c>
      <c r="C46" s="6" t="s">
        <v>54</v>
      </c>
      <c r="D46" s="6">
        <v>120.7</v>
      </c>
      <c r="E46" s="6">
        <v>119.3</v>
      </c>
      <c r="F46" s="6">
        <v>121</v>
      </c>
      <c r="G46" s="6">
        <v>116.1</v>
      </c>
      <c r="H46" s="6">
        <v>106.9</v>
      </c>
      <c r="I46" s="6">
        <v>118.7</v>
      </c>
      <c r="J46" s="6">
        <v>116.3</v>
      </c>
      <c r="K46" s="6">
        <v>109.8</v>
      </c>
      <c r="L46" s="6">
        <v>99.6</v>
      </c>
      <c r="M46" s="6">
        <v>111.8</v>
      </c>
      <c r="N46" s="6">
        <v>112.7</v>
      </c>
      <c r="O46" s="6">
        <v>119.3</v>
      </c>
      <c r="P46" s="6">
        <v>116.1</v>
      </c>
      <c r="Q46" s="6">
        <v>115.2</v>
      </c>
      <c r="R46" s="6">
        <v>116.8</v>
      </c>
      <c r="S46" s="6">
        <v>113.7</v>
      </c>
      <c r="T46" s="6">
        <v>116.4</v>
      </c>
      <c r="U46" s="6">
        <v>113.2</v>
      </c>
      <c r="V46" s="6">
        <v>112.5</v>
      </c>
      <c r="W46" s="6">
        <v>113.2</v>
      </c>
      <c r="X46" s="6">
        <v>111.2</v>
      </c>
      <c r="Y46" s="6">
        <v>111.4</v>
      </c>
      <c r="Z46" s="6">
        <v>110.6</v>
      </c>
      <c r="AA46" s="6">
        <v>112</v>
      </c>
      <c r="AB46" s="6">
        <v>109</v>
      </c>
      <c r="AC46" s="6">
        <v>111.3</v>
      </c>
      <c r="AD46" s="6">
        <v>114.2</v>
      </c>
      <c r="AE46" s="6" t="str">
        <f t="shared" si="0"/>
        <v>Rural+Urban|2014|March</v>
      </c>
    </row>
    <row r="47" spans="1:31">
      <c r="A47" s="6" t="s">
        <v>49</v>
      </c>
      <c r="B47" s="6">
        <v>2014</v>
      </c>
      <c r="C47" s="6" t="s">
        <v>55</v>
      </c>
      <c r="D47" s="6">
        <v>120.2</v>
      </c>
      <c r="E47" s="6">
        <v>118.9</v>
      </c>
      <c r="F47" s="6">
        <v>118.1</v>
      </c>
      <c r="G47" s="6">
        <v>117</v>
      </c>
      <c r="H47" s="6">
        <v>109.7</v>
      </c>
      <c r="I47" s="6">
        <v>125.5</v>
      </c>
      <c r="J47" s="6">
        <v>120.5</v>
      </c>
      <c r="K47" s="6">
        <v>111</v>
      </c>
      <c r="L47" s="6">
        <v>102.6</v>
      </c>
      <c r="M47" s="6">
        <v>111.2</v>
      </c>
      <c r="N47" s="6">
        <v>113.5</v>
      </c>
      <c r="O47" s="6">
        <v>118.7</v>
      </c>
      <c r="P47" s="6">
        <v>117.2</v>
      </c>
      <c r="Q47" s="6">
        <v>115.4</v>
      </c>
      <c r="R47" s="6">
        <v>118.1</v>
      </c>
      <c r="S47" s="6">
        <v>116.1</v>
      </c>
      <c r="T47" s="6">
        <v>117.8</v>
      </c>
      <c r="V47" s="6">
        <v>113.4</v>
      </c>
      <c r="W47" s="6">
        <v>113.7</v>
      </c>
      <c r="X47" s="6">
        <v>111.8</v>
      </c>
      <c r="Y47" s="6">
        <v>111.2</v>
      </c>
      <c r="Z47" s="6">
        <v>110.5</v>
      </c>
      <c r="AA47" s="6">
        <v>113</v>
      </c>
      <c r="AB47" s="6">
        <v>108.9</v>
      </c>
      <c r="AC47" s="6">
        <v>111.5</v>
      </c>
      <c r="AD47" s="6">
        <v>115.4</v>
      </c>
      <c r="AE47" s="6" t="str">
        <f t="shared" si="0"/>
        <v>Rural|2014|April</v>
      </c>
    </row>
    <row r="48" spans="1:31">
      <c r="A48" s="6" t="s">
        <v>51</v>
      </c>
      <c r="B48" s="6">
        <v>2014</v>
      </c>
      <c r="C48" s="6" t="s">
        <v>55</v>
      </c>
      <c r="D48" s="6">
        <v>122.5</v>
      </c>
      <c r="E48" s="6">
        <v>121.7</v>
      </c>
      <c r="F48" s="6">
        <v>113.3</v>
      </c>
      <c r="G48" s="6">
        <v>117</v>
      </c>
      <c r="H48" s="6">
        <v>103.1</v>
      </c>
      <c r="I48" s="6">
        <v>126.7</v>
      </c>
      <c r="J48" s="6">
        <v>121.2</v>
      </c>
      <c r="K48" s="6">
        <v>111</v>
      </c>
      <c r="L48" s="6">
        <v>100.3</v>
      </c>
      <c r="M48" s="6">
        <v>115.3</v>
      </c>
      <c r="N48" s="6">
        <v>112.7</v>
      </c>
      <c r="O48" s="6">
        <v>121</v>
      </c>
      <c r="P48" s="6">
        <v>118.2</v>
      </c>
      <c r="Q48" s="6">
        <v>117.6</v>
      </c>
      <c r="R48" s="6">
        <v>116.3</v>
      </c>
      <c r="S48" s="6">
        <v>112.5</v>
      </c>
      <c r="T48" s="6">
        <v>115.7</v>
      </c>
      <c r="U48" s="6">
        <v>113.9</v>
      </c>
      <c r="V48" s="6">
        <v>110.9</v>
      </c>
      <c r="W48" s="6">
        <v>113.4</v>
      </c>
      <c r="X48" s="6">
        <v>111</v>
      </c>
      <c r="Y48" s="6">
        <v>111.2</v>
      </c>
      <c r="Z48" s="6">
        <v>111.2</v>
      </c>
      <c r="AA48" s="6">
        <v>112.5</v>
      </c>
      <c r="AB48" s="6">
        <v>109.1</v>
      </c>
      <c r="AC48" s="6">
        <v>111.4</v>
      </c>
      <c r="AD48" s="6">
        <v>114.7</v>
      </c>
      <c r="AE48" s="6" t="str">
        <f t="shared" si="0"/>
        <v>Urban|2014|April</v>
      </c>
    </row>
    <row r="49" spans="1:31">
      <c r="A49" s="6" t="s">
        <v>52</v>
      </c>
      <c r="B49" s="6">
        <v>2014</v>
      </c>
      <c r="C49" s="6" t="s">
        <v>55</v>
      </c>
      <c r="D49" s="6">
        <v>120.9</v>
      </c>
      <c r="E49" s="6">
        <v>119.9</v>
      </c>
      <c r="F49" s="6">
        <v>116.2</v>
      </c>
      <c r="G49" s="6">
        <v>117</v>
      </c>
      <c r="H49" s="6">
        <v>107.3</v>
      </c>
      <c r="I49" s="6">
        <v>126.1</v>
      </c>
      <c r="J49" s="6">
        <v>120.7</v>
      </c>
      <c r="K49" s="6">
        <v>111</v>
      </c>
      <c r="L49" s="6">
        <v>101.8</v>
      </c>
      <c r="M49" s="6">
        <v>112.6</v>
      </c>
      <c r="N49" s="6">
        <v>113.2</v>
      </c>
      <c r="O49" s="6">
        <v>119.8</v>
      </c>
      <c r="P49" s="6">
        <v>117.6</v>
      </c>
      <c r="Q49" s="6">
        <v>116</v>
      </c>
      <c r="R49" s="6">
        <v>117.4</v>
      </c>
      <c r="S49" s="6">
        <v>114.6</v>
      </c>
      <c r="T49" s="6">
        <v>117</v>
      </c>
      <c r="U49" s="6">
        <v>113.9</v>
      </c>
      <c r="V49" s="6">
        <v>112.5</v>
      </c>
      <c r="W49" s="6">
        <v>113.6</v>
      </c>
      <c r="X49" s="6">
        <v>111.5</v>
      </c>
      <c r="Y49" s="6">
        <v>111.2</v>
      </c>
      <c r="Z49" s="6">
        <v>110.9</v>
      </c>
      <c r="AA49" s="6">
        <v>112.7</v>
      </c>
      <c r="AB49" s="6">
        <v>109</v>
      </c>
      <c r="AC49" s="6">
        <v>111.5</v>
      </c>
      <c r="AD49" s="6">
        <v>115.1</v>
      </c>
      <c r="AE49" s="6" t="str">
        <f t="shared" si="0"/>
        <v>Rural+Urban|2014|April</v>
      </c>
    </row>
    <row r="50" spans="1:31">
      <c r="A50" s="6" t="s">
        <v>49</v>
      </c>
      <c r="B50" s="6">
        <v>2014</v>
      </c>
      <c r="C50" s="6" t="s">
        <v>56</v>
      </c>
      <c r="D50" s="6">
        <v>120.3</v>
      </c>
      <c r="E50" s="6">
        <v>120.2</v>
      </c>
      <c r="F50" s="6">
        <v>116.9</v>
      </c>
      <c r="G50" s="6">
        <v>118</v>
      </c>
      <c r="H50" s="6">
        <v>110.1</v>
      </c>
      <c r="I50" s="6">
        <v>126.3</v>
      </c>
      <c r="J50" s="6">
        <v>123.9</v>
      </c>
      <c r="K50" s="6">
        <v>111.5</v>
      </c>
      <c r="L50" s="6">
        <v>103.5</v>
      </c>
      <c r="M50" s="6">
        <v>111.6</v>
      </c>
      <c r="N50" s="6">
        <v>114.2</v>
      </c>
      <c r="O50" s="6">
        <v>119.2</v>
      </c>
      <c r="P50" s="6">
        <v>118.2</v>
      </c>
      <c r="Q50" s="6">
        <v>116.3</v>
      </c>
      <c r="R50" s="6">
        <v>118.7</v>
      </c>
      <c r="S50" s="6">
        <v>116.8</v>
      </c>
      <c r="T50" s="6">
        <v>118.5</v>
      </c>
      <c r="V50" s="6">
        <v>113.4</v>
      </c>
      <c r="W50" s="6">
        <v>114.1</v>
      </c>
      <c r="X50" s="6">
        <v>112.1</v>
      </c>
      <c r="Y50" s="6">
        <v>111.4</v>
      </c>
      <c r="Z50" s="6">
        <v>110.9</v>
      </c>
      <c r="AA50" s="6">
        <v>113.1</v>
      </c>
      <c r="AB50" s="6">
        <v>108.9</v>
      </c>
      <c r="AC50" s="6">
        <v>111.8</v>
      </c>
      <c r="AD50" s="6">
        <v>116</v>
      </c>
      <c r="AE50" s="6" t="str">
        <f t="shared" si="0"/>
        <v>Rural|2014|May</v>
      </c>
    </row>
    <row r="51" spans="1:31">
      <c r="A51" s="6" t="s">
        <v>51</v>
      </c>
      <c r="B51" s="6">
        <v>2014</v>
      </c>
      <c r="C51" s="6" t="s">
        <v>56</v>
      </c>
      <c r="D51" s="6">
        <v>122.7</v>
      </c>
      <c r="E51" s="6">
        <v>124.1</v>
      </c>
      <c r="F51" s="6">
        <v>114.2</v>
      </c>
      <c r="G51" s="6">
        <v>119.1</v>
      </c>
      <c r="H51" s="6">
        <v>103.5</v>
      </c>
      <c r="I51" s="6">
        <v>129.2</v>
      </c>
      <c r="J51" s="6">
        <v>127</v>
      </c>
      <c r="K51" s="6">
        <v>112.6</v>
      </c>
      <c r="L51" s="6">
        <v>101.3</v>
      </c>
      <c r="M51" s="6">
        <v>117</v>
      </c>
      <c r="N51" s="6">
        <v>112.9</v>
      </c>
      <c r="O51" s="6">
        <v>121.7</v>
      </c>
      <c r="P51" s="6">
        <v>120</v>
      </c>
      <c r="Q51" s="6">
        <v>118.3</v>
      </c>
      <c r="R51" s="6">
        <v>116.8</v>
      </c>
      <c r="S51" s="6">
        <v>112.9</v>
      </c>
      <c r="T51" s="6">
        <v>116.2</v>
      </c>
      <c r="U51" s="6">
        <v>114.3</v>
      </c>
      <c r="V51" s="6">
        <v>111.1</v>
      </c>
      <c r="W51" s="6">
        <v>114.1</v>
      </c>
      <c r="X51" s="6">
        <v>111.2</v>
      </c>
      <c r="Y51" s="6">
        <v>111.3</v>
      </c>
      <c r="Z51" s="6">
        <v>111.5</v>
      </c>
      <c r="AA51" s="6">
        <v>112.9</v>
      </c>
      <c r="AB51" s="6">
        <v>109.3</v>
      </c>
      <c r="AC51" s="6">
        <v>111.7</v>
      </c>
      <c r="AD51" s="6">
        <v>115.6</v>
      </c>
      <c r="AE51" s="6" t="str">
        <f t="shared" si="0"/>
        <v>Urban|2014|May</v>
      </c>
    </row>
    <row r="52" spans="1:31">
      <c r="A52" s="6" t="s">
        <v>52</v>
      </c>
      <c r="B52" s="6">
        <v>2014</v>
      </c>
      <c r="C52" s="6" t="s">
        <v>56</v>
      </c>
      <c r="D52" s="6">
        <v>121.1</v>
      </c>
      <c r="E52" s="6">
        <v>121.6</v>
      </c>
      <c r="F52" s="6">
        <v>115.9</v>
      </c>
      <c r="G52" s="6">
        <v>118.4</v>
      </c>
      <c r="H52" s="6">
        <v>107.7</v>
      </c>
      <c r="I52" s="6">
        <v>127.7</v>
      </c>
      <c r="J52" s="6">
        <v>125</v>
      </c>
      <c r="K52" s="6">
        <v>111.9</v>
      </c>
      <c r="L52" s="6">
        <v>102.8</v>
      </c>
      <c r="M52" s="6">
        <v>113.4</v>
      </c>
      <c r="N52" s="6">
        <v>113.7</v>
      </c>
      <c r="O52" s="6">
        <v>120.4</v>
      </c>
      <c r="P52" s="6">
        <v>118.9</v>
      </c>
      <c r="Q52" s="6">
        <v>116.8</v>
      </c>
      <c r="R52" s="6">
        <v>118</v>
      </c>
      <c r="S52" s="6">
        <v>115.2</v>
      </c>
      <c r="T52" s="6">
        <v>117.6</v>
      </c>
      <c r="U52" s="6">
        <v>114.3</v>
      </c>
      <c r="V52" s="6">
        <v>112.5</v>
      </c>
      <c r="W52" s="6">
        <v>114.1</v>
      </c>
      <c r="X52" s="6">
        <v>111.8</v>
      </c>
      <c r="Y52" s="6">
        <v>111.3</v>
      </c>
      <c r="Z52" s="6">
        <v>111.2</v>
      </c>
      <c r="AA52" s="6">
        <v>113</v>
      </c>
      <c r="AB52" s="6">
        <v>109.1</v>
      </c>
      <c r="AC52" s="6">
        <v>111.8</v>
      </c>
      <c r="AD52" s="6">
        <v>115.8</v>
      </c>
      <c r="AE52" s="6" t="str">
        <f t="shared" si="0"/>
        <v>Rural+Urban|2014|May</v>
      </c>
    </row>
    <row r="53" spans="1:31">
      <c r="A53" s="6" t="s">
        <v>49</v>
      </c>
      <c r="B53" s="6">
        <v>2014</v>
      </c>
      <c r="C53" s="6" t="s">
        <v>57</v>
      </c>
      <c r="D53" s="6">
        <v>120.7</v>
      </c>
      <c r="E53" s="6">
        <v>121.6</v>
      </c>
      <c r="F53" s="6">
        <v>116.1</v>
      </c>
      <c r="G53" s="6">
        <v>119.3</v>
      </c>
      <c r="H53" s="6">
        <v>110.3</v>
      </c>
      <c r="I53" s="6">
        <v>125.8</v>
      </c>
      <c r="J53" s="6">
        <v>129.3</v>
      </c>
      <c r="K53" s="6">
        <v>112.2</v>
      </c>
      <c r="L53" s="6">
        <v>103.6</v>
      </c>
      <c r="M53" s="6">
        <v>112.3</v>
      </c>
      <c r="N53" s="6">
        <v>114.9</v>
      </c>
      <c r="O53" s="6">
        <v>120.1</v>
      </c>
      <c r="P53" s="6">
        <v>119.5</v>
      </c>
      <c r="Q53" s="6">
        <v>117.3</v>
      </c>
      <c r="R53" s="6">
        <v>119.7</v>
      </c>
      <c r="S53" s="6">
        <v>117.3</v>
      </c>
      <c r="T53" s="6">
        <v>119.3</v>
      </c>
      <c r="V53" s="6">
        <v>114.4</v>
      </c>
      <c r="W53" s="6">
        <v>114.9</v>
      </c>
      <c r="X53" s="6">
        <v>112.8</v>
      </c>
      <c r="Y53" s="6">
        <v>112.2</v>
      </c>
      <c r="Z53" s="6">
        <v>111.4</v>
      </c>
      <c r="AA53" s="6">
        <v>114.3</v>
      </c>
      <c r="AB53" s="6">
        <v>108</v>
      </c>
      <c r="AC53" s="6">
        <v>112.3</v>
      </c>
      <c r="AD53" s="6">
        <v>117</v>
      </c>
      <c r="AE53" s="6" t="str">
        <f t="shared" si="0"/>
        <v>Rural|2014|June</v>
      </c>
    </row>
    <row r="54" spans="1:31">
      <c r="A54" s="6" t="s">
        <v>51</v>
      </c>
      <c r="B54" s="6">
        <v>2014</v>
      </c>
      <c r="C54" s="6" t="s">
        <v>57</v>
      </c>
      <c r="D54" s="6">
        <v>123.1</v>
      </c>
      <c r="E54" s="6">
        <v>125.9</v>
      </c>
      <c r="F54" s="6">
        <v>115.4</v>
      </c>
      <c r="G54" s="6">
        <v>120.4</v>
      </c>
      <c r="H54" s="6">
        <v>103.4</v>
      </c>
      <c r="I54" s="6">
        <v>131.2</v>
      </c>
      <c r="J54" s="6">
        <v>137.5</v>
      </c>
      <c r="K54" s="6">
        <v>112.8</v>
      </c>
      <c r="L54" s="6">
        <v>101.4</v>
      </c>
      <c r="M54" s="6">
        <v>118.3</v>
      </c>
      <c r="N54" s="6">
        <v>113.2</v>
      </c>
      <c r="O54" s="6">
        <v>122.4</v>
      </c>
      <c r="P54" s="6">
        <v>122</v>
      </c>
      <c r="Q54" s="6">
        <v>119</v>
      </c>
      <c r="R54" s="6">
        <v>117.4</v>
      </c>
      <c r="S54" s="6">
        <v>113.2</v>
      </c>
      <c r="T54" s="6">
        <v>116.7</v>
      </c>
      <c r="U54" s="6">
        <v>113.9</v>
      </c>
      <c r="V54" s="6">
        <v>111.2</v>
      </c>
      <c r="W54" s="6">
        <v>114.3</v>
      </c>
      <c r="X54" s="6">
        <v>111.4</v>
      </c>
      <c r="Y54" s="6">
        <v>111.5</v>
      </c>
      <c r="Z54" s="6">
        <v>111.8</v>
      </c>
      <c r="AA54" s="6">
        <v>115.1</v>
      </c>
      <c r="AB54" s="6">
        <v>108.7</v>
      </c>
      <c r="AC54" s="6">
        <v>112.2</v>
      </c>
      <c r="AD54" s="6">
        <v>116.4</v>
      </c>
      <c r="AE54" s="6" t="str">
        <f t="shared" si="0"/>
        <v>Urban|2014|June</v>
      </c>
    </row>
    <row r="55" spans="1:31">
      <c r="A55" s="6" t="s">
        <v>52</v>
      </c>
      <c r="B55" s="6">
        <v>2014</v>
      </c>
      <c r="C55" s="6" t="s">
        <v>57</v>
      </c>
      <c r="D55" s="6">
        <v>121.5</v>
      </c>
      <c r="E55" s="6">
        <v>123.1</v>
      </c>
      <c r="F55" s="6">
        <v>115.8</v>
      </c>
      <c r="G55" s="6">
        <v>119.7</v>
      </c>
      <c r="H55" s="6">
        <v>107.8</v>
      </c>
      <c r="I55" s="6">
        <v>128.3</v>
      </c>
      <c r="J55" s="6">
        <v>132.1</v>
      </c>
      <c r="K55" s="6">
        <v>112.4</v>
      </c>
      <c r="L55" s="6">
        <v>102.9</v>
      </c>
      <c r="M55" s="6">
        <v>114.3</v>
      </c>
      <c r="N55" s="6">
        <v>114.2</v>
      </c>
      <c r="O55" s="6">
        <v>121.2</v>
      </c>
      <c r="P55" s="6">
        <v>120.4</v>
      </c>
      <c r="Q55" s="6">
        <v>117.8</v>
      </c>
      <c r="R55" s="6">
        <v>118.8</v>
      </c>
      <c r="S55" s="6">
        <v>115.6</v>
      </c>
      <c r="T55" s="6">
        <v>118.3</v>
      </c>
      <c r="U55" s="6">
        <v>113.9</v>
      </c>
      <c r="V55" s="6">
        <v>113.2</v>
      </c>
      <c r="W55" s="6">
        <v>114.6</v>
      </c>
      <c r="X55" s="6">
        <v>112.3</v>
      </c>
      <c r="Y55" s="6">
        <v>111.8</v>
      </c>
      <c r="Z55" s="6">
        <v>111.6</v>
      </c>
      <c r="AA55" s="6">
        <v>114.8</v>
      </c>
      <c r="AB55" s="6">
        <v>108.3</v>
      </c>
      <c r="AC55" s="6">
        <v>112.3</v>
      </c>
      <c r="AD55" s="6">
        <v>116.7</v>
      </c>
      <c r="AE55" s="6" t="str">
        <f t="shared" si="0"/>
        <v>Rural+Urban|2014|June</v>
      </c>
    </row>
    <row r="56" spans="1:31">
      <c r="A56" s="6" t="s">
        <v>49</v>
      </c>
      <c r="B56" s="6">
        <v>2014</v>
      </c>
      <c r="C56" s="6" t="s">
        <v>58</v>
      </c>
      <c r="D56" s="6">
        <v>121.7</v>
      </c>
      <c r="E56" s="6">
        <v>122.5</v>
      </c>
      <c r="F56" s="6">
        <v>117.7</v>
      </c>
      <c r="G56" s="6">
        <v>120.6</v>
      </c>
      <c r="H56" s="6">
        <v>110.4</v>
      </c>
      <c r="I56" s="6">
        <v>129.1</v>
      </c>
      <c r="J56" s="6">
        <v>150.1</v>
      </c>
      <c r="K56" s="6">
        <v>113.2</v>
      </c>
      <c r="L56" s="6">
        <v>104.8</v>
      </c>
      <c r="M56" s="6">
        <v>113.3</v>
      </c>
      <c r="N56" s="6">
        <v>115.6</v>
      </c>
      <c r="O56" s="6">
        <v>120.9</v>
      </c>
      <c r="P56" s="6">
        <v>123.3</v>
      </c>
      <c r="Q56" s="6">
        <v>118</v>
      </c>
      <c r="R56" s="6">
        <v>120.7</v>
      </c>
      <c r="S56" s="6">
        <v>118.3</v>
      </c>
      <c r="T56" s="6">
        <v>120.3</v>
      </c>
      <c r="V56" s="6">
        <v>115.3</v>
      </c>
      <c r="W56" s="6">
        <v>115.4</v>
      </c>
      <c r="X56" s="6">
        <v>113.4</v>
      </c>
      <c r="Y56" s="6">
        <v>113.2</v>
      </c>
      <c r="Z56" s="6">
        <v>111.8</v>
      </c>
      <c r="AA56" s="6">
        <v>115.5</v>
      </c>
      <c r="AB56" s="6">
        <v>108.8</v>
      </c>
      <c r="AC56" s="6">
        <v>113.1</v>
      </c>
      <c r="AD56" s="6">
        <v>119.5</v>
      </c>
      <c r="AE56" s="6" t="str">
        <f t="shared" si="0"/>
        <v>Rural|2014|July</v>
      </c>
    </row>
    <row r="57" spans="1:31">
      <c r="A57" s="6" t="s">
        <v>51</v>
      </c>
      <c r="B57" s="6">
        <v>2014</v>
      </c>
      <c r="C57" s="6" t="s">
        <v>58</v>
      </c>
      <c r="D57" s="6">
        <v>123.8</v>
      </c>
      <c r="E57" s="6">
        <v>126.4</v>
      </c>
      <c r="F57" s="6">
        <v>118</v>
      </c>
      <c r="G57" s="6">
        <v>121.6</v>
      </c>
      <c r="H57" s="6">
        <v>103.5</v>
      </c>
      <c r="I57" s="6">
        <v>133.7</v>
      </c>
      <c r="J57" s="6">
        <v>172.4</v>
      </c>
      <c r="K57" s="6">
        <v>113.1</v>
      </c>
      <c r="L57" s="6">
        <v>102.7</v>
      </c>
      <c r="M57" s="6">
        <v>120</v>
      </c>
      <c r="N57" s="6">
        <v>113.8</v>
      </c>
      <c r="O57" s="6">
        <v>123.4</v>
      </c>
      <c r="P57" s="6">
        <v>127.1</v>
      </c>
      <c r="Q57" s="6">
        <v>121</v>
      </c>
      <c r="R57" s="6">
        <v>118</v>
      </c>
      <c r="S57" s="6">
        <v>113.6</v>
      </c>
      <c r="T57" s="6">
        <v>117.4</v>
      </c>
      <c r="U57" s="6">
        <v>114.8</v>
      </c>
      <c r="V57" s="6">
        <v>111.6</v>
      </c>
      <c r="W57" s="6">
        <v>114.9</v>
      </c>
      <c r="X57" s="6">
        <v>111.5</v>
      </c>
      <c r="Y57" s="6">
        <v>113</v>
      </c>
      <c r="Z57" s="6">
        <v>112.4</v>
      </c>
      <c r="AA57" s="6">
        <v>117.8</v>
      </c>
      <c r="AB57" s="6">
        <v>109.7</v>
      </c>
      <c r="AC57" s="6">
        <v>113.5</v>
      </c>
      <c r="AD57" s="6">
        <v>118.9</v>
      </c>
      <c r="AE57" s="6" t="str">
        <f t="shared" si="0"/>
        <v>Urban|2014|July</v>
      </c>
    </row>
    <row r="58" spans="1:31">
      <c r="A58" s="6" t="s">
        <v>52</v>
      </c>
      <c r="B58" s="6">
        <v>2014</v>
      </c>
      <c r="C58" s="6" t="s">
        <v>58</v>
      </c>
      <c r="D58" s="6">
        <v>122.4</v>
      </c>
      <c r="E58" s="6">
        <v>123.9</v>
      </c>
      <c r="F58" s="6">
        <v>117.8</v>
      </c>
      <c r="G58" s="6">
        <v>121</v>
      </c>
      <c r="H58" s="6">
        <v>107.9</v>
      </c>
      <c r="I58" s="6">
        <v>131.2</v>
      </c>
      <c r="J58" s="6">
        <v>157.7</v>
      </c>
      <c r="K58" s="6">
        <v>113.2</v>
      </c>
      <c r="L58" s="6">
        <v>104.1</v>
      </c>
      <c r="M58" s="6">
        <v>115.5</v>
      </c>
      <c r="N58" s="6">
        <v>114.8</v>
      </c>
      <c r="O58" s="6">
        <v>122.1</v>
      </c>
      <c r="P58" s="6">
        <v>124.7</v>
      </c>
      <c r="Q58" s="6">
        <v>118.8</v>
      </c>
      <c r="R58" s="6">
        <v>119.6</v>
      </c>
      <c r="S58" s="6">
        <v>116.3</v>
      </c>
      <c r="T58" s="6">
        <v>119.1</v>
      </c>
      <c r="U58" s="6">
        <v>114.8</v>
      </c>
      <c r="V58" s="6">
        <v>113.9</v>
      </c>
      <c r="W58" s="6">
        <v>115.2</v>
      </c>
      <c r="X58" s="6">
        <v>112.7</v>
      </c>
      <c r="Y58" s="6">
        <v>113.1</v>
      </c>
      <c r="Z58" s="6">
        <v>112.1</v>
      </c>
      <c r="AA58" s="6">
        <v>116.8</v>
      </c>
      <c r="AB58" s="6">
        <v>109.2</v>
      </c>
      <c r="AC58" s="6">
        <v>113.3</v>
      </c>
      <c r="AD58" s="6">
        <v>119.2</v>
      </c>
      <c r="AE58" s="6" t="str">
        <f t="shared" si="0"/>
        <v>Rural+Urban|2014|July</v>
      </c>
    </row>
    <row r="59" spans="1:31">
      <c r="A59" s="6" t="s">
        <v>49</v>
      </c>
      <c r="B59" s="6">
        <v>2014</v>
      </c>
      <c r="C59" s="6" t="s">
        <v>59</v>
      </c>
      <c r="D59" s="6">
        <v>121.8</v>
      </c>
      <c r="E59" s="6">
        <v>122.8</v>
      </c>
      <c r="F59" s="6">
        <v>117.8</v>
      </c>
      <c r="G59" s="6">
        <v>121.9</v>
      </c>
      <c r="H59" s="6">
        <v>110.6</v>
      </c>
      <c r="I59" s="6">
        <v>129.7</v>
      </c>
      <c r="J59" s="6">
        <v>161.1</v>
      </c>
      <c r="K59" s="6">
        <v>114.1</v>
      </c>
      <c r="L59" s="6">
        <v>105.1</v>
      </c>
      <c r="M59" s="6">
        <v>114.6</v>
      </c>
      <c r="N59" s="6">
        <v>115.8</v>
      </c>
      <c r="O59" s="6">
        <v>121.7</v>
      </c>
      <c r="P59" s="6">
        <v>125.3</v>
      </c>
      <c r="Q59" s="6">
        <v>118.8</v>
      </c>
      <c r="R59" s="6">
        <v>120.9</v>
      </c>
      <c r="S59" s="6">
        <v>118.8</v>
      </c>
      <c r="T59" s="6">
        <v>120.7</v>
      </c>
      <c r="V59" s="6">
        <v>115.4</v>
      </c>
      <c r="W59" s="6">
        <v>115.9</v>
      </c>
      <c r="X59" s="6">
        <v>114</v>
      </c>
      <c r="Y59" s="6">
        <v>113.2</v>
      </c>
      <c r="Z59" s="6">
        <v>112.2</v>
      </c>
      <c r="AA59" s="6">
        <v>116.2</v>
      </c>
      <c r="AB59" s="6">
        <v>109.4</v>
      </c>
      <c r="AC59" s="6">
        <v>113.5</v>
      </c>
      <c r="AD59" s="6">
        <v>120.7</v>
      </c>
      <c r="AE59" s="6" t="str">
        <f t="shared" si="0"/>
        <v>Rural|2014|August</v>
      </c>
    </row>
    <row r="60" spans="1:31">
      <c r="A60" s="6" t="s">
        <v>51</v>
      </c>
      <c r="B60" s="6">
        <v>2014</v>
      </c>
      <c r="C60" s="6" t="s">
        <v>59</v>
      </c>
      <c r="D60" s="6">
        <v>124.8</v>
      </c>
      <c r="E60" s="6">
        <v>127.3</v>
      </c>
      <c r="F60" s="6">
        <v>116.5</v>
      </c>
      <c r="G60" s="6">
        <v>122.2</v>
      </c>
      <c r="H60" s="6">
        <v>103.6</v>
      </c>
      <c r="I60" s="6">
        <v>132.7</v>
      </c>
      <c r="J60" s="6">
        <v>181.9</v>
      </c>
      <c r="K60" s="6">
        <v>115.2</v>
      </c>
      <c r="L60" s="6">
        <v>102.7</v>
      </c>
      <c r="M60" s="6">
        <v>122.1</v>
      </c>
      <c r="N60" s="6">
        <v>114.4</v>
      </c>
      <c r="O60" s="6">
        <v>124.7</v>
      </c>
      <c r="P60" s="6">
        <v>128.9</v>
      </c>
      <c r="Q60" s="6">
        <v>123</v>
      </c>
      <c r="R60" s="6">
        <v>118.6</v>
      </c>
      <c r="S60" s="6">
        <v>114.1</v>
      </c>
      <c r="T60" s="6">
        <v>117.9</v>
      </c>
      <c r="U60" s="6">
        <v>115.5</v>
      </c>
      <c r="V60" s="6">
        <v>111.8</v>
      </c>
      <c r="W60" s="6">
        <v>115.3</v>
      </c>
      <c r="X60" s="6">
        <v>112.2</v>
      </c>
      <c r="Y60" s="6">
        <v>112.5</v>
      </c>
      <c r="Z60" s="6">
        <v>112.9</v>
      </c>
      <c r="AA60" s="6">
        <v>119.2</v>
      </c>
      <c r="AB60" s="6">
        <v>110.5</v>
      </c>
      <c r="AC60" s="6">
        <v>113.9</v>
      </c>
      <c r="AD60" s="6">
        <v>119.9</v>
      </c>
      <c r="AE60" s="6" t="str">
        <f t="shared" si="0"/>
        <v>Urban|2014|August</v>
      </c>
    </row>
    <row r="61" spans="1:31">
      <c r="A61" s="6" t="s">
        <v>52</v>
      </c>
      <c r="B61" s="6">
        <v>2014</v>
      </c>
      <c r="C61" s="6" t="s">
        <v>59</v>
      </c>
      <c r="D61" s="6">
        <v>122.7</v>
      </c>
      <c r="E61" s="6">
        <v>124.4</v>
      </c>
      <c r="F61" s="6">
        <v>117.3</v>
      </c>
      <c r="G61" s="6">
        <v>122</v>
      </c>
      <c r="H61" s="6">
        <v>108</v>
      </c>
      <c r="I61" s="6">
        <v>131.1</v>
      </c>
      <c r="J61" s="6">
        <v>168.2</v>
      </c>
      <c r="K61" s="6">
        <v>114.5</v>
      </c>
      <c r="L61" s="6">
        <v>104.3</v>
      </c>
      <c r="M61" s="6">
        <v>117.1</v>
      </c>
      <c r="N61" s="6">
        <v>115.2</v>
      </c>
      <c r="O61" s="6">
        <v>123.1</v>
      </c>
      <c r="P61" s="6">
        <v>126.6</v>
      </c>
      <c r="Q61" s="6">
        <v>119.9</v>
      </c>
      <c r="R61" s="6">
        <v>120</v>
      </c>
      <c r="S61" s="6">
        <v>116.8</v>
      </c>
      <c r="T61" s="6">
        <v>119.6</v>
      </c>
      <c r="U61" s="6">
        <v>115.5</v>
      </c>
      <c r="V61" s="6">
        <v>114</v>
      </c>
      <c r="W61" s="6">
        <v>115.6</v>
      </c>
      <c r="X61" s="6">
        <v>113.3</v>
      </c>
      <c r="Y61" s="6">
        <v>112.8</v>
      </c>
      <c r="Z61" s="6">
        <v>112.6</v>
      </c>
      <c r="AA61" s="6">
        <v>118</v>
      </c>
      <c r="AB61" s="6">
        <v>109.9</v>
      </c>
      <c r="AC61" s="6">
        <v>113.7</v>
      </c>
      <c r="AD61" s="6">
        <v>120.3</v>
      </c>
      <c r="AE61" s="6" t="str">
        <f t="shared" si="0"/>
        <v>Rural+Urban|2014|August</v>
      </c>
    </row>
    <row r="62" spans="1:31">
      <c r="A62" s="6" t="s">
        <v>49</v>
      </c>
      <c r="B62" s="6">
        <v>2014</v>
      </c>
      <c r="C62" s="6" t="s">
        <v>60</v>
      </c>
      <c r="D62" s="6">
        <v>122.3</v>
      </c>
      <c r="E62" s="6">
        <v>122.4</v>
      </c>
      <c r="F62" s="6">
        <v>117.8</v>
      </c>
      <c r="G62" s="6">
        <v>122.7</v>
      </c>
      <c r="H62" s="6">
        <v>110.4</v>
      </c>
      <c r="I62" s="6">
        <v>129.8</v>
      </c>
      <c r="J62" s="6">
        <v>158.8</v>
      </c>
      <c r="K62" s="6">
        <v>115</v>
      </c>
      <c r="L62" s="6">
        <v>104.7</v>
      </c>
      <c r="M62" s="6">
        <v>114.9</v>
      </c>
      <c r="N62" s="6">
        <v>116.5</v>
      </c>
      <c r="O62" s="6">
        <v>122.6</v>
      </c>
      <c r="P62" s="6">
        <v>125.3</v>
      </c>
      <c r="Q62" s="6">
        <v>119.5</v>
      </c>
      <c r="R62" s="6">
        <v>121.7</v>
      </c>
      <c r="S62" s="6">
        <v>119.2</v>
      </c>
      <c r="T62" s="6">
        <v>121.3</v>
      </c>
      <c r="V62" s="6">
        <v>115.8</v>
      </c>
      <c r="W62" s="6">
        <v>116.7</v>
      </c>
      <c r="X62" s="6">
        <v>114.5</v>
      </c>
      <c r="Y62" s="6">
        <v>112.8</v>
      </c>
      <c r="Z62" s="6">
        <v>112.6</v>
      </c>
      <c r="AA62" s="6">
        <v>116.6</v>
      </c>
      <c r="AB62" s="6">
        <v>109.1</v>
      </c>
      <c r="AC62" s="6">
        <v>113.7</v>
      </c>
      <c r="AD62" s="6">
        <v>120.9</v>
      </c>
      <c r="AE62" s="6" t="str">
        <f t="shared" si="0"/>
        <v>Rural|2014|September</v>
      </c>
    </row>
    <row r="63" spans="1:31">
      <c r="A63" s="6" t="s">
        <v>51</v>
      </c>
      <c r="B63" s="6">
        <v>2014</v>
      </c>
      <c r="C63" s="6" t="s">
        <v>60</v>
      </c>
      <c r="D63" s="6">
        <v>124.2</v>
      </c>
      <c r="E63" s="6">
        <v>125.4</v>
      </c>
      <c r="F63" s="6">
        <v>116.4</v>
      </c>
      <c r="G63" s="6">
        <v>122.7</v>
      </c>
      <c r="H63" s="6">
        <v>103.5</v>
      </c>
      <c r="I63" s="6">
        <v>124.5</v>
      </c>
      <c r="J63" s="6">
        <v>168.6</v>
      </c>
      <c r="K63" s="6">
        <v>116.9</v>
      </c>
      <c r="L63" s="6">
        <v>101.9</v>
      </c>
      <c r="M63" s="6">
        <v>122.9</v>
      </c>
      <c r="N63" s="6">
        <v>114.8</v>
      </c>
      <c r="O63" s="6">
        <v>125.2</v>
      </c>
      <c r="P63" s="6">
        <v>126.7</v>
      </c>
      <c r="Q63" s="6">
        <v>124.3</v>
      </c>
      <c r="R63" s="6">
        <v>119.2</v>
      </c>
      <c r="S63" s="6">
        <v>114.5</v>
      </c>
      <c r="T63" s="6">
        <v>118.4</v>
      </c>
      <c r="U63" s="6">
        <v>116.1</v>
      </c>
      <c r="V63" s="6">
        <v>111.8</v>
      </c>
      <c r="W63" s="6">
        <v>115.5</v>
      </c>
      <c r="X63" s="6">
        <v>112.3</v>
      </c>
      <c r="Y63" s="6">
        <v>111.2</v>
      </c>
      <c r="Z63" s="6">
        <v>113.4</v>
      </c>
      <c r="AA63" s="6">
        <v>120</v>
      </c>
      <c r="AB63" s="6">
        <v>110</v>
      </c>
      <c r="AC63" s="6">
        <v>113.6</v>
      </c>
      <c r="AD63" s="6">
        <v>119.2</v>
      </c>
      <c r="AE63" s="6" t="str">
        <f t="shared" si="0"/>
        <v>Urban|2014|September</v>
      </c>
    </row>
    <row r="64" spans="1:31">
      <c r="A64" s="6" t="s">
        <v>52</v>
      </c>
      <c r="B64" s="6">
        <v>2014</v>
      </c>
      <c r="C64" s="6" t="s">
        <v>60</v>
      </c>
      <c r="D64" s="6">
        <v>122.9</v>
      </c>
      <c r="E64" s="6">
        <v>123.5</v>
      </c>
      <c r="F64" s="6">
        <v>117.3</v>
      </c>
      <c r="G64" s="6">
        <v>122.7</v>
      </c>
      <c r="H64" s="6">
        <v>107.9</v>
      </c>
      <c r="I64" s="6">
        <v>127.3</v>
      </c>
      <c r="J64" s="6">
        <v>162.1</v>
      </c>
      <c r="K64" s="6">
        <v>115.6</v>
      </c>
      <c r="L64" s="6">
        <v>103.8</v>
      </c>
      <c r="M64" s="6">
        <v>117.6</v>
      </c>
      <c r="N64" s="6">
        <v>115.8</v>
      </c>
      <c r="O64" s="6">
        <v>123.8</v>
      </c>
      <c r="P64" s="6">
        <v>125.8</v>
      </c>
      <c r="Q64" s="6">
        <v>120.8</v>
      </c>
      <c r="R64" s="6">
        <v>120.7</v>
      </c>
      <c r="S64" s="6">
        <v>117.2</v>
      </c>
      <c r="T64" s="6">
        <v>120.1</v>
      </c>
      <c r="U64" s="6">
        <v>116.1</v>
      </c>
      <c r="V64" s="6">
        <v>114.3</v>
      </c>
      <c r="W64" s="6">
        <v>116.1</v>
      </c>
      <c r="X64" s="6">
        <v>113.7</v>
      </c>
      <c r="Y64" s="6">
        <v>112</v>
      </c>
      <c r="Z64" s="6">
        <v>113.1</v>
      </c>
      <c r="AA64" s="6">
        <v>118.6</v>
      </c>
      <c r="AB64" s="6">
        <v>109.5</v>
      </c>
      <c r="AC64" s="6">
        <v>113.7</v>
      </c>
      <c r="AD64" s="6">
        <v>120.1</v>
      </c>
      <c r="AE64" s="6" t="str">
        <f t="shared" si="0"/>
        <v>Rural+Urban|2014|September</v>
      </c>
    </row>
    <row r="65" spans="1:31">
      <c r="A65" s="6" t="s">
        <v>49</v>
      </c>
      <c r="B65" s="6">
        <v>2014</v>
      </c>
      <c r="C65" s="6" t="s">
        <v>61</v>
      </c>
      <c r="D65" s="6">
        <v>122.6</v>
      </c>
      <c r="E65" s="6">
        <v>122.5</v>
      </c>
      <c r="F65" s="6">
        <v>118.3</v>
      </c>
      <c r="G65" s="6">
        <v>123.2</v>
      </c>
      <c r="H65" s="6">
        <v>110.5</v>
      </c>
      <c r="I65" s="6">
        <v>128.9</v>
      </c>
      <c r="J65" s="6">
        <v>155.3</v>
      </c>
      <c r="K65" s="6">
        <v>115.5</v>
      </c>
      <c r="L65" s="6">
        <v>104</v>
      </c>
      <c r="M65" s="6">
        <v>115.3</v>
      </c>
      <c r="N65" s="6">
        <v>116.8</v>
      </c>
      <c r="O65" s="6">
        <v>123.2</v>
      </c>
      <c r="P65" s="6">
        <v>125.1</v>
      </c>
      <c r="Q65" s="6">
        <v>120</v>
      </c>
      <c r="R65" s="6">
        <v>122.7</v>
      </c>
      <c r="S65" s="6">
        <v>120.3</v>
      </c>
      <c r="T65" s="6">
        <v>122.3</v>
      </c>
      <c r="V65" s="6">
        <v>116.4</v>
      </c>
      <c r="W65" s="6">
        <v>117.5</v>
      </c>
      <c r="X65" s="6">
        <v>115.3</v>
      </c>
      <c r="Y65" s="6">
        <v>112.6</v>
      </c>
      <c r="Z65" s="6">
        <v>113</v>
      </c>
      <c r="AA65" s="6">
        <v>116.9</v>
      </c>
      <c r="AB65" s="6">
        <v>109.3</v>
      </c>
      <c r="AC65" s="6">
        <v>114</v>
      </c>
      <c r="AD65" s="6">
        <v>121</v>
      </c>
      <c r="AE65" s="6" t="str">
        <f t="shared" si="0"/>
        <v>Rural|2014|October</v>
      </c>
    </row>
    <row r="66" spans="1:31">
      <c r="A66" s="6" t="s">
        <v>51</v>
      </c>
      <c r="B66" s="6">
        <v>2014</v>
      </c>
      <c r="C66" s="6" t="s">
        <v>61</v>
      </c>
      <c r="D66" s="6">
        <v>124.6</v>
      </c>
      <c r="E66" s="6">
        <v>126.1</v>
      </c>
      <c r="F66" s="6">
        <v>117.8</v>
      </c>
      <c r="G66" s="6">
        <v>123.1</v>
      </c>
      <c r="H66" s="6">
        <v>103.5</v>
      </c>
      <c r="I66" s="6">
        <v>123.5</v>
      </c>
      <c r="J66" s="6">
        <v>159.6</v>
      </c>
      <c r="K66" s="6">
        <v>117.4</v>
      </c>
      <c r="L66" s="6">
        <v>101.2</v>
      </c>
      <c r="M66" s="6">
        <v>123.8</v>
      </c>
      <c r="N66" s="6">
        <v>115.2</v>
      </c>
      <c r="O66" s="6">
        <v>125.9</v>
      </c>
      <c r="P66" s="6">
        <v>125.8</v>
      </c>
      <c r="Q66" s="6">
        <v>124.3</v>
      </c>
      <c r="R66" s="6">
        <v>119.6</v>
      </c>
      <c r="S66" s="6">
        <v>114.9</v>
      </c>
      <c r="T66" s="6">
        <v>118.9</v>
      </c>
      <c r="U66" s="6">
        <v>116.7</v>
      </c>
      <c r="V66" s="6">
        <v>112</v>
      </c>
      <c r="W66" s="6">
        <v>115.8</v>
      </c>
      <c r="X66" s="6">
        <v>112.6</v>
      </c>
      <c r="Y66" s="6">
        <v>111</v>
      </c>
      <c r="Z66" s="6">
        <v>113.6</v>
      </c>
      <c r="AA66" s="6">
        <v>120.2</v>
      </c>
      <c r="AB66" s="6">
        <v>110.1</v>
      </c>
      <c r="AC66" s="6">
        <v>113.7</v>
      </c>
      <c r="AD66" s="6">
        <v>119.1</v>
      </c>
      <c r="AE66" s="6" t="str">
        <f t="shared" ref="AE66:AE129" si="1">A66&amp;"|"&amp;B66&amp;"|"&amp;C66</f>
        <v>Urban|2014|October</v>
      </c>
    </row>
    <row r="67" spans="1:31">
      <c r="A67" s="6" t="s">
        <v>52</v>
      </c>
      <c r="B67" s="6">
        <v>2014</v>
      </c>
      <c r="C67" s="6" t="s">
        <v>61</v>
      </c>
      <c r="D67" s="6">
        <v>123.2</v>
      </c>
      <c r="E67" s="6">
        <v>123.8</v>
      </c>
      <c r="F67" s="6">
        <v>118.1</v>
      </c>
      <c r="G67" s="6">
        <v>123.2</v>
      </c>
      <c r="H67" s="6">
        <v>107.9</v>
      </c>
      <c r="I67" s="6">
        <v>126.4</v>
      </c>
      <c r="J67" s="6">
        <v>156.8</v>
      </c>
      <c r="K67" s="6">
        <v>116.1</v>
      </c>
      <c r="L67" s="6">
        <v>103.1</v>
      </c>
      <c r="M67" s="6">
        <v>118.1</v>
      </c>
      <c r="N67" s="6">
        <v>116.1</v>
      </c>
      <c r="O67" s="6">
        <v>124.5</v>
      </c>
      <c r="P67" s="6">
        <v>125.4</v>
      </c>
      <c r="Q67" s="6">
        <v>121.1</v>
      </c>
      <c r="R67" s="6">
        <v>121.5</v>
      </c>
      <c r="S67" s="6">
        <v>118.1</v>
      </c>
      <c r="T67" s="6">
        <v>121</v>
      </c>
      <c r="U67" s="6">
        <v>116.7</v>
      </c>
      <c r="V67" s="6">
        <v>114.7</v>
      </c>
      <c r="W67" s="6">
        <v>116.7</v>
      </c>
      <c r="X67" s="6">
        <v>114.3</v>
      </c>
      <c r="Y67" s="6">
        <v>111.8</v>
      </c>
      <c r="Z67" s="6">
        <v>113.3</v>
      </c>
      <c r="AA67" s="6">
        <v>118.8</v>
      </c>
      <c r="AB67" s="6">
        <v>109.6</v>
      </c>
      <c r="AC67" s="6">
        <v>113.9</v>
      </c>
      <c r="AD67" s="6">
        <v>120.1</v>
      </c>
      <c r="AE67" s="6" t="str">
        <f t="shared" si="1"/>
        <v>Rural+Urban|2014|October</v>
      </c>
    </row>
    <row r="68" spans="1:31">
      <c r="A68" s="6" t="s">
        <v>49</v>
      </c>
      <c r="B68" s="6">
        <v>2014</v>
      </c>
      <c r="C68" s="6" t="s">
        <v>62</v>
      </c>
      <c r="D68" s="6">
        <v>122.7</v>
      </c>
      <c r="E68" s="6">
        <v>122.6</v>
      </c>
      <c r="F68" s="6">
        <v>119.9</v>
      </c>
      <c r="G68" s="6">
        <v>124</v>
      </c>
      <c r="H68" s="6">
        <v>110.5</v>
      </c>
      <c r="I68" s="6">
        <v>128.8</v>
      </c>
      <c r="J68" s="6">
        <v>152</v>
      </c>
      <c r="K68" s="6">
        <v>116.2</v>
      </c>
      <c r="L68" s="6">
        <v>103.3</v>
      </c>
      <c r="M68" s="6">
        <v>115.8</v>
      </c>
      <c r="N68" s="6">
        <v>116.8</v>
      </c>
      <c r="O68" s="6">
        <v>124.5</v>
      </c>
      <c r="P68" s="6">
        <v>124.9</v>
      </c>
      <c r="Q68" s="6">
        <v>120.8</v>
      </c>
      <c r="R68" s="6">
        <v>123.3</v>
      </c>
      <c r="S68" s="6">
        <v>120.5</v>
      </c>
      <c r="T68" s="6">
        <v>122.9</v>
      </c>
      <c r="V68" s="6">
        <v>117.3</v>
      </c>
      <c r="W68" s="6">
        <v>118.1</v>
      </c>
      <c r="X68" s="6">
        <v>115.9</v>
      </c>
      <c r="Y68" s="6">
        <v>112</v>
      </c>
      <c r="Z68" s="6">
        <v>113.3</v>
      </c>
      <c r="AA68" s="6">
        <v>117.2</v>
      </c>
      <c r="AB68" s="6">
        <v>108.8</v>
      </c>
      <c r="AC68" s="6">
        <v>114.1</v>
      </c>
      <c r="AD68" s="6">
        <v>121.1</v>
      </c>
      <c r="AE68" s="6" t="str">
        <f t="shared" si="1"/>
        <v>Rural|2014|November</v>
      </c>
    </row>
    <row r="69" spans="1:31">
      <c r="A69" s="6" t="s">
        <v>51</v>
      </c>
      <c r="B69" s="6">
        <v>2014</v>
      </c>
      <c r="C69" s="6" t="s">
        <v>62</v>
      </c>
      <c r="D69" s="6">
        <v>124.5</v>
      </c>
      <c r="E69" s="6">
        <v>125.6</v>
      </c>
      <c r="F69" s="6">
        <v>122.7</v>
      </c>
      <c r="G69" s="6">
        <v>124.6</v>
      </c>
      <c r="H69" s="6">
        <v>103.2</v>
      </c>
      <c r="I69" s="6">
        <v>122.2</v>
      </c>
      <c r="J69" s="6">
        <v>153.2</v>
      </c>
      <c r="K69" s="6">
        <v>119.3</v>
      </c>
      <c r="L69" s="6">
        <v>99.8</v>
      </c>
      <c r="M69" s="6">
        <v>124.6</v>
      </c>
      <c r="N69" s="6">
        <v>115.8</v>
      </c>
      <c r="O69" s="6">
        <v>126.9</v>
      </c>
      <c r="P69" s="6">
        <v>125.4</v>
      </c>
      <c r="Q69" s="6">
        <v>125.8</v>
      </c>
      <c r="R69" s="6">
        <v>120.3</v>
      </c>
      <c r="S69" s="6">
        <v>115.4</v>
      </c>
      <c r="T69" s="6">
        <v>119.5</v>
      </c>
      <c r="U69" s="6">
        <v>117.1</v>
      </c>
      <c r="V69" s="6">
        <v>112.6</v>
      </c>
      <c r="W69" s="6">
        <v>116.4</v>
      </c>
      <c r="X69" s="6">
        <v>113</v>
      </c>
      <c r="Y69" s="6">
        <v>109.7</v>
      </c>
      <c r="Z69" s="6">
        <v>114</v>
      </c>
      <c r="AA69" s="6">
        <v>120.3</v>
      </c>
      <c r="AB69" s="6">
        <v>109.6</v>
      </c>
      <c r="AC69" s="6">
        <v>113.4</v>
      </c>
      <c r="AD69" s="6">
        <v>119</v>
      </c>
      <c r="AE69" s="6" t="str">
        <f t="shared" si="1"/>
        <v>Urban|2014|November</v>
      </c>
    </row>
    <row r="70" spans="1:31">
      <c r="A70" s="6" t="s">
        <v>52</v>
      </c>
      <c r="B70" s="6">
        <v>2014</v>
      </c>
      <c r="C70" s="6" t="s">
        <v>62</v>
      </c>
      <c r="D70" s="6">
        <v>123.3</v>
      </c>
      <c r="E70" s="6">
        <v>123.7</v>
      </c>
      <c r="F70" s="6">
        <v>121</v>
      </c>
      <c r="G70" s="6">
        <v>124.2</v>
      </c>
      <c r="H70" s="6">
        <v>107.8</v>
      </c>
      <c r="I70" s="6">
        <v>125.7</v>
      </c>
      <c r="J70" s="6">
        <v>152.4</v>
      </c>
      <c r="K70" s="6">
        <v>117.2</v>
      </c>
      <c r="L70" s="6">
        <v>102.1</v>
      </c>
      <c r="M70" s="6">
        <v>118.7</v>
      </c>
      <c r="N70" s="6">
        <v>116.4</v>
      </c>
      <c r="O70" s="6">
        <v>125.6</v>
      </c>
      <c r="P70" s="6">
        <v>125.1</v>
      </c>
      <c r="Q70" s="6">
        <v>122.1</v>
      </c>
      <c r="R70" s="6">
        <v>122.1</v>
      </c>
      <c r="S70" s="6">
        <v>118.4</v>
      </c>
      <c r="T70" s="6">
        <v>121.6</v>
      </c>
      <c r="U70" s="6">
        <v>117.1</v>
      </c>
      <c r="V70" s="6">
        <v>115.5</v>
      </c>
      <c r="W70" s="6">
        <v>117.3</v>
      </c>
      <c r="X70" s="6">
        <v>114.8</v>
      </c>
      <c r="Y70" s="6">
        <v>110.8</v>
      </c>
      <c r="Z70" s="6">
        <v>113.7</v>
      </c>
      <c r="AA70" s="6">
        <v>119</v>
      </c>
      <c r="AB70" s="6">
        <v>109.1</v>
      </c>
      <c r="AC70" s="6">
        <v>113.8</v>
      </c>
      <c r="AD70" s="6">
        <v>120.1</v>
      </c>
      <c r="AE70" s="6" t="str">
        <f t="shared" si="1"/>
        <v>Rural+Urban|2014|November</v>
      </c>
    </row>
    <row r="71" spans="1:31">
      <c r="A71" s="6" t="s">
        <v>49</v>
      </c>
      <c r="B71" s="6">
        <v>2014</v>
      </c>
      <c r="C71" s="6" t="s">
        <v>63</v>
      </c>
      <c r="D71" s="6">
        <v>122.4</v>
      </c>
      <c r="E71" s="6">
        <v>122.4</v>
      </c>
      <c r="F71" s="6">
        <v>121.8</v>
      </c>
      <c r="G71" s="6">
        <v>124.2</v>
      </c>
      <c r="H71" s="6">
        <v>110.2</v>
      </c>
      <c r="I71" s="6">
        <v>128.6</v>
      </c>
      <c r="J71" s="6">
        <v>140.3</v>
      </c>
      <c r="K71" s="6">
        <v>116.3</v>
      </c>
      <c r="L71" s="6">
        <v>102</v>
      </c>
      <c r="M71" s="6">
        <v>116</v>
      </c>
      <c r="N71" s="6">
        <v>117.3</v>
      </c>
      <c r="O71" s="6">
        <v>124.8</v>
      </c>
      <c r="P71" s="6">
        <v>123.3</v>
      </c>
      <c r="Q71" s="6">
        <v>121.7</v>
      </c>
      <c r="R71" s="6">
        <v>123.8</v>
      </c>
      <c r="S71" s="6">
        <v>120.6</v>
      </c>
      <c r="T71" s="6">
        <v>123.3</v>
      </c>
      <c r="V71" s="6">
        <v>117.4</v>
      </c>
      <c r="W71" s="6">
        <v>118.2</v>
      </c>
      <c r="X71" s="6">
        <v>116.2</v>
      </c>
      <c r="Y71" s="6">
        <v>111.5</v>
      </c>
      <c r="Z71" s="6">
        <v>113.3</v>
      </c>
      <c r="AA71" s="6">
        <v>117.7</v>
      </c>
      <c r="AB71" s="6">
        <v>109.4</v>
      </c>
      <c r="AC71" s="6">
        <v>114.2</v>
      </c>
      <c r="AD71" s="6">
        <v>120.3</v>
      </c>
      <c r="AE71" s="6" t="str">
        <f t="shared" si="1"/>
        <v>Rural|2014|December</v>
      </c>
    </row>
    <row r="72" spans="1:31">
      <c r="A72" s="6" t="s">
        <v>51</v>
      </c>
      <c r="B72" s="6">
        <v>2014</v>
      </c>
      <c r="C72" s="6" t="s">
        <v>63</v>
      </c>
      <c r="D72" s="6">
        <v>124</v>
      </c>
      <c r="E72" s="6">
        <v>124.7</v>
      </c>
      <c r="F72" s="6">
        <v>126.3</v>
      </c>
      <c r="G72" s="6">
        <v>124.9</v>
      </c>
      <c r="H72" s="6">
        <v>103</v>
      </c>
      <c r="I72" s="6">
        <v>122.3</v>
      </c>
      <c r="J72" s="6">
        <v>141</v>
      </c>
      <c r="K72" s="6">
        <v>120.1</v>
      </c>
      <c r="L72" s="6">
        <v>97.8</v>
      </c>
      <c r="M72" s="6">
        <v>125.4</v>
      </c>
      <c r="N72" s="6">
        <v>116.1</v>
      </c>
      <c r="O72" s="6">
        <v>127.6</v>
      </c>
      <c r="P72" s="6">
        <v>124</v>
      </c>
      <c r="Q72" s="6">
        <v>126.4</v>
      </c>
      <c r="R72" s="6">
        <v>120.7</v>
      </c>
      <c r="S72" s="6">
        <v>115.8</v>
      </c>
      <c r="T72" s="6">
        <v>120</v>
      </c>
      <c r="U72" s="6">
        <v>116.5</v>
      </c>
      <c r="V72" s="6">
        <v>113</v>
      </c>
      <c r="W72" s="6">
        <v>116.8</v>
      </c>
      <c r="X72" s="6">
        <v>113.2</v>
      </c>
      <c r="Y72" s="6">
        <v>108.8</v>
      </c>
      <c r="Z72" s="6">
        <v>114.3</v>
      </c>
      <c r="AA72" s="6">
        <v>120.7</v>
      </c>
      <c r="AB72" s="6">
        <v>110.4</v>
      </c>
      <c r="AC72" s="6">
        <v>113.4</v>
      </c>
      <c r="AD72" s="6">
        <v>118.4</v>
      </c>
      <c r="AE72" s="6" t="str">
        <f t="shared" si="1"/>
        <v>Urban|2014|December</v>
      </c>
    </row>
    <row r="73" spans="1:31">
      <c r="A73" s="6" t="s">
        <v>52</v>
      </c>
      <c r="B73" s="6">
        <v>2014</v>
      </c>
      <c r="C73" s="6" t="s">
        <v>63</v>
      </c>
      <c r="D73" s="6">
        <v>122.9</v>
      </c>
      <c r="E73" s="6">
        <v>123.2</v>
      </c>
      <c r="F73" s="6">
        <v>123.5</v>
      </c>
      <c r="G73" s="6">
        <v>124.5</v>
      </c>
      <c r="H73" s="6">
        <v>107.6</v>
      </c>
      <c r="I73" s="6">
        <v>125.7</v>
      </c>
      <c r="J73" s="6">
        <v>140.5</v>
      </c>
      <c r="K73" s="6">
        <v>117.6</v>
      </c>
      <c r="L73" s="6">
        <v>100.6</v>
      </c>
      <c r="M73" s="6">
        <v>119.1</v>
      </c>
      <c r="N73" s="6">
        <v>116.8</v>
      </c>
      <c r="O73" s="6">
        <v>126.1</v>
      </c>
      <c r="P73" s="6">
        <v>123.6</v>
      </c>
      <c r="Q73" s="6">
        <v>123</v>
      </c>
      <c r="R73" s="6">
        <v>122.6</v>
      </c>
      <c r="S73" s="6">
        <v>118.6</v>
      </c>
      <c r="T73" s="6">
        <v>122</v>
      </c>
      <c r="U73" s="6">
        <v>116.5</v>
      </c>
      <c r="V73" s="6">
        <v>115.7</v>
      </c>
      <c r="W73" s="6">
        <v>117.5</v>
      </c>
      <c r="X73" s="6">
        <v>115.1</v>
      </c>
      <c r="Y73" s="6">
        <v>110.1</v>
      </c>
      <c r="Z73" s="6">
        <v>113.9</v>
      </c>
      <c r="AA73" s="6">
        <v>119.5</v>
      </c>
      <c r="AB73" s="6">
        <v>109.8</v>
      </c>
      <c r="AC73" s="6">
        <v>113.8</v>
      </c>
      <c r="AD73" s="6">
        <v>119.4</v>
      </c>
      <c r="AE73" s="6" t="str">
        <f t="shared" si="1"/>
        <v>Rural+Urban|2014|December</v>
      </c>
    </row>
    <row r="74" spans="1:31">
      <c r="A74" s="6" t="s">
        <v>49</v>
      </c>
      <c r="B74" s="6">
        <v>2015</v>
      </c>
      <c r="C74" s="6" t="s">
        <v>50</v>
      </c>
      <c r="D74" s="6">
        <v>123.1</v>
      </c>
      <c r="E74" s="6">
        <v>123.1</v>
      </c>
      <c r="F74" s="6">
        <v>122.1</v>
      </c>
      <c r="G74" s="6">
        <v>124.9</v>
      </c>
      <c r="H74" s="6">
        <v>111</v>
      </c>
      <c r="I74" s="6">
        <v>130.4</v>
      </c>
      <c r="J74" s="6">
        <v>132.3</v>
      </c>
      <c r="K74" s="6">
        <v>117.2</v>
      </c>
      <c r="L74" s="6">
        <v>100.5</v>
      </c>
      <c r="M74" s="6">
        <v>117.2</v>
      </c>
      <c r="N74" s="6">
        <v>117.9</v>
      </c>
      <c r="O74" s="6">
        <v>125.6</v>
      </c>
      <c r="P74" s="6">
        <v>122.8</v>
      </c>
      <c r="Q74" s="6">
        <v>122.7</v>
      </c>
      <c r="R74" s="6">
        <v>124.4</v>
      </c>
      <c r="S74" s="6">
        <v>121.6</v>
      </c>
      <c r="T74" s="6">
        <v>124</v>
      </c>
      <c r="V74" s="6">
        <v>118.4</v>
      </c>
      <c r="W74" s="6">
        <v>118.9</v>
      </c>
      <c r="X74" s="6">
        <v>116.6</v>
      </c>
      <c r="Y74" s="6">
        <v>111</v>
      </c>
      <c r="Z74" s="6">
        <v>114</v>
      </c>
      <c r="AA74" s="6">
        <v>118.2</v>
      </c>
      <c r="AB74" s="6">
        <v>110.2</v>
      </c>
      <c r="AC74" s="6">
        <v>114.5</v>
      </c>
      <c r="AD74" s="6">
        <v>120.3</v>
      </c>
      <c r="AE74" s="6" t="str">
        <f t="shared" si="1"/>
        <v>Rural|2015|January</v>
      </c>
    </row>
    <row r="75" spans="1:31">
      <c r="A75" s="6" t="s">
        <v>51</v>
      </c>
      <c r="B75" s="6">
        <v>2015</v>
      </c>
      <c r="C75" s="6" t="s">
        <v>50</v>
      </c>
      <c r="D75" s="6">
        <v>124</v>
      </c>
      <c r="E75" s="6">
        <v>125.5</v>
      </c>
      <c r="F75" s="6">
        <v>126.6</v>
      </c>
      <c r="G75" s="6">
        <v>125.2</v>
      </c>
      <c r="H75" s="6">
        <v>104.3</v>
      </c>
      <c r="I75" s="6">
        <v>121.3</v>
      </c>
      <c r="J75" s="6">
        <v>134.4</v>
      </c>
      <c r="K75" s="6">
        <v>122.9</v>
      </c>
      <c r="L75" s="6">
        <v>96.1</v>
      </c>
      <c r="M75" s="6">
        <v>126.6</v>
      </c>
      <c r="N75" s="6">
        <v>116.5</v>
      </c>
      <c r="O75" s="6">
        <v>128</v>
      </c>
      <c r="P75" s="6">
        <v>123.5</v>
      </c>
      <c r="Q75" s="6">
        <v>127.4</v>
      </c>
      <c r="R75" s="6">
        <v>121</v>
      </c>
      <c r="S75" s="6">
        <v>116.1</v>
      </c>
      <c r="T75" s="6">
        <v>120.2</v>
      </c>
      <c r="U75" s="6">
        <v>117.3</v>
      </c>
      <c r="V75" s="6">
        <v>113.4</v>
      </c>
      <c r="W75" s="6">
        <v>117.2</v>
      </c>
      <c r="X75" s="6">
        <v>113.7</v>
      </c>
      <c r="Y75" s="6">
        <v>107.9</v>
      </c>
      <c r="Z75" s="6">
        <v>114.6</v>
      </c>
      <c r="AA75" s="6">
        <v>120.8</v>
      </c>
      <c r="AB75" s="6">
        <v>111.4</v>
      </c>
      <c r="AC75" s="6">
        <v>113.4</v>
      </c>
      <c r="AD75" s="6">
        <v>118.5</v>
      </c>
      <c r="AE75" s="6" t="str">
        <f t="shared" si="1"/>
        <v>Urban|2015|January</v>
      </c>
    </row>
    <row r="76" spans="1:31">
      <c r="A76" s="6" t="s">
        <v>52</v>
      </c>
      <c r="B76" s="6">
        <v>2015</v>
      </c>
      <c r="C76" s="6" t="s">
        <v>50</v>
      </c>
      <c r="D76" s="6">
        <v>123.4</v>
      </c>
      <c r="E76" s="6">
        <v>123.9</v>
      </c>
      <c r="F76" s="6">
        <v>123.8</v>
      </c>
      <c r="G76" s="6">
        <v>125</v>
      </c>
      <c r="H76" s="6">
        <v>108.5</v>
      </c>
      <c r="I76" s="6">
        <v>126.2</v>
      </c>
      <c r="J76" s="6">
        <v>133</v>
      </c>
      <c r="K76" s="6">
        <v>119.1</v>
      </c>
      <c r="L76" s="6">
        <v>99</v>
      </c>
      <c r="M76" s="6">
        <v>120.3</v>
      </c>
      <c r="N76" s="6">
        <v>117.3</v>
      </c>
      <c r="O76" s="6">
        <v>126.7</v>
      </c>
      <c r="P76" s="6">
        <v>123.1</v>
      </c>
      <c r="Q76" s="6">
        <v>124</v>
      </c>
      <c r="R76" s="6">
        <v>123.1</v>
      </c>
      <c r="S76" s="6">
        <v>119.3</v>
      </c>
      <c r="T76" s="6">
        <v>122.5</v>
      </c>
      <c r="U76" s="6">
        <v>117.3</v>
      </c>
      <c r="V76" s="6">
        <v>116.5</v>
      </c>
      <c r="W76" s="6">
        <v>118.1</v>
      </c>
      <c r="X76" s="6">
        <v>115.5</v>
      </c>
      <c r="Y76" s="6">
        <v>109.4</v>
      </c>
      <c r="Z76" s="6">
        <v>114.3</v>
      </c>
      <c r="AA76" s="6">
        <v>119.7</v>
      </c>
      <c r="AB76" s="6">
        <v>110.7</v>
      </c>
      <c r="AC76" s="6">
        <v>114</v>
      </c>
      <c r="AD76" s="6">
        <v>119.5</v>
      </c>
      <c r="AE76" s="6" t="str">
        <f t="shared" si="1"/>
        <v>Rural+Urban|2015|January</v>
      </c>
    </row>
    <row r="77" spans="1:31">
      <c r="A77" s="6" t="s">
        <v>49</v>
      </c>
      <c r="B77" s="6">
        <v>2015</v>
      </c>
      <c r="C77" s="6" t="s">
        <v>53</v>
      </c>
      <c r="D77" s="6">
        <v>123.4</v>
      </c>
      <c r="E77" s="6">
        <v>124.4</v>
      </c>
      <c r="F77" s="6">
        <v>122.1</v>
      </c>
      <c r="G77" s="6">
        <v>125.8</v>
      </c>
      <c r="H77" s="6">
        <v>111.5</v>
      </c>
      <c r="I77" s="6">
        <v>129.4</v>
      </c>
      <c r="J77" s="6">
        <v>128.2</v>
      </c>
      <c r="K77" s="6">
        <v>118.8</v>
      </c>
      <c r="L77" s="6">
        <v>100</v>
      </c>
      <c r="M77" s="6">
        <v>118.6</v>
      </c>
      <c r="N77" s="6">
        <v>118.8</v>
      </c>
      <c r="O77" s="6">
        <v>126.8</v>
      </c>
      <c r="P77" s="6">
        <v>122.8</v>
      </c>
      <c r="Q77" s="6">
        <v>124.2</v>
      </c>
      <c r="R77" s="6">
        <v>125.4</v>
      </c>
      <c r="S77" s="6">
        <v>122.7</v>
      </c>
      <c r="T77" s="6">
        <v>125</v>
      </c>
      <c r="V77" s="6">
        <v>120</v>
      </c>
      <c r="W77" s="6">
        <v>119.6</v>
      </c>
      <c r="X77" s="6">
        <v>117.7</v>
      </c>
      <c r="Y77" s="6">
        <v>110.9</v>
      </c>
      <c r="Z77" s="6">
        <v>114.8</v>
      </c>
      <c r="AA77" s="6">
        <v>118.7</v>
      </c>
      <c r="AB77" s="6">
        <v>110.8</v>
      </c>
      <c r="AC77" s="6">
        <v>115</v>
      </c>
      <c r="AD77" s="6">
        <v>120.6</v>
      </c>
      <c r="AE77" s="6" t="str">
        <f t="shared" si="1"/>
        <v>Rural|2015|February</v>
      </c>
    </row>
    <row r="78" spans="1:31">
      <c r="A78" s="6" t="s">
        <v>51</v>
      </c>
      <c r="B78" s="6">
        <v>2015</v>
      </c>
      <c r="C78" s="6" t="s">
        <v>53</v>
      </c>
      <c r="D78" s="6">
        <v>124.3</v>
      </c>
      <c r="E78" s="6">
        <v>126.5</v>
      </c>
      <c r="F78" s="6">
        <v>119.5</v>
      </c>
      <c r="G78" s="6">
        <v>125.6</v>
      </c>
      <c r="H78" s="6">
        <v>104.9</v>
      </c>
      <c r="I78" s="6">
        <v>121.6</v>
      </c>
      <c r="J78" s="6">
        <v>131.8</v>
      </c>
      <c r="K78" s="6">
        <v>125.1</v>
      </c>
      <c r="L78" s="6">
        <v>95</v>
      </c>
      <c r="M78" s="6">
        <v>127.7</v>
      </c>
      <c r="N78" s="6">
        <v>116.8</v>
      </c>
      <c r="O78" s="6">
        <v>128.6</v>
      </c>
      <c r="P78" s="6">
        <v>123.7</v>
      </c>
      <c r="Q78" s="6">
        <v>128.1</v>
      </c>
      <c r="R78" s="6">
        <v>121.3</v>
      </c>
      <c r="S78" s="6">
        <v>116.5</v>
      </c>
      <c r="T78" s="6">
        <v>120.6</v>
      </c>
      <c r="U78" s="6">
        <v>118.1</v>
      </c>
      <c r="V78" s="6">
        <v>114</v>
      </c>
      <c r="W78" s="6">
        <v>117.7</v>
      </c>
      <c r="X78" s="6">
        <v>114.1</v>
      </c>
      <c r="Y78" s="6">
        <v>106.8</v>
      </c>
      <c r="Z78" s="6">
        <v>114.9</v>
      </c>
      <c r="AA78" s="6">
        <v>120.4</v>
      </c>
      <c r="AB78" s="6">
        <v>111.7</v>
      </c>
      <c r="AC78" s="6">
        <v>113.2</v>
      </c>
      <c r="AD78" s="6">
        <v>118.7</v>
      </c>
      <c r="AE78" s="6" t="str">
        <f t="shared" si="1"/>
        <v>Urban|2015|February</v>
      </c>
    </row>
    <row r="79" spans="1:31">
      <c r="A79" s="6" t="s">
        <v>52</v>
      </c>
      <c r="B79" s="6">
        <v>2015</v>
      </c>
      <c r="C79" s="6" t="s">
        <v>53</v>
      </c>
      <c r="D79" s="6">
        <v>123.7</v>
      </c>
      <c r="E79" s="6">
        <v>125.1</v>
      </c>
      <c r="F79" s="6">
        <v>121.1</v>
      </c>
      <c r="G79" s="6">
        <v>125.7</v>
      </c>
      <c r="H79" s="6">
        <v>109.1</v>
      </c>
      <c r="I79" s="6">
        <v>125.8</v>
      </c>
      <c r="J79" s="6">
        <v>129.4</v>
      </c>
      <c r="K79" s="6">
        <v>120.9</v>
      </c>
      <c r="L79" s="6">
        <v>98.3</v>
      </c>
      <c r="M79" s="6">
        <v>121.6</v>
      </c>
      <c r="N79" s="6">
        <v>118</v>
      </c>
      <c r="O79" s="6">
        <v>127.6</v>
      </c>
      <c r="P79" s="6">
        <v>123.1</v>
      </c>
      <c r="Q79" s="6">
        <v>125.2</v>
      </c>
      <c r="R79" s="6">
        <v>123.8</v>
      </c>
      <c r="S79" s="6">
        <v>120.1</v>
      </c>
      <c r="T79" s="6">
        <v>123.3</v>
      </c>
      <c r="U79" s="6">
        <v>118.1</v>
      </c>
      <c r="V79" s="6">
        <v>117.7</v>
      </c>
      <c r="W79" s="6">
        <v>118.7</v>
      </c>
      <c r="X79" s="6">
        <v>116.3</v>
      </c>
      <c r="Y79" s="6">
        <v>108.7</v>
      </c>
      <c r="Z79" s="6">
        <v>114.9</v>
      </c>
      <c r="AA79" s="6">
        <v>119.7</v>
      </c>
      <c r="AB79" s="6">
        <v>111.2</v>
      </c>
      <c r="AC79" s="6">
        <v>114.1</v>
      </c>
      <c r="AD79" s="6">
        <v>119.7</v>
      </c>
      <c r="AE79" s="6" t="str">
        <f t="shared" si="1"/>
        <v>Rural+Urban|2015|February</v>
      </c>
    </row>
    <row r="80" spans="1:31">
      <c r="A80" s="6" t="s">
        <v>49</v>
      </c>
      <c r="B80" s="6">
        <v>2015</v>
      </c>
      <c r="C80" s="6" t="s">
        <v>54</v>
      </c>
      <c r="D80" s="6">
        <v>123.3</v>
      </c>
      <c r="E80" s="6">
        <v>124.7</v>
      </c>
      <c r="F80" s="6">
        <v>118.9</v>
      </c>
      <c r="G80" s="6">
        <v>126</v>
      </c>
      <c r="H80" s="6">
        <v>111.8</v>
      </c>
      <c r="I80" s="6">
        <v>130.9</v>
      </c>
      <c r="J80" s="6">
        <v>128</v>
      </c>
      <c r="K80" s="6">
        <v>119.9</v>
      </c>
      <c r="L80" s="6">
        <v>98.9</v>
      </c>
      <c r="M80" s="6">
        <v>119.4</v>
      </c>
      <c r="N80" s="6">
        <v>118.9</v>
      </c>
      <c r="O80" s="6">
        <v>127.7</v>
      </c>
      <c r="P80" s="6">
        <v>123.1</v>
      </c>
      <c r="Q80" s="6">
        <v>124.7</v>
      </c>
      <c r="R80" s="6">
        <v>126</v>
      </c>
      <c r="S80" s="6">
        <v>122.9</v>
      </c>
      <c r="T80" s="6">
        <v>125.5</v>
      </c>
      <c r="V80" s="6">
        <v>120.6</v>
      </c>
      <c r="W80" s="6">
        <v>120.2</v>
      </c>
      <c r="X80" s="6">
        <v>118.2</v>
      </c>
      <c r="Y80" s="6">
        <v>111.6</v>
      </c>
      <c r="Z80" s="6">
        <v>115.5</v>
      </c>
      <c r="AA80" s="6">
        <v>119.4</v>
      </c>
      <c r="AB80" s="6">
        <v>110.8</v>
      </c>
      <c r="AC80" s="6">
        <v>115.5</v>
      </c>
      <c r="AD80" s="6">
        <v>121.1</v>
      </c>
      <c r="AE80" s="6" t="str">
        <f t="shared" si="1"/>
        <v>Rural|2015|March</v>
      </c>
    </row>
    <row r="81" spans="1:31">
      <c r="A81" s="6" t="s">
        <v>51</v>
      </c>
      <c r="B81" s="6">
        <v>2015</v>
      </c>
      <c r="C81" s="6" t="s">
        <v>54</v>
      </c>
      <c r="D81" s="6">
        <v>124</v>
      </c>
      <c r="E81" s="6">
        <v>126.7</v>
      </c>
      <c r="F81" s="6">
        <v>113.5</v>
      </c>
      <c r="G81" s="6">
        <v>125.9</v>
      </c>
      <c r="H81" s="6">
        <v>104.8</v>
      </c>
      <c r="I81" s="6">
        <v>123.8</v>
      </c>
      <c r="J81" s="6">
        <v>131.4</v>
      </c>
      <c r="K81" s="6">
        <v>127.2</v>
      </c>
      <c r="L81" s="6">
        <v>93.2</v>
      </c>
      <c r="M81" s="6">
        <v>127.4</v>
      </c>
      <c r="N81" s="6">
        <v>117</v>
      </c>
      <c r="O81" s="6">
        <v>129.2</v>
      </c>
      <c r="P81" s="6">
        <v>123.9</v>
      </c>
      <c r="Q81" s="6">
        <v>128.8</v>
      </c>
      <c r="R81" s="6">
        <v>121.7</v>
      </c>
      <c r="S81" s="6">
        <v>116.9</v>
      </c>
      <c r="T81" s="6">
        <v>120.9</v>
      </c>
      <c r="U81" s="6">
        <v>118.6</v>
      </c>
      <c r="V81" s="6">
        <v>114.4</v>
      </c>
      <c r="W81" s="6">
        <v>118</v>
      </c>
      <c r="X81" s="6">
        <v>114.3</v>
      </c>
      <c r="Y81" s="6">
        <v>108.4</v>
      </c>
      <c r="Z81" s="6">
        <v>115.4</v>
      </c>
      <c r="AA81" s="6">
        <v>120.6</v>
      </c>
      <c r="AB81" s="6">
        <v>111.3</v>
      </c>
      <c r="AC81" s="6">
        <v>113.8</v>
      </c>
      <c r="AD81" s="6">
        <v>119.1</v>
      </c>
      <c r="AE81" s="6" t="str">
        <f t="shared" si="1"/>
        <v>Urban|2015|March</v>
      </c>
    </row>
    <row r="82" spans="1:31">
      <c r="A82" s="6" t="s">
        <v>52</v>
      </c>
      <c r="B82" s="6">
        <v>2015</v>
      </c>
      <c r="C82" s="6" t="s">
        <v>54</v>
      </c>
      <c r="D82" s="6">
        <v>123.5</v>
      </c>
      <c r="E82" s="6">
        <v>125.4</v>
      </c>
      <c r="F82" s="6">
        <v>116.8</v>
      </c>
      <c r="G82" s="6">
        <v>126</v>
      </c>
      <c r="H82" s="6">
        <v>109.2</v>
      </c>
      <c r="I82" s="6">
        <v>127.6</v>
      </c>
      <c r="J82" s="6">
        <v>129.2</v>
      </c>
      <c r="K82" s="6">
        <v>122.4</v>
      </c>
      <c r="L82" s="6">
        <v>97</v>
      </c>
      <c r="M82" s="6">
        <v>122.1</v>
      </c>
      <c r="N82" s="6">
        <v>118.1</v>
      </c>
      <c r="O82" s="6">
        <v>128.4</v>
      </c>
      <c r="P82" s="6">
        <v>123.4</v>
      </c>
      <c r="Q82" s="6">
        <v>125.8</v>
      </c>
      <c r="R82" s="6">
        <v>124.3</v>
      </c>
      <c r="S82" s="6">
        <v>120.4</v>
      </c>
      <c r="T82" s="6">
        <v>123.7</v>
      </c>
      <c r="U82" s="6">
        <v>118.6</v>
      </c>
      <c r="V82" s="6">
        <v>118.3</v>
      </c>
      <c r="W82" s="6">
        <v>119.2</v>
      </c>
      <c r="X82" s="6">
        <v>116.7</v>
      </c>
      <c r="Y82" s="6">
        <v>109.9</v>
      </c>
      <c r="Z82" s="6">
        <v>115.4</v>
      </c>
      <c r="AA82" s="6">
        <v>120.1</v>
      </c>
      <c r="AB82" s="6">
        <v>111</v>
      </c>
      <c r="AC82" s="6">
        <v>114.7</v>
      </c>
      <c r="AD82" s="6">
        <v>120.2</v>
      </c>
      <c r="AE82" s="6" t="str">
        <f t="shared" si="1"/>
        <v>Rural+Urban|2015|March</v>
      </c>
    </row>
    <row r="83" spans="1:31">
      <c r="A83" s="6" t="s">
        <v>49</v>
      </c>
      <c r="B83" s="6">
        <v>2015</v>
      </c>
      <c r="C83" s="6" t="s">
        <v>55</v>
      </c>
      <c r="D83" s="6">
        <v>123.3</v>
      </c>
      <c r="E83" s="6">
        <v>125.5</v>
      </c>
      <c r="F83" s="6">
        <v>117.2</v>
      </c>
      <c r="G83" s="6">
        <v>126.8</v>
      </c>
      <c r="H83" s="6">
        <v>111.9</v>
      </c>
      <c r="I83" s="6">
        <v>134.2</v>
      </c>
      <c r="J83" s="6">
        <v>127.5</v>
      </c>
      <c r="K83" s="6">
        <v>121.5</v>
      </c>
      <c r="L83" s="6">
        <v>97.8</v>
      </c>
      <c r="M83" s="6">
        <v>119.8</v>
      </c>
      <c r="N83" s="6">
        <v>119.4</v>
      </c>
      <c r="O83" s="6">
        <v>128.7</v>
      </c>
      <c r="P83" s="6">
        <v>123.6</v>
      </c>
      <c r="Q83" s="6">
        <v>125.7</v>
      </c>
      <c r="R83" s="6">
        <v>126.4</v>
      </c>
      <c r="S83" s="6">
        <v>123.3</v>
      </c>
      <c r="T83" s="6">
        <v>126</v>
      </c>
      <c r="V83" s="6">
        <v>121.2</v>
      </c>
      <c r="W83" s="6">
        <v>120.9</v>
      </c>
      <c r="X83" s="6">
        <v>118.6</v>
      </c>
      <c r="Y83" s="6">
        <v>111.9</v>
      </c>
      <c r="Z83" s="6">
        <v>116.2</v>
      </c>
      <c r="AA83" s="6">
        <v>119.9</v>
      </c>
      <c r="AB83" s="6">
        <v>111.6</v>
      </c>
      <c r="AC83" s="6">
        <v>116</v>
      </c>
      <c r="AD83" s="6">
        <v>121.5</v>
      </c>
      <c r="AE83" s="6" t="str">
        <f t="shared" si="1"/>
        <v>Rural|2015|April</v>
      </c>
    </row>
    <row r="84" spans="1:31">
      <c r="A84" s="6" t="s">
        <v>51</v>
      </c>
      <c r="B84" s="6">
        <v>2015</v>
      </c>
      <c r="C84" s="6" t="s">
        <v>55</v>
      </c>
      <c r="D84" s="6">
        <v>123.8</v>
      </c>
      <c r="E84" s="6">
        <v>128.2</v>
      </c>
      <c r="F84" s="6">
        <v>110</v>
      </c>
      <c r="G84" s="6">
        <v>126.3</v>
      </c>
      <c r="H84" s="6">
        <v>104.5</v>
      </c>
      <c r="I84" s="6">
        <v>130.6</v>
      </c>
      <c r="J84" s="6">
        <v>130.8</v>
      </c>
      <c r="K84" s="6">
        <v>131.3</v>
      </c>
      <c r="L84" s="6">
        <v>91.6</v>
      </c>
      <c r="M84" s="6">
        <v>127.7</v>
      </c>
      <c r="N84" s="6">
        <v>117.2</v>
      </c>
      <c r="O84" s="6">
        <v>129.5</v>
      </c>
      <c r="P84" s="6">
        <v>124.6</v>
      </c>
      <c r="Q84" s="6">
        <v>130.1</v>
      </c>
      <c r="R84" s="6">
        <v>122.1</v>
      </c>
      <c r="S84" s="6">
        <v>117.2</v>
      </c>
      <c r="T84" s="6">
        <v>121.3</v>
      </c>
      <c r="U84" s="6">
        <v>119.2</v>
      </c>
      <c r="V84" s="6">
        <v>114.7</v>
      </c>
      <c r="W84" s="6">
        <v>118.4</v>
      </c>
      <c r="X84" s="6">
        <v>114.6</v>
      </c>
      <c r="Y84" s="6">
        <v>108.4</v>
      </c>
      <c r="Z84" s="6">
        <v>115.6</v>
      </c>
      <c r="AA84" s="6">
        <v>121.7</v>
      </c>
      <c r="AB84" s="6">
        <v>111.8</v>
      </c>
      <c r="AC84" s="6">
        <v>114.2</v>
      </c>
      <c r="AD84" s="6">
        <v>119.7</v>
      </c>
      <c r="AE84" s="6" t="str">
        <f t="shared" si="1"/>
        <v>Urban|2015|April</v>
      </c>
    </row>
    <row r="85" spans="1:31">
      <c r="A85" s="6" t="s">
        <v>52</v>
      </c>
      <c r="B85" s="6">
        <v>2015</v>
      </c>
      <c r="C85" s="6" t="s">
        <v>55</v>
      </c>
      <c r="D85" s="6">
        <v>123.5</v>
      </c>
      <c r="E85" s="6">
        <v>126.4</v>
      </c>
      <c r="F85" s="6">
        <v>114.4</v>
      </c>
      <c r="G85" s="6">
        <v>126.6</v>
      </c>
      <c r="H85" s="6">
        <v>109.2</v>
      </c>
      <c r="I85" s="6">
        <v>132.5</v>
      </c>
      <c r="J85" s="6">
        <v>128.6</v>
      </c>
      <c r="K85" s="6">
        <v>124.8</v>
      </c>
      <c r="L85" s="6">
        <v>95.7</v>
      </c>
      <c r="M85" s="6">
        <v>122.4</v>
      </c>
      <c r="N85" s="6">
        <v>118.5</v>
      </c>
      <c r="O85" s="6">
        <v>129.1</v>
      </c>
      <c r="P85" s="6">
        <v>124</v>
      </c>
      <c r="Q85" s="6">
        <v>126.9</v>
      </c>
      <c r="R85" s="6">
        <v>124.7</v>
      </c>
      <c r="S85" s="6">
        <v>120.8</v>
      </c>
      <c r="T85" s="6">
        <v>124.1</v>
      </c>
      <c r="U85" s="6">
        <v>119.2</v>
      </c>
      <c r="V85" s="6">
        <v>118.7</v>
      </c>
      <c r="W85" s="6">
        <v>119.7</v>
      </c>
      <c r="X85" s="6">
        <v>117.1</v>
      </c>
      <c r="Y85" s="6">
        <v>110.1</v>
      </c>
      <c r="Z85" s="6">
        <v>115.9</v>
      </c>
      <c r="AA85" s="6">
        <v>121</v>
      </c>
      <c r="AB85" s="6">
        <v>111.7</v>
      </c>
      <c r="AC85" s="6">
        <v>115.1</v>
      </c>
      <c r="AD85" s="6">
        <v>120.7</v>
      </c>
      <c r="AE85" s="6" t="str">
        <f t="shared" si="1"/>
        <v>Rural+Urban|2015|April</v>
      </c>
    </row>
    <row r="86" spans="1:31">
      <c r="A86" s="6" t="s">
        <v>49</v>
      </c>
      <c r="B86" s="6">
        <v>2015</v>
      </c>
      <c r="C86" s="6" t="s">
        <v>56</v>
      </c>
      <c r="D86" s="6">
        <v>123.5</v>
      </c>
      <c r="E86" s="6">
        <v>127.1</v>
      </c>
      <c r="F86" s="6">
        <v>117.3</v>
      </c>
      <c r="G86" s="6">
        <v>127.7</v>
      </c>
      <c r="H86" s="6">
        <v>112.5</v>
      </c>
      <c r="I86" s="6">
        <v>134.1</v>
      </c>
      <c r="J86" s="6">
        <v>128.5</v>
      </c>
      <c r="K86" s="6">
        <v>124.3</v>
      </c>
      <c r="L86" s="6">
        <v>97.6</v>
      </c>
      <c r="M86" s="6">
        <v>120.7</v>
      </c>
      <c r="N86" s="6">
        <v>120.2</v>
      </c>
      <c r="O86" s="6">
        <v>129.8</v>
      </c>
      <c r="P86" s="6">
        <v>124.4</v>
      </c>
      <c r="Q86" s="6">
        <v>126.7</v>
      </c>
      <c r="R86" s="6">
        <v>127.3</v>
      </c>
      <c r="S86" s="6">
        <v>124.1</v>
      </c>
      <c r="T86" s="6">
        <v>126.8</v>
      </c>
      <c r="V86" s="6">
        <v>121.9</v>
      </c>
      <c r="W86" s="6">
        <v>121.5</v>
      </c>
      <c r="X86" s="6">
        <v>119.4</v>
      </c>
      <c r="Y86" s="6">
        <v>113.3</v>
      </c>
      <c r="Z86" s="6">
        <v>116.7</v>
      </c>
      <c r="AA86" s="6">
        <v>120.5</v>
      </c>
      <c r="AB86" s="6">
        <v>112.3</v>
      </c>
      <c r="AC86" s="6">
        <v>116.9</v>
      </c>
      <c r="AD86" s="6">
        <v>122.4</v>
      </c>
      <c r="AE86" s="6" t="str">
        <f t="shared" si="1"/>
        <v>Rural|2015|May</v>
      </c>
    </row>
    <row r="87" spans="1:31">
      <c r="A87" s="6" t="s">
        <v>51</v>
      </c>
      <c r="B87" s="6">
        <v>2015</v>
      </c>
      <c r="C87" s="6" t="s">
        <v>56</v>
      </c>
      <c r="D87" s="6">
        <v>123.8</v>
      </c>
      <c r="E87" s="6">
        <v>129.7</v>
      </c>
      <c r="F87" s="6">
        <v>111.3</v>
      </c>
      <c r="G87" s="6">
        <v>126.6</v>
      </c>
      <c r="H87" s="6">
        <v>105.2</v>
      </c>
      <c r="I87" s="6">
        <v>130.8</v>
      </c>
      <c r="J87" s="6">
        <v>135.6</v>
      </c>
      <c r="K87" s="6">
        <v>142.6</v>
      </c>
      <c r="L87" s="6">
        <v>90.8</v>
      </c>
      <c r="M87" s="6">
        <v>128.8</v>
      </c>
      <c r="N87" s="6">
        <v>117.7</v>
      </c>
      <c r="O87" s="6">
        <v>129.9</v>
      </c>
      <c r="P87" s="6">
        <v>126.1</v>
      </c>
      <c r="Q87" s="6">
        <v>131.3</v>
      </c>
      <c r="R87" s="6">
        <v>122.4</v>
      </c>
      <c r="S87" s="6">
        <v>117.4</v>
      </c>
      <c r="T87" s="6">
        <v>121.6</v>
      </c>
      <c r="U87" s="6">
        <v>119.6</v>
      </c>
      <c r="V87" s="6">
        <v>114.9</v>
      </c>
      <c r="W87" s="6">
        <v>118.7</v>
      </c>
      <c r="X87" s="6">
        <v>114.9</v>
      </c>
      <c r="Y87" s="6">
        <v>110.8</v>
      </c>
      <c r="Z87" s="6">
        <v>116</v>
      </c>
      <c r="AA87" s="6">
        <v>122</v>
      </c>
      <c r="AB87" s="6">
        <v>112.4</v>
      </c>
      <c r="AC87" s="6">
        <v>115.2</v>
      </c>
      <c r="AD87" s="6">
        <v>120.7</v>
      </c>
      <c r="AE87" s="6" t="str">
        <f t="shared" si="1"/>
        <v>Urban|2015|May</v>
      </c>
    </row>
    <row r="88" spans="1:31">
      <c r="A88" s="6" t="s">
        <v>52</v>
      </c>
      <c r="B88" s="6">
        <v>2015</v>
      </c>
      <c r="C88" s="6" t="s">
        <v>56</v>
      </c>
      <c r="D88" s="6">
        <v>123.6</v>
      </c>
      <c r="E88" s="6">
        <v>128</v>
      </c>
      <c r="F88" s="6">
        <v>115</v>
      </c>
      <c r="G88" s="6">
        <v>127.3</v>
      </c>
      <c r="H88" s="6">
        <v>109.8</v>
      </c>
      <c r="I88" s="6">
        <v>132.6</v>
      </c>
      <c r="J88" s="6">
        <v>130.9</v>
      </c>
      <c r="K88" s="6">
        <v>130.5</v>
      </c>
      <c r="L88" s="6">
        <v>95.3</v>
      </c>
      <c r="M88" s="6">
        <v>123.4</v>
      </c>
      <c r="N88" s="6">
        <v>119.2</v>
      </c>
      <c r="O88" s="6">
        <v>129.8</v>
      </c>
      <c r="P88" s="6">
        <v>125</v>
      </c>
      <c r="Q88" s="6">
        <v>127.9</v>
      </c>
      <c r="R88" s="6">
        <v>125.4</v>
      </c>
      <c r="S88" s="6">
        <v>121.3</v>
      </c>
      <c r="T88" s="6">
        <v>124.7</v>
      </c>
      <c r="U88" s="6">
        <v>119.6</v>
      </c>
      <c r="V88" s="6">
        <v>119.2</v>
      </c>
      <c r="W88" s="6">
        <v>120.2</v>
      </c>
      <c r="X88" s="6">
        <v>117.7</v>
      </c>
      <c r="Y88" s="6">
        <v>112</v>
      </c>
      <c r="Z88" s="6">
        <v>116.3</v>
      </c>
      <c r="AA88" s="6">
        <v>121.4</v>
      </c>
      <c r="AB88" s="6">
        <v>112.3</v>
      </c>
      <c r="AC88" s="6">
        <v>116.1</v>
      </c>
      <c r="AD88" s="6">
        <v>121.6</v>
      </c>
      <c r="AE88" s="6" t="str">
        <f t="shared" si="1"/>
        <v>Rural+Urban|2015|May</v>
      </c>
    </row>
    <row r="89" spans="1:31">
      <c r="A89" s="6" t="s">
        <v>49</v>
      </c>
      <c r="B89" s="6">
        <v>2015</v>
      </c>
      <c r="C89" s="6" t="s">
        <v>57</v>
      </c>
      <c r="D89" s="6">
        <v>124.1</v>
      </c>
      <c r="E89" s="6">
        <v>130.4</v>
      </c>
      <c r="F89" s="6">
        <v>122.1</v>
      </c>
      <c r="G89" s="6">
        <v>128.7</v>
      </c>
      <c r="H89" s="6">
        <v>114.1</v>
      </c>
      <c r="I89" s="6">
        <v>133.2</v>
      </c>
      <c r="J89" s="6">
        <v>135.2</v>
      </c>
      <c r="K89" s="6">
        <v>131.9</v>
      </c>
      <c r="L89" s="6">
        <v>96.3</v>
      </c>
      <c r="M89" s="6">
        <v>123</v>
      </c>
      <c r="N89" s="6">
        <v>121.1</v>
      </c>
      <c r="O89" s="6">
        <v>131.2</v>
      </c>
      <c r="P89" s="6">
        <v>126.6</v>
      </c>
      <c r="Q89" s="6">
        <v>128.2</v>
      </c>
      <c r="R89" s="6">
        <v>128.4</v>
      </c>
      <c r="S89" s="6">
        <v>125.1</v>
      </c>
      <c r="T89" s="6">
        <v>128</v>
      </c>
      <c r="V89" s="6">
        <v>122.6</v>
      </c>
      <c r="W89" s="6">
        <v>122.8</v>
      </c>
      <c r="X89" s="6">
        <v>120.4</v>
      </c>
      <c r="Y89" s="6">
        <v>114.2</v>
      </c>
      <c r="Z89" s="6">
        <v>117.9</v>
      </c>
      <c r="AA89" s="6">
        <v>122</v>
      </c>
      <c r="AB89" s="6">
        <v>113</v>
      </c>
      <c r="AC89" s="6">
        <v>117.9</v>
      </c>
      <c r="AD89" s="6">
        <v>124.1</v>
      </c>
      <c r="AE89" s="6" t="str">
        <f t="shared" si="1"/>
        <v>Rural|2015|June</v>
      </c>
    </row>
    <row r="90" spans="1:31">
      <c r="A90" s="6" t="s">
        <v>51</v>
      </c>
      <c r="B90" s="6">
        <v>2015</v>
      </c>
      <c r="C90" s="6" t="s">
        <v>57</v>
      </c>
      <c r="D90" s="6">
        <v>123.6</v>
      </c>
      <c r="E90" s="6">
        <v>134.4</v>
      </c>
      <c r="F90" s="6">
        <v>120.9</v>
      </c>
      <c r="G90" s="6">
        <v>127.3</v>
      </c>
      <c r="H90" s="6">
        <v>106</v>
      </c>
      <c r="I90" s="6">
        <v>132.3</v>
      </c>
      <c r="J90" s="6">
        <v>146.7</v>
      </c>
      <c r="K90" s="6">
        <v>148.1</v>
      </c>
      <c r="L90" s="6">
        <v>89.8</v>
      </c>
      <c r="M90" s="6">
        <v>130.5</v>
      </c>
      <c r="N90" s="6">
        <v>118</v>
      </c>
      <c r="O90" s="6">
        <v>130.5</v>
      </c>
      <c r="P90" s="6">
        <v>128.5</v>
      </c>
      <c r="Q90" s="6">
        <v>132.1</v>
      </c>
      <c r="R90" s="6">
        <v>123.2</v>
      </c>
      <c r="S90" s="6">
        <v>117.6</v>
      </c>
      <c r="T90" s="6">
        <v>122.3</v>
      </c>
      <c r="U90" s="6">
        <v>119</v>
      </c>
      <c r="V90" s="6">
        <v>115.1</v>
      </c>
      <c r="W90" s="6">
        <v>119.2</v>
      </c>
      <c r="X90" s="6">
        <v>115.4</v>
      </c>
      <c r="Y90" s="6">
        <v>111.7</v>
      </c>
      <c r="Z90" s="6">
        <v>116.2</v>
      </c>
      <c r="AA90" s="6">
        <v>123.8</v>
      </c>
      <c r="AB90" s="6">
        <v>112.5</v>
      </c>
      <c r="AC90" s="6">
        <v>116</v>
      </c>
      <c r="AD90" s="6">
        <v>121.7</v>
      </c>
      <c r="AE90" s="6" t="str">
        <f t="shared" si="1"/>
        <v>Urban|2015|June</v>
      </c>
    </row>
    <row r="91" spans="1:31">
      <c r="A91" s="6" t="s">
        <v>52</v>
      </c>
      <c r="B91" s="6">
        <v>2015</v>
      </c>
      <c r="C91" s="6" t="s">
        <v>57</v>
      </c>
      <c r="D91" s="6">
        <v>123.9</v>
      </c>
      <c r="E91" s="6">
        <v>131.8</v>
      </c>
      <c r="F91" s="6">
        <v>121.6</v>
      </c>
      <c r="G91" s="6">
        <v>128.2</v>
      </c>
      <c r="H91" s="6">
        <v>111.1</v>
      </c>
      <c r="I91" s="6">
        <v>132.8</v>
      </c>
      <c r="J91" s="6">
        <v>139.1</v>
      </c>
      <c r="K91" s="6">
        <v>137.4</v>
      </c>
      <c r="L91" s="6">
        <v>94.1</v>
      </c>
      <c r="M91" s="6">
        <v>125.5</v>
      </c>
      <c r="N91" s="6">
        <v>119.8</v>
      </c>
      <c r="O91" s="6">
        <v>130.9</v>
      </c>
      <c r="P91" s="6">
        <v>127.3</v>
      </c>
      <c r="Q91" s="6">
        <v>129.2</v>
      </c>
      <c r="R91" s="6">
        <v>126.4</v>
      </c>
      <c r="S91" s="6">
        <v>122</v>
      </c>
      <c r="T91" s="6">
        <v>125.7</v>
      </c>
      <c r="U91" s="6">
        <v>119</v>
      </c>
      <c r="V91" s="6">
        <v>119.8</v>
      </c>
      <c r="W91" s="6">
        <v>121.1</v>
      </c>
      <c r="X91" s="6">
        <v>118.5</v>
      </c>
      <c r="Y91" s="6">
        <v>112.9</v>
      </c>
      <c r="Z91" s="6">
        <v>116.9</v>
      </c>
      <c r="AA91" s="6">
        <v>123.1</v>
      </c>
      <c r="AB91" s="6">
        <v>112.8</v>
      </c>
      <c r="AC91" s="6">
        <v>117</v>
      </c>
      <c r="AD91" s="6">
        <v>123</v>
      </c>
      <c r="AE91" s="6" t="str">
        <f t="shared" si="1"/>
        <v>Rural+Urban|2015|June</v>
      </c>
    </row>
    <row r="92" spans="1:31">
      <c r="A92" s="6" t="s">
        <v>49</v>
      </c>
      <c r="B92" s="6">
        <v>2015</v>
      </c>
      <c r="C92" s="6" t="s">
        <v>58</v>
      </c>
      <c r="D92" s="6">
        <v>124</v>
      </c>
      <c r="E92" s="6">
        <v>131.5</v>
      </c>
      <c r="F92" s="6">
        <v>122</v>
      </c>
      <c r="G92" s="6">
        <v>128.7</v>
      </c>
      <c r="H92" s="6">
        <v>113.5</v>
      </c>
      <c r="I92" s="6">
        <v>133.3</v>
      </c>
      <c r="J92" s="6">
        <v>140.8</v>
      </c>
      <c r="K92" s="6">
        <v>133.8</v>
      </c>
      <c r="L92" s="6">
        <v>94.1</v>
      </c>
      <c r="M92" s="6">
        <v>123.4</v>
      </c>
      <c r="N92" s="6">
        <v>121</v>
      </c>
      <c r="O92" s="6">
        <v>131.7</v>
      </c>
      <c r="P92" s="6">
        <v>127.5</v>
      </c>
      <c r="Q92" s="6">
        <v>129.4</v>
      </c>
      <c r="R92" s="6">
        <v>128.8</v>
      </c>
      <c r="S92" s="6">
        <v>125.5</v>
      </c>
      <c r="T92" s="6">
        <v>128.3</v>
      </c>
      <c r="V92" s="6">
        <v>123</v>
      </c>
      <c r="W92" s="6">
        <v>123</v>
      </c>
      <c r="X92" s="6">
        <v>120.8</v>
      </c>
      <c r="Y92" s="6">
        <v>114.1</v>
      </c>
      <c r="Z92" s="6">
        <v>118</v>
      </c>
      <c r="AA92" s="6">
        <v>122.9</v>
      </c>
      <c r="AB92" s="6">
        <v>112.7</v>
      </c>
      <c r="AC92" s="6">
        <v>118.1</v>
      </c>
      <c r="AD92" s="6">
        <v>124.7</v>
      </c>
      <c r="AE92" s="6" t="str">
        <f t="shared" si="1"/>
        <v>Rural|2015|July</v>
      </c>
    </row>
    <row r="93" spans="1:31">
      <c r="A93" s="6" t="s">
        <v>51</v>
      </c>
      <c r="B93" s="6">
        <v>2015</v>
      </c>
      <c r="C93" s="6" t="s">
        <v>58</v>
      </c>
      <c r="D93" s="6">
        <v>123.2</v>
      </c>
      <c r="E93" s="6">
        <v>134.3</v>
      </c>
      <c r="F93" s="6">
        <v>119.5</v>
      </c>
      <c r="G93" s="6">
        <v>127.7</v>
      </c>
      <c r="H93" s="6">
        <v>106.3</v>
      </c>
      <c r="I93" s="6">
        <v>132.8</v>
      </c>
      <c r="J93" s="6">
        <v>153.5</v>
      </c>
      <c r="K93" s="6">
        <v>149.5</v>
      </c>
      <c r="L93" s="6">
        <v>85.7</v>
      </c>
      <c r="M93" s="6">
        <v>131.5</v>
      </c>
      <c r="N93" s="6">
        <v>118.3</v>
      </c>
      <c r="O93" s="6">
        <v>131.1</v>
      </c>
      <c r="P93" s="6">
        <v>129.5</v>
      </c>
      <c r="Q93" s="6">
        <v>133.1</v>
      </c>
      <c r="R93" s="6">
        <v>123.5</v>
      </c>
      <c r="S93" s="6">
        <v>117.9</v>
      </c>
      <c r="T93" s="6">
        <v>122.7</v>
      </c>
      <c r="U93" s="6">
        <v>119.9</v>
      </c>
      <c r="V93" s="6">
        <v>115.3</v>
      </c>
      <c r="W93" s="6">
        <v>119.5</v>
      </c>
      <c r="X93" s="6">
        <v>116</v>
      </c>
      <c r="Y93" s="6">
        <v>111.5</v>
      </c>
      <c r="Z93" s="6">
        <v>116.6</v>
      </c>
      <c r="AA93" s="6">
        <v>125.4</v>
      </c>
      <c r="AB93" s="6">
        <v>111.7</v>
      </c>
      <c r="AC93" s="6">
        <v>116.3</v>
      </c>
      <c r="AD93" s="6">
        <v>122.4</v>
      </c>
      <c r="AE93" s="6" t="str">
        <f t="shared" si="1"/>
        <v>Urban|2015|July</v>
      </c>
    </row>
    <row r="94" spans="1:31">
      <c r="A94" s="6" t="s">
        <v>52</v>
      </c>
      <c r="B94" s="6">
        <v>2015</v>
      </c>
      <c r="C94" s="6" t="s">
        <v>58</v>
      </c>
      <c r="D94" s="6">
        <v>123.7</v>
      </c>
      <c r="E94" s="6">
        <v>132.5</v>
      </c>
      <c r="F94" s="6">
        <v>121</v>
      </c>
      <c r="G94" s="6">
        <v>128.3</v>
      </c>
      <c r="H94" s="6">
        <v>110.9</v>
      </c>
      <c r="I94" s="6">
        <v>133.1</v>
      </c>
      <c r="J94" s="6">
        <v>145.1</v>
      </c>
      <c r="K94" s="6">
        <v>139.1</v>
      </c>
      <c r="L94" s="6">
        <v>91.3</v>
      </c>
      <c r="M94" s="6">
        <v>126.1</v>
      </c>
      <c r="N94" s="6">
        <v>119.9</v>
      </c>
      <c r="O94" s="6">
        <v>131.4</v>
      </c>
      <c r="P94" s="6">
        <v>128.2</v>
      </c>
      <c r="Q94" s="6">
        <v>130.4</v>
      </c>
      <c r="R94" s="6">
        <v>126.7</v>
      </c>
      <c r="S94" s="6">
        <v>122.3</v>
      </c>
      <c r="T94" s="6">
        <v>126.1</v>
      </c>
      <c r="U94" s="6">
        <v>119.9</v>
      </c>
      <c r="V94" s="6">
        <v>120.1</v>
      </c>
      <c r="W94" s="6">
        <v>121.3</v>
      </c>
      <c r="X94" s="6">
        <v>119</v>
      </c>
      <c r="Y94" s="6">
        <v>112.7</v>
      </c>
      <c r="Z94" s="6">
        <v>117.2</v>
      </c>
      <c r="AA94" s="6">
        <v>124.4</v>
      </c>
      <c r="AB94" s="6">
        <v>112.3</v>
      </c>
      <c r="AC94" s="6">
        <v>117.2</v>
      </c>
      <c r="AD94" s="6">
        <v>123.6</v>
      </c>
      <c r="AE94" s="6" t="str">
        <f t="shared" si="1"/>
        <v>Rural+Urban|2015|July</v>
      </c>
    </row>
    <row r="95" spans="1:31">
      <c r="A95" s="6" t="s">
        <v>49</v>
      </c>
      <c r="B95" s="6">
        <v>2015</v>
      </c>
      <c r="C95" s="6" t="s">
        <v>59</v>
      </c>
      <c r="D95" s="6">
        <v>124.7</v>
      </c>
      <c r="E95" s="6">
        <v>131.3</v>
      </c>
      <c r="F95" s="6">
        <v>121.3</v>
      </c>
      <c r="G95" s="6">
        <v>128.8</v>
      </c>
      <c r="H95" s="6">
        <v>114</v>
      </c>
      <c r="I95" s="6">
        <v>134.2</v>
      </c>
      <c r="J95" s="6">
        <v>153.6</v>
      </c>
      <c r="K95" s="6">
        <v>137.9</v>
      </c>
      <c r="L95" s="6">
        <v>93.1</v>
      </c>
      <c r="M95" s="6">
        <v>123.9</v>
      </c>
      <c r="N95" s="6">
        <v>121.5</v>
      </c>
      <c r="O95" s="6">
        <v>132.5</v>
      </c>
      <c r="P95" s="6">
        <v>129.8</v>
      </c>
      <c r="Q95" s="6">
        <v>130.1</v>
      </c>
      <c r="R95" s="6">
        <v>129.5</v>
      </c>
      <c r="S95" s="6">
        <v>126.3</v>
      </c>
      <c r="T95" s="6">
        <v>129</v>
      </c>
      <c r="V95" s="6">
        <v>123.8</v>
      </c>
      <c r="W95" s="6">
        <v>123.7</v>
      </c>
      <c r="X95" s="6">
        <v>121.1</v>
      </c>
      <c r="Y95" s="6">
        <v>113.6</v>
      </c>
      <c r="Z95" s="6">
        <v>118.5</v>
      </c>
      <c r="AA95" s="6">
        <v>123.6</v>
      </c>
      <c r="AB95" s="6">
        <v>112.5</v>
      </c>
      <c r="AC95" s="6">
        <v>118.2</v>
      </c>
      <c r="AD95" s="6">
        <v>126.1</v>
      </c>
      <c r="AE95" s="6" t="str">
        <f t="shared" si="1"/>
        <v>Rural|2015|August</v>
      </c>
    </row>
    <row r="96" spans="1:31">
      <c r="A96" s="6" t="s">
        <v>51</v>
      </c>
      <c r="B96" s="6">
        <v>2015</v>
      </c>
      <c r="C96" s="6" t="s">
        <v>59</v>
      </c>
      <c r="D96" s="6">
        <v>123.1</v>
      </c>
      <c r="E96" s="6">
        <v>131.7</v>
      </c>
      <c r="F96" s="6">
        <v>118.1</v>
      </c>
      <c r="G96" s="6">
        <v>128</v>
      </c>
      <c r="H96" s="6">
        <v>106.8</v>
      </c>
      <c r="I96" s="6">
        <v>130.1</v>
      </c>
      <c r="J96" s="6">
        <v>165.5</v>
      </c>
      <c r="K96" s="6">
        <v>156</v>
      </c>
      <c r="L96" s="6">
        <v>85.3</v>
      </c>
      <c r="M96" s="6">
        <v>132.7</v>
      </c>
      <c r="N96" s="6">
        <v>118.8</v>
      </c>
      <c r="O96" s="6">
        <v>131.7</v>
      </c>
      <c r="P96" s="6">
        <v>131.1</v>
      </c>
      <c r="Q96" s="6">
        <v>134.2</v>
      </c>
      <c r="R96" s="6">
        <v>123.7</v>
      </c>
      <c r="S96" s="6">
        <v>118.2</v>
      </c>
      <c r="T96" s="6">
        <v>122.9</v>
      </c>
      <c r="U96" s="6">
        <v>120.9</v>
      </c>
      <c r="V96" s="6">
        <v>115.3</v>
      </c>
      <c r="W96" s="6">
        <v>120</v>
      </c>
      <c r="X96" s="6">
        <v>116.6</v>
      </c>
      <c r="Y96" s="6">
        <v>109.9</v>
      </c>
      <c r="Z96" s="6">
        <v>117.2</v>
      </c>
      <c r="AA96" s="6">
        <v>126.2</v>
      </c>
      <c r="AB96" s="6">
        <v>112</v>
      </c>
      <c r="AC96" s="6">
        <v>116.2</v>
      </c>
      <c r="AD96" s="6">
        <v>123.2</v>
      </c>
      <c r="AE96" s="6" t="str">
        <f t="shared" si="1"/>
        <v>Urban|2015|August</v>
      </c>
    </row>
    <row r="97" spans="1:31">
      <c r="A97" s="6" t="s">
        <v>52</v>
      </c>
      <c r="B97" s="6">
        <v>2015</v>
      </c>
      <c r="C97" s="6" t="s">
        <v>59</v>
      </c>
      <c r="D97" s="6">
        <v>124.2</v>
      </c>
      <c r="E97" s="6">
        <v>131.4</v>
      </c>
      <c r="F97" s="6">
        <v>120.1</v>
      </c>
      <c r="G97" s="6">
        <v>128.5</v>
      </c>
      <c r="H97" s="6">
        <v>111.4</v>
      </c>
      <c r="I97" s="6">
        <v>132.3</v>
      </c>
      <c r="J97" s="6">
        <v>157.6</v>
      </c>
      <c r="K97" s="6">
        <v>144</v>
      </c>
      <c r="L97" s="6">
        <v>90.5</v>
      </c>
      <c r="M97" s="6">
        <v>126.8</v>
      </c>
      <c r="N97" s="6">
        <v>120.4</v>
      </c>
      <c r="O97" s="6">
        <v>132.1</v>
      </c>
      <c r="P97" s="6">
        <v>130.3</v>
      </c>
      <c r="Q97" s="6">
        <v>131.2</v>
      </c>
      <c r="R97" s="6">
        <v>127.2</v>
      </c>
      <c r="S97" s="6">
        <v>122.9</v>
      </c>
      <c r="T97" s="6">
        <v>126.6</v>
      </c>
      <c r="U97" s="6">
        <v>120.9</v>
      </c>
      <c r="V97" s="6">
        <v>120.6</v>
      </c>
      <c r="W97" s="6">
        <v>122</v>
      </c>
      <c r="X97" s="6">
        <v>119.4</v>
      </c>
      <c r="Y97" s="6">
        <v>111.7</v>
      </c>
      <c r="Z97" s="6">
        <v>117.8</v>
      </c>
      <c r="AA97" s="6">
        <v>125.1</v>
      </c>
      <c r="AB97" s="6">
        <v>112.3</v>
      </c>
      <c r="AC97" s="6">
        <v>117.2</v>
      </c>
      <c r="AD97" s="6">
        <v>124.8</v>
      </c>
      <c r="AE97" s="6" t="str">
        <f t="shared" si="1"/>
        <v>Rural+Urban|2015|August</v>
      </c>
    </row>
    <row r="98" spans="1:31">
      <c r="A98" s="6" t="s">
        <v>49</v>
      </c>
      <c r="B98" s="6">
        <v>2015</v>
      </c>
      <c r="C98" s="6" t="s">
        <v>60</v>
      </c>
      <c r="D98" s="6">
        <v>125.1</v>
      </c>
      <c r="E98" s="6">
        <v>131.1</v>
      </c>
      <c r="F98" s="6">
        <v>120.7</v>
      </c>
      <c r="G98" s="6">
        <v>129.2</v>
      </c>
      <c r="H98" s="6">
        <v>114.7</v>
      </c>
      <c r="I98" s="6">
        <v>132.3</v>
      </c>
      <c r="J98" s="6">
        <v>158.9</v>
      </c>
      <c r="K98" s="6">
        <v>142.1</v>
      </c>
      <c r="L98" s="6">
        <v>92.5</v>
      </c>
      <c r="M98" s="6">
        <v>125.4</v>
      </c>
      <c r="N98" s="6">
        <v>121.9</v>
      </c>
      <c r="O98" s="6">
        <v>132.7</v>
      </c>
      <c r="P98" s="6">
        <v>131</v>
      </c>
      <c r="Q98" s="6">
        <v>131</v>
      </c>
      <c r="R98" s="6">
        <v>130.4</v>
      </c>
      <c r="S98" s="6">
        <v>126.8</v>
      </c>
      <c r="T98" s="6">
        <v>129.9</v>
      </c>
      <c r="V98" s="6">
        <v>123.7</v>
      </c>
      <c r="W98" s="6">
        <v>124.5</v>
      </c>
      <c r="X98" s="6">
        <v>121.4</v>
      </c>
      <c r="Y98" s="6">
        <v>113.8</v>
      </c>
      <c r="Z98" s="6">
        <v>119.6</v>
      </c>
      <c r="AA98" s="6">
        <v>124.5</v>
      </c>
      <c r="AB98" s="6">
        <v>113.7</v>
      </c>
      <c r="AC98" s="6">
        <v>118.8</v>
      </c>
      <c r="AD98" s="6">
        <v>127</v>
      </c>
      <c r="AE98" s="6" t="str">
        <f t="shared" si="1"/>
        <v>Rural|2015|September</v>
      </c>
    </row>
    <row r="99" spans="1:31">
      <c r="A99" s="6" t="s">
        <v>51</v>
      </c>
      <c r="B99" s="6">
        <v>2015</v>
      </c>
      <c r="C99" s="6" t="s">
        <v>60</v>
      </c>
      <c r="D99" s="6">
        <v>123.4</v>
      </c>
      <c r="E99" s="6">
        <v>129</v>
      </c>
      <c r="F99" s="6">
        <v>115.6</v>
      </c>
      <c r="G99" s="6">
        <v>128.3</v>
      </c>
      <c r="H99" s="6">
        <v>107</v>
      </c>
      <c r="I99" s="6">
        <v>124</v>
      </c>
      <c r="J99" s="6">
        <v>168.5</v>
      </c>
      <c r="K99" s="6">
        <v>165.4</v>
      </c>
      <c r="L99" s="6">
        <v>86.3</v>
      </c>
      <c r="M99" s="6">
        <v>134.4</v>
      </c>
      <c r="N99" s="6">
        <v>119.1</v>
      </c>
      <c r="O99" s="6">
        <v>132.3</v>
      </c>
      <c r="P99" s="6">
        <v>131.5</v>
      </c>
      <c r="Q99" s="6">
        <v>134.7</v>
      </c>
      <c r="R99" s="6">
        <v>124</v>
      </c>
      <c r="S99" s="6">
        <v>118.6</v>
      </c>
      <c r="T99" s="6">
        <v>123.2</v>
      </c>
      <c r="U99" s="6">
        <v>121.6</v>
      </c>
      <c r="V99" s="6">
        <v>115.1</v>
      </c>
      <c r="W99" s="6">
        <v>120.4</v>
      </c>
      <c r="X99" s="6">
        <v>117.1</v>
      </c>
      <c r="Y99" s="6">
        <v>109.1</v>
      </c>
      <c r="Z99" s="6">
        <v>117.3</v>
      </c>
      <c r="AA99" s="6">
        <v>126.5</v>
      </c>
      <c r="AB99" s="6">
        <v>112.9</v>
      </c>
      <c r="AC99" s="6">
        <v>116.2</v>
      </c>
      <c r="AD99" s="6">
        <v>123.5</v>
      </c>
      <c r="AE99" s="6" t="str">
        <f t="shared" si="1"/>
        <v>Urban|2015|September</v>
      </c>
    </row>
    <row r="100" spans="1:31">
      <c r="A100" s="6" t="s">
        <v>52</v>
      </c>
      <c r="B100" s="6">
        <v>2015</v>
      </c>
      <c r="C100" s="6" t="s">
        <v>60</v>
      </c>
      <c r="D100" s="6">
        <v>124.6</v>
      </c>
      <c r="E100" s="6">
        <v>130.4</v>
      </c>
      <c r="F100" s="6">
        <v>118.7</v>
      </c>
      <c r="G100" s="6">
        <v>128.9</v>
      </c>
      <c r="H100" s="6">
        <v>111.9</v>
      </c>
      <c r="I100" s="6">
        <v>128.4</v>
      </c>
      <c r="J100" s="6">
        <v>162.2</v>
      </c>
      <c r="K100" s="6">
        <v>150</v>
      </c>
      <c r="L100" s="6">
        <v>90.4</v>
      </c>
      <c r="M100" s="6">
        <v>128.4</v>
      </c>
      <c r="N100" s="6">
        <v>120.7</v>
      </c>
      <c r="O100" s="6">
        <v>132.5</v>
      </c>
      <c r="P100" s="6">
        <v>131.2</v>
      </c>
      <c r="Q100" s="6">
        <v>132</v>
      </c>
      <c r="R100" s="6">
        <v>127.9</v>
      </c>
      <c r="S100" s="6">
        <v>123.4</v>
      </c>
      <c r="T100" s="6">
        <v>127.2</v>
      </c>
      <c r="U100" s="6">
        <v>121.6</v>
      </c>
      <c r="V100" s="6">
        <v>120.4</v>
      </c>
      <c r="W100" s="6">
        <v>122.6</v>
      </c>
      <c r="X100" s="6">
        <v>119.8</v>
      </c>
      <c r="Y100" s="6">
        <v>111.3</v>
      </c>
      <c r="Z100" s="6">
        <v>118.3</v>
      </c>
      <c r="AA100" s="6">
        <v>125.7</v>
      </c>
      <c r="AB100" s="6">
        <v>113.4</v>
      </c>
      <c r="AC100" s="6">
        <v>117.5</v>
      </c>
      <c r="AD100" s="6">
        <v>125.4</v>
      </c>
      <c r="AE100" s="6" t="str">
        <f t="shared" si="1"/>
        <v>Rural+Urban|2015|September</v>
      </c>
    </row>
    <row r="101" spans="1:31">
      <c r="A101" s="6" t="s">
        <v>49</v>
      </c>
      <c r="B101" s="6">
        <v>2015</v>
      </c>
      <c r="C101" s="6" t="s">
        <v>61</v>
      </c>
      <c r="D101" s="6">
        <v>125.6</v>
      </c>
      <c r="E101" s="6">
        <v>130.4</v>
      </c>
      <c r="F101" s="6">
        <v>120.8</v>
      </c>
      <c r="G101" s="6">
        <v>129.4</v>
      </c>
      <c r="H101" s="6">
        <v>115.8</v>
      </c>
      <c r="I101" s="6">
        <v>133.2</v>
      </c>
      <c r="J101" s="6">
        <v>157.7</v>
      </c>
      <c r="K101" s="6">
        <v>154.2</v>
      </c>
      <c r="L101" s="6">
        <v>93.7</v>
      </c>
      <c r="M101" s="6">
        <v>126.6</v>
      </c>
      <c r="N101" s="6">
        <v>122.3</v>
      </c>
      <c r="O101" s="6">
        <v>133.1</v>
      </c>
      <c r="P101" s="6">
        <v>131.8</v>
      </c>
      <c r="Q101" s="6">
        <v>131.5</v>
      </c>
      <c r="R101" s="6">
        <v>131.1</v>
      </c>
      <c r="S101" s="6">
        <v>127.3</v>
      </c>
      <c r="T101" s="6">
        <v>130.6</v>
      </c>
      <c r="V101" s="6">
        <v>124.4</v>
      </c>
      <c r="W101" s="6">
        <v>125.1</v>
      </c>
      <c r="X101" s="6">
        <v>122</v>
      </c>
      <c r="Y101" s="6">
        <v>113.8</v>
      </c>
      <c r="Z101" s="6">
        <v>120.1</v>
      </c>
      <c r="AA101" s="6">
        <v>125.1</v>
      </c>
      <c r="AB101" s="6">
        <v>114.2</v>
      </c>
      <c r="AC101" s="6">
        <v>119.2</v>
      </c>
      <c r="AD101" s="6">
        <v>127.7</v>
      </c>
      <c r="AE101" s="6" t="str">
        <f t="shared" si="1"/>
        <v>Rural|2015|October</v>
      </c>
    </row>
    <row r="102" spans="1:31">
      <c r="A102" s="6" t="s">
        <v>51</v>
      </c>
      <c r="B102" s="6">
        <v>2015</v>
      </c>
      <c r="C102" s="6" t="s">
        <v>61</v>
      </c>
      <c r="D102" s="6">
        <v>123.6</v>
      </c>
      <c r="E102" s="6">
        <v>128.6</v>
      </c>
      <c r="F102" s="6">
        <v>115.9</v>
      </c>
      <c r="G102" s="6">
        <v>128.5</v>
      </c>
      <c r="H102" s="6">
        <v>109</v>
      </c>
      <c r="I102" s="6">
        <v>124.1</v>
      </c>
      <c r="J102" s="6">
        <v>165.8</v>
      </c>
      <c r="K102" s="6">
        <v>187.2</v>
      </c>
      <c r="L102" s="6">
        <v>89.4</v>
      </c>
      <c r="M102" s="6">
        <v>135.8</v>
      </c>
      <c r="N102" s="6">
        <v>119.4</v>
      </c>
      <c r="O102" s="6">
        <v>132.9</v>
      </c>
      <c r="P102" s="6">
        <v>132.6</v>
      </c>
      <c r="Q102" s="6">
        <v>135.3</v>
      </c>
      <c r="R102" s="6">
        <v>124.4</v>
      </c>
      <c r="S102" s="6">
        <v>118.8</v>
      </c>
      <c r="T102" s="6">
        <v>123.6</v>
      </c>
      <c r="U102" s="6">
        <v>122.4</v>
      </c>
      <c r="V102" s="6">
        <v>114.9</v>
      </c>
      <c r="W102" s="6">
        <v>120.7</v>
      </c>
      <c r="X102" s="6">
        <v>117.7</v>
      </c>
      <c r="Y102" s="6">
        <v>109.3</v>
      </c>
      <c r="Z102" s="6">
        <v>117.7</v>
      </c>
      <c r="AA102" s="6">
        <v>126.5</v>
      </c>
      <c r="AB102" s="6">
        <v>113.5</v>
      </c>
      <c r="AC102" s="6">
        <v>116.5</v>
      </c>
      <c r="AD102" s="6">
        <v>124.2</v>
      </c>
      <c r="AE102" s="6" t="str">
        <f t="shared" si="1"/>
        <v>Urban|2015|October</v>
      </c>
    </row>
    <row r="103" spans="1:31">
      <c r="A103" s="6" t="s">
        <v>52</v>
      </c>
      <c r="B103" s="6">
        <v>2015</v>
      </c>
      <c r="C103" s="6" t="s">
        <v>61</v>
      </c>
      <c r="D103" s="6">
        <v>125</v>
      </c>
      <c r="E103" s="6">
        <v>129.8</v>
      </c>
      <c r="F103" s="6">
        <v>118.9</v>
      </c>
      <c r="G103" s="6">
        <v>129.1</v>
      </c>
      <c r="H103" s="6">
        <v>113.3</v>
      </c>
      <c r="I103" s="6">
        <v>129</v>
      </c>
      <c r="J103" s="6">
        <v>160.4</v>
      </c>
      <c r="K103" s="6">
        <v>165.3</v>
      </c>
      <c r="L103" s="6">
        <v>92.3</v>
      </c>
      <c r="M103" s="6">
        <v>129.7</v>
      </c>
      <c r="N103" s="6">
        <v>121.1</v>
      </c>
      <c r="O103" s="6">
        <v>133</v>
      </c>
      <c r="P103" s="6">
        <v>132.1</v>
      </c>
      <c r="Q103" s="6">
        <v>132.5</v>
      </c>
      <c r="R103" s="6">
        <v>128.5</v>
      </c>
      <c r="S103" s="6">
        <v>123.8</v>
      </c>
      <c r="T103" s="6">
        <v>127.8</v>
      </c>
      <c r="U103" s="6">
        <v>122.4</v>
      </c>
      <c r="V103" s="6">
        <v>120.8</v>
      </c>
      <c r="W103" s="6">
        <v>123</v>
      </c>
      <c r="X103" s="6">
        <v>120.4</v>
      </c>
      <c r="Y103" s="6">
        <v>111.4</v>
      </c>
      <c r="Z103" s="6">
        <v>118.7</v>
      </c>
      <c r="AA103" s="6">
        <v>125.9</v>
      </c>
      <c r="AB103" s="6">
        <v>113.9</v>
      </c>
      <c r="AC103" s="6">
        <v>117.9</v>
      </c>
      <c r="AD103" s="6">
        <v>126.1</v>
      </c>
      <c r="AE103" s="6" t="str">
        <f t="shared" si="1"/>
        <v>Rural+Urban|2015|October</v>
      </c>
    </row>
    <row r="104" spans="1:31">
      <c r="A104" s="6" t="s">
        <v>49</v>
      </c>
      <c r="B104" s="6">
        <v>2015</v>
      </c>
      <c r="C104" s="6" t="s">
        <v>62</v>
      </c>
      <c r="D104" s="6">
        <v>126.1</v>
      </c>
      <c r="E104" s="6">
        <v>130.6</v>
      </c>
      <c r="F104" s="6">
        <v>121.7</v>
      </c>
      <c r="G104" s="6">
        <v>129.5</v>
      </c>
      <c r="H104" s="6">
        <v>117.8</v>
      </c>
      <c r="I104" s="6">
        <v>132.1</v>
      </c>
      <c r="J104" s="6">
        <v>155.2</v>
      </c>
      <c r="K104" s="6">
        <v>160.8</v>
      </c>
      <c r="L104" s="6">
        <v>94.5</v>
      </c>
      <c r="M104" s="6">
        <v>128.3</v>
      </c>
      <c r="N104" s="6">
        <v>123.1</v>
      </c>
      <c r="O104" s="6">
        <v>134.2</v>
      </c>
      <c r="P104" s="6">
        <v>132.4</v>
      </c>
      <c r="Q104" s="6">
        <v>132.2</v>
      </c>
      <c r="R104" s="6">
        <v>132.1</v>
      </c>
      <c r="S104" s="6">
        <v>128.2</v>
      </c>
      <c r="T104" s="6">
        <v>131.5</v>
      </c>
      <c r="V104" s="6">
        <v>125.6</v>
      </c>
      <c r="W104" s="6">
        <v>125.6</v>
      </c>
      <c r="X104" s="6">
        <v>122.6</v>
      </c>
      <c r="Y104" s="6">
        <v>114</v>
      </c>
      <c r="Z104" s="6">
        <v>120.9</v>
      </c>
      <c r="AA104" s="6">
        <v>125.8</v>
      </c>
      <c r="AB104" s="6">
        <v>114.2</v>
      </c>
      <c r="AC104" s="6">
        <v>119.6</v>
      </c>
      <c r="AD104" s="6">
        <v>128.3</v>
      </c>
      <c r="AE104" s="6" t="str">
        <f t="shared" si="1"/>
        <v>Rural|2015|November</v>
      </c>
    </row>
    <row r="105" spans="1:31">
      <c r="A105" s="6" t="s">
        <v>51</v>
      </c>
      <c r="B105" s="6">
        <v>2015</v>
      </c>
      <c r="C105" s="6" t="s">
        <v>62</v>
      </c>
      <c r="D105" s="6">
        <v>124</v>
      </c>
      <c r="E105" s="6">
        <v>129.8</v>
      </c>
      <c r="F105" s="6">
        <v>121.5</v>
      </c>
      <c r="G105" s="6">
        <v>128.6</v>
      </c>
      <c r="H105" s="6">
        <v>110</v>
      </c>
      <c r="I105" s="6">
        <v>123.7</v>
      </c>
      <c r="J105" s="6">
        <v>164.6</v>
      </c>
      <c r="K105" s="6">
        <v>191.6</v>
      </c>
      <c r="L105" s="6">
        <v>90.8</v>
      </c>
      <c r="M105" s="6">
        <v>137.1</v>
      </c>
      <c r="N105" s="6">
        <v>119.8</v>
      </c>
      <c r="O105" s="6">
        <v>133.7</v>
      </c>
      <c r="P105" s="6">
        <v>133.3</v>
      </c>
      <c r="Q105" s="6">
        <v>137.6</v>
      </c>
      <c r="R105" s="6">
        <v>125</v>
      </c>
      <c r="S105" s="6">
        <v>119.3</v>
      </c>
      <c r="T105" s="6">
        <v>124.2</v>
      </c>
      <c r="U105" s="6">
        <v>122.9</v>
      </c>
      <c r="V105" s="6">
        <v>115.1</v>
      </c>
      <c r="W105" s="6">
        <v>121</v>
      </c>
      <c r="X105" s="6">
        <v>118.1</v>
      </c>
      <c r="Y105" s="6">
        <v>109.3</v>
      </c>
      <c r="Z105" s="6">
        <v>117.9</v>
      </c>
      <c r="AA105" s="6">
        <v>126.6</v>
      </c>
      <c r="AB105" s="6">
        <v>113.3</v>
      </c>
      <c r="AC105" s="6">
        <v>116.6</v>
      </c>
      <c r="AD105" s="6">
        <v>124.6</v>
      </c>
      <c r="AE105" s="6" t="str">
        <f t="shared" si="1"/>
        <v>Urban|2015|November</v>
      </c>
    </row>
    <row r="106" spans="1:31">
      <c r="A106" s="6" t="s">
        <v>52</v>
      </c>
      <c r="B106" s="6">
        <v>2015</v>
      </c>
      <c r="C106" s="6" t="s">
        <v>62</v>
      </c>
      <c r="D106" s="6">
        <v>125.4</v>
      </c>
      <c r="E106" s="6">
        <v>130.3</v>
      </c>
      <c r="F106" s="6">
        <v>121.6</v>
      </c>
      <c r="G106" s="6">
        <v>129.2</v>
      </c>
      <c r="H106" s="6">
        <v>114.9</v>
      </c>
      <c r="I106" s="6">
        <v>128.2</v>
      </c>
      <c r="J106" s="6">
        <v>158.4</v>
      </c>
      <c r="K106" s="6">
        <v>171.2</v>
      </c>
      <c r="L106" s="6">
        <v>93.3</v>
      </c>
      <c r="M106" s="6">
        <v>131.2</v>
      </c>
      <c r="N106" s="6">
        <v>121.7</v>
      </c>
      <c r="O106" s="6">
        <v>134</v>
      </c>
      <c r="P106" s="6">
        <v>132.7</v>
      </c>
      <c r="Q106" s="6">
        <v>133.6</v>
      </c>
      <c r="R106" s="6">
        <v>129.3</v>
      </c>
      <c r="S106" s="6">
        <v>124.5</v>
      </c>
      <c r="T106" s="6">
        <v>128.6</v>
      </c>
      <c r="U106" s="6">
        <v>122.9</v>
      </c>
      <c r="V106" s="6">
        <v>121.6</v>
      </c>
      <c r="W106" s="6">
        <v>123.4</v>
      </c>
      <c r="X106" s="6">
        <v>120.9</v>
      </c>
      <c r="Y106" s="6">
        <v>111.5</v>
      </c>
      <c r="Z106" s="6">
        <v>119.2</v>
      </c>
      <c r="AA106" s="6">
        <v>126.3</v>
      </c>
      <c r="AB106" s="6">
        <v>113.8</v>
      </c>
      <c r="AC106" s="6">
        <v>118.1</v>
      </c>
      <c r="AD106" s="6">
        <v>126.6</v>
      </c>
      <c r="AE106" s="6" t="str">
        <f t="shared" si="1"/>
        <v>Rural+Urban|2015|November</v>
      </c>
    </row>
    <row r="107" spans="1:31">
      <c r="A107" s="6" t="s">
        <v>49</v>
      </c>
      <c r="B107" s="6">
        <v>2015</v>
      </c>
      <c r="C107" s="6" t="s">
        <v>63</v>
      </c>
      <c r="D107" s="6">
        <v>126.3</v>
      </c>
      <c r="E107" s="6">
        <v>131.3</v>
      </c>
      <c r="F107" s="6">
        <v>123.3</v>
      </c>
      <c r="G107" s="6">
        <v>129.8</v>
      </c>
      <c r="H107" s="6">
        <v>118.3</v>
      </c>
      <c r="I107" s="6">
        <v>131.6</v>
      </c>
      <c r="J107" s="6">
        <v>145.5</v>
      </c>
      <c r="K107" s="6">
        <v>162.1</v>
      </c>
      <c r="L107" s="6">
        <v>95.4</v>
      </c>
      <c r="M107" s="6">
        <v>128.9</v>
      </c>
      <c r="N107" s="6">
        <v>123.3</v>
      </c>
      <c r="O107" s="6">
        <v>135.1</v>
      </c>
      <c r="P107" s="6">
        <v>131.4</v>
      </c>
      <c r="Q107" s="6">
        <v>133.1</v>
      </c>
      <c r="R107" s="6">
        <v>132.5</v>
      </c>
      <c r="S107" s="6">
        <v>128.5</v>
      </c>
      <c r="T107" s="6">
        <v>131.9</v>
      </c>
      <c r="V107" s="6">
        <v>125.7</v>
      </c>
      <c r="W107" s="6">
        <v>126</v>
      </c>
      <c r="X107" s="6">
        <v>123.1</v>
      </c>
      <c r="Y107" s="6">
        <v>114</v>
      </c>
      <c r="Z107" s="6">
        <v>121.6</v>
      </c>
      <c r="AA107" s="6">
        <v>125.6</v>
      </c>
      <c r="AB107" s="6">
        <v>114.1</v>
      </c>
      <c r="AC107" s="6">
        <v>119.8</v>
      </c>
      <c r="AD107" s="6">
        <v>127.9</v>
      </c>
      <c r="AE107" s="6" t="str">
        <f t="shared" si="1"/>
        <v>Rural|2015|December</v>
      </c>
    </row>
    <row r="108" spans="1:31">
      <c r="A108" s="6" t="s">
        <v>51</v>
      </c>
      <c r="B108" s="6">
        <v>2015</v>
      </c>
      <c r="C108" s="6" t="s">
        <v>63</v>
      </c>
      <c r="D108" s="6">
        <v>124.3</v>
      </c>
      <c r="E108" s="6">
        <v>131.7</v>
      </c>
      <c r="F108" s="6">
        <v>127.1</v>
      </c>
      <c r="G108" s="6">
        <v>128.6</v>
      </c>
      <c r="H108" s="6">
        <v>110</v>
      </c>
      <c r="I108" s="6">
        <v>120.8</v>
      </c>
      <c r="J108" s="6">
        <v>149</v>
      </c>
      <c r="K108" s="6">
        <v>190.1</v>
      </c>
      <c r="L108" s="6">
        <v>92.7</v>
      </c>
      <c r="M108" s="6">
        <v>138.6</v>
      </c>
      <c r="N108" s="6">
        <v>120.2</v>
      </c>
      <c r="O108" s="6">
        <v>134.2</v>
      </c>
      <c r="P108" s="6">
        <v>131.5</v>
      </c>
      <c r="Q108" s="6">
        <v>138.2</v>
      </c>
      <c r="R108" s="6">
        <v>125.4</v>
      </c>
      <c r="S108" s="6">
        <v>119.5</v>
      </c>
      <c r="T108" s="6">
        <v>124.5</v>
      </c>
      <c r="U108" s="6">
        <v>122.4</v>
      </c>
      <c r="V108" s="6">
        <v>116</v>
      </c>
      <c r="W108" s="6">
        <v>121</v>
      </c>
      <c r="X108" s="6">
        <v>118.6</v>
      </c>
      <c r="Y108" s="6">
        <v>109.3</v>
      </c>
      <c r="Z108" s="6">
        <v>118.1</v>
      </c>
      <c r="AA108" s="6">
        <v>126.6</v>
      </c>
      <c r="AB108" s="6">
        <v>113.2</v>
      </c>
      <c r="AC108" s="6">
        <v>116.7</v>
      </c>
      <c r="AD108" s="6">
        <v>124</v>
      </c>
      <c r="AE108" s="6" t="str">
        <f t="shared" si="1"/>
        <v>Urban|2015|December</v>
      </c>
    </row>
    <row r="109" spans="1:31">
      <c r="A109" s="6" t="s">
        <v>52</v>
      </c>
      <c r="B109" s="6">
        <v>2015</v>
      </c>
      <c r="C109" s="6" t="s">
        <v>63</v>
      </c>
      <c r="D109" s="6">
        <v>125.7</v>
      </c>
      <c r="E109" s="6">
        <v>131.4</v>
      </c>
      <c r="F109" s="6">
        <v>124.8</v>
      </c>
      <c r="G109" s="6">
        <v>129.4</v>
      </c>
      <c r="H109" s="6">
        <v>115.3</v>
      </c>
      <c r="I109" s="6">
        <v>126.6</v>
      </c>
      <c r="J109" s="6">
        <v>146.7</v>
      </c>
      <c r="K109" s="6">
        <v>171.5</v>
      </c>
      <c r="L109" s="6">
        <v>94.5</v>
      </c>
      <c r="M109" s="6">
        <v>132.1</v>
      </c>
      <c r="N109" s="6">
        <v>122</v>
      </c>
      <c r="O109" s="6">
        <v>134.7</v>
      </c>
      <c r="P109" s="6">
        <v>131.4</v>
      </c>
      <c r="Q109" s="6">
        <v>134.5</v>
      </c>
      <c r="R109" s="6">
        <v>129.7</v>
      </c>
      <c r="S109" s="6">
        <v>124.8</v>
      </c>
      <c r="T109" s="6">
        <v>129</v>
      </c>
      <c r="U109" s="6">
        <v>122.4</v>
      </c>
      <c r="V109" s="6">
        <v>122</v>
      </c>
      <c r="W109" s="6">
        <v>123.6</v>
      </c>
      <c r="X109" s="6">
        <v>121.4</v>
      </c>
      <c r="Y109" s="6">
        <v>111.5</v>
      </c>
      <c r="Z109" s="6">
        <v>119.6</v>
      </c>
      <c r="AA109" s="6">
        <v>126.2</v>
      </c>
      <c r="AB109" s="6">
        <v>113.7</v>
      </c>
      <c r="AC109" s="6">
        <v>118.3</v>
      </c>
      <c r="AD109" s="6">
        <v>126.1</v>
      </c>
      <c r="AE109" s="6" t="str">
        <f t="shared" si="1"/>
        <v>Rural+Urban|2015|December</v>
      </c>
    </row>
    <row r="110" spans="1:31">
      <c r="A110" s="6" t="s">
        <v>49</v>
      </c>
      <c r="B110" s="6">
        <v>2016</v>
      </c>
      <c r="C110" s="6" t="s">
        <v>50</v>
      </c>
      <c r="D110" s="6">
        <v>126.8</v>
      </c>
      <c r="E110" s="6">
        <v>133.2</v>
      </c>
      <c r="F110" s="6">
        <v>126.5</v>
      </c>
      <c r="G110" s="6">
        <v>130.3</v>
      </c>
      <c r="H110" s="6">
        <v>118.9</v>
      </c>
      <c r="I110" s="6">
        <v>131.6</v>
      </c>
      <c r="J110" s="6">
        <v>140.1</v>
      </c>
      <c r="K110" s="6">
        <v>163.8</v>
      </c>
      <c r="L110" s="6">
        <v>97.7</v>
      </c>
      <c r="M110" s="6">
        <v>129.6</v>
      </c>
      <c r="N110" s="6">
        <v>124.3</v>
      </c>
      <c r="O110" s="6">
        <v>135.9</v>
      </c>
      <c r="P110" s="6">
        <v>131.4</v>
      </c>
      <c r="Q110" s="6">
        <v>133.6</v>
      </c>
      <c r="R110" s="6">
        <v>133.2</v>
      </c>
      <c r="S110" s="6">
        <v>128.9</v>
      </c>
      <c r="T110" s="6">
        <v>132.6</v>
      </c>
      <c r="V110" s="6">
        <v>126.2</v>
      </c>
      <c r="W110" s="6">
        <v>126.6</v>
      </c>
      <c r="X110" s="6">
        <v>123.7</v>
      </c>
      <c r="Y110" s="6">
        <v>113.6</v>
      </c>
      <c r="Z110" s="6">
        <v>121.4</v>
      </c>
      <c r="AA110" s="6">
        <v>126.2</v>
      </c>
      <c r="AB110" s="6">
        <v>114.9</v>
      </c>
      <c r="AC110" s="6">
        <v>120.1</v>
      </c>
      <c r="AD110" s="6">
        <v>128.1</v>
      </c>
      <c r="AE110" s="6" t="str">
        <f t="shared" si="1"/>
        <v>Rural|2016|January</v>
      </c>
    </row>
    <row r="111" spans="1:31">
      <c r="A111" s="6" t="s">
        <v>51</v>
      </c>
      <c r="B111" s="6">
        <v>2016</v>
      </c>
      <c r="C111" s="6" t="s">
        <v>50</v>
      </c>
      <c r="D111" s="6">
        <v>124.7</v>
      </c>
      <c r="E111" s="6">
        <v>135.9</v>
      </c>
      <c r="F111" s="6">
        <v>132</v>
      </c>
      <c r="G111" s="6">
        <v>129.2</v>
      </c>
      <c r="H111" s="6">
        <v>109.7</v>
      </c>
      <c r="I111" s="6">
        <v>119</v>
      </c>
      <c r="J111" s="6">
        <v>144.1</v>
      </c>
      <c r="K111" s="6">
        <v>184.2</v>
      </c>
      <c r="L111" s="6">
        <v>96.7</v>
      </c>
      <c r="M111" s="6">
        <v>139.5</v>
      </c>
      <c r="N111" s="6">
        <v>120.5</v>
      </c>
      <c r="O111" s="6">
        <v>134.7</v>
      </c>
      <c r="P111" s="6">
        <v>131.2</v>
      </c>
      <c r="Q111" s="6">
        <v>139.5</v>
      </c>
      <c r="R111" s="6">
        <v>125.8</v>
      </c>
      <c r="S111" s="6">
        <v>119.8</v>
      </c>
      <c r="T111" s="6">
        <v>124.9</v>
      </c>
      <c r="U111" s="6">
        <v>123.4</v>
      </c>
      <c r="V111" s="6">
        <v>116.9</v>
      </c>
      <c r="W111" s="6">
        <v>121.6</v>
      </c>
      <c r="X111" s="6">
        <v>119.1</v>
      </c>
      <c r="Y111" s="6">
        <v>108.9</v>
      </c>
      <c r="Z111" s="6">
        <v>118.5</v>
      </c>
      <c r="AA111" s="6">
        <v>126.4</v>
      </c>
      <c r="AB111" s="6">
        <v>114</v>
      </c>
      <c r="AC111" s="6">
        <v>116.8</v>
      </c>
      <c r="AD111" s="6">
        <v>124.2</v>
      </c>
      <c r="AE111" s="6" t="str">
        <f t="shared" si="1"/>
        <v>Urban|2016|January</v>
      </c>
    </row>
    <row r="112" spans="1:31">
      <c r="A112" s="6" t="s">
        <v>52</v>
      </c>
      <c r="B112" s="6">
        <v>2016</v>
      </c>
      <c r="C112" s="6" t="s">
        <v>50</v>
      </c>
      <c r="D112" s="6">
        <v>126.1</v>
      </c>
      <c r="E112" s="6">
        <v>134.1</v>
      </c>
      <c r="F112" s="6">
        <v>128.6</v>
      </c>
      <c r="G112" s="6">
        <v>129.9</v>
      </c>
      <c r="H112" s="6">
        <v>115.5</v>
      </c>
      <c r="I112" s="6">
        <v>125.7</v>
      </c>
      <c r="J112" s="6">
        <v>141.5</v>
      </c>
      <c r="K112" s="6">
        <v>170.7</v>
      </c>
      <c r="L112" s="6">
        <v>97.4</v>
      </c>
      <c r="M112" s="6">
        <v>132.9</v>
      </c>
      <c r="N112" s="6">
        <v>122.7</v>
      </c>
      <c r="O112" s="6">
        <v>135.3</v>
      </c>
      <c r="P112" s="6">
        <v>131.3</v>
      </c>
      <c r="Q112" s="6">
        <v>135.2</v>
      </c>
      <c r="R112" s="6">
        <v>130.3</v>
      </c>
      <c r="S112" s="6">
        <v>125.1</v>
      </c>
      <c r="T112" s="6">
        <v>129.5</v>
      </c>
      <c r="U112" s="6">
        <v>123.4</v>
      </c>
      <c r="V112" s="6">
        <v>122.7</v>
      </c>
      <c r="W112" s="6">
        <v>124.2</v>
      </c>
      <c r="X112" s="6">
        <v>122</v>
      </c>
      <c r="Y112" s="6">
        <v>111.1</v>
      </c>
      <c r="Z112" s="6">
        <v>119.8</v>
      </c>
      <c r="AA112" s="6">
        <v>126.3</v>
      </c>
      <c r="AB112" s="6">
        <v>114.5</v>
      </c>
      <c r="AC112" s="6">
        <v>118.5</v>
      </c>
      <c r="AD112" s="6">
        <v>126.3</v>
      </c>
      <c r="AE112" s="6" t="str">
        <f t="shared" si="1"/>
        <v>Rural+Urban|2016|January</v>
      </c>
    </row>
    <row r="113" spans="1:31">
      <c r="A113" s="6" t="s">
        <v>49</v>
      </c>
      <c r="B113" s="6">
        <v>2016</v>
      </c>
      <c r="C113" s="6" t="s">
        <v>53</v>
      </c>
      <c r="D113" s="6">
        <v>127.1</v>
      </c>
      <c r="E113" s="6">
        <v>133.7</v>
      </c>
      <c r="F113" s="6">
        <v>127.7</v>
      </c>
      <c r="G113" s="6">
        <v>130.7</v>
      </c>
      <c r="H113" s="6">
        <v>118.5</v>
      </c>
      <c r="I113" s="6">
        <v>130.4</v>
      </c>
      <c r="J113" s="6">
        <v>130.9</v>
      </c>
      <c r="K113" s="6">
        <v>162.8</v>
      </c>
      <c r="L113" s="6">
        <v>98.7</v>
      </c>
      <c r="M113" s="6">
        <v>130.6</v>
      </c>
      <c r="N113" s="6">
        <v>124.8</v>
      </c>
      <c r="O113" s="6">
        <v>136.4</v>
      </c>
      <c r="P113" s="6">
        <v>130.3</v>
      </c>
      <c r="Q113" s="6">
        <v>134.4</v>
      </c>
      <c r="R113" s="6">
        <v>133.9</v>
      </c>
      <c r="S113" s="6">
        <v>129.8</v>
      </c>
      <c r="T113" s="6">
        <v>133.4</v>
      </c>
      <c r="V113" s="6">
        <v>127.5</v>
      </c>
      <c r="W113" s="6">
        <v>127.1</v>
      </c>
      <c r="X113" s="6">
        <v>124.3</v>
      </c>
      <c r="Y113" s="6">
        <v>113.9</v>
      </c>
      <c r="Z113" s="6">
        <v>122.3</v>
      </c>
      <c r="AA113" s="6">
        <v>127.1</v>
      </c>
      <c r="AB113" s="6">
        <v>116.8</v>
      </c>
      <c r="AC113" s="6">
        <v>120.9</v>
      </c>
      <c r="AD113" s="6">
        <v>127.9</v>
      </c>
      <c r="AE113" s="6" t="str">
        <f t="shared" si="1"/>
        <v>Rural|2016|February</v>
      </c>
    </row>
    <row r="114" spans="1:31">
      <c r="A114" s="6" t="s">
        <v>51</v>
      </c>
      <c r="B114" s="6">
        <v>2016</v>
      </c>
      <c r="C114" s="6" t="s">
        <v>53</v>
      </c>
      <c r="D114" s="6">
        <v>124.8</v>
      </c>
      <c r="E114" s="6">
        <v>135.1</v>
      </c>
      <c r="F114" s="6">
        <v>130.3</v>
      </c>
      <c r="G114" s="6">
        <v>129.6</v>
      </c>
      <c r="H114" s="6">
        <v>108.4</v>
      </c>
      <c r="I114" s="6">
        <v>118.6</v>
      </c>
      <c r="J114" s="6">
        <v>129.2</v>
      </c>
      <c r="K114" s="6">
        <v>176.4</v>
      </c>
      <c r="L114" s="6">
        <v>99.1</v>
      </c>
      <c r="M114" s="6">
        <v>139.7</v>
      </c>
      <c r="N114" s="6">
        <v>120.6</v>
      </c>
      <c r="O114" s="6">
        <v>135.2</v>
      </c>
      <c r="P114" s="6">
        <v>129.1</v>
      </c>
      <c r="Q114" s="6">
        <v>140</v>
      </c>
      <c r="R114" s="6">
        <v>126.2</v>
      </c>
      <c r="S114" s="6">
        <v>120.1</v>
      </c>
      <c r="T114" s="6">
        <v>125.3</v>
      </c>
      <c r="U114" s="6">
        <v>124.4</v>
      </c>
      <c r="V114" s="6">
        <v>116</v>
      </c>
      <c r="W114" s="6">
        <v>121.8</v>
      </c>
      <c r="X114" s="6">
        <v>119.5</v>
      </c>
      <c r="Y114" s="6">
        <v>109.1</v>
      </c>
      <c r="Z114" s="6">
        <v>118.8</v>
      </c>
      <c r="AA114" s="6">
        <v>126.3</v>
      </c>
      <c r="AB114" s="6">
        <v>116.2</v>
      </c>
      <c r="AC114" s="6">
        <v>117.2</v>
      </c>
      <c r="AD114" s="6">
        <v>123.8</v>
      </c>
      <c r="AE114" s="6" t="str">
        <f t="shared" si="1"/>
        <v>Urban|2016|February</v>
      </c>
    </row>
    <row r="115" spans="1:31">
      <c r="A115" s="6" t="s">
        <v>52</v>
      </c>
      <c r="B115" s="6">
        <v>2016</v>
      </c>
      <c r="C115" s="6" t="s">
        <v>53</v>
      </c>
      <c r="D115" s="6">
        <v>126.4</v>
      </c>
      <c r="E115" s="6">
        <v>134.2</v>
      </c>
      <c r="F115" s="6">
        <v>128.7</v>
      </c>
      <c r="G115" s="6">
        <v>130.3</v>
      </c>
      <c r="H115" s="6">
        <v>114.8</v>
      </c>
      <c r="I115" s="6">
        <v>124.9</v>
      </c>
      <c r="J115" s="6">
        <v>130.3</v>
      </c>
      <c r="K115" s="6">
        <v>167.4</v>
      </c>
      <c r="L115" s="6">
        <v>98.8</v>
      </c>
      <c r="M115" s="6">
        <v>133.6</v>
      </c>
      <c r="N115" s="6">
        <v>123</v>
      </c>
      <c r="O115" s="6">
        <v>135.8</v>
      </c>
      <c r="P115" s="6">
        <v>129.9</v>
      </c>
      <c r="Q115" s="6">
        <v>135.9</v>
      </c>
      <c r="R115" s="6">
        <v>130.9</v>
      </c>
      <c r="S115" s="6">
        <v>125.8</v>
      </c>
      <c r="T115" s="6">
        <v>130.2</v>
      </c>
      <c r="U115" s="6">
        <v>124.4</v>
      </c>
      <c r="V115" s="6">
        <v>123.1</v>
      </c>
      <c r="W115" s="6">
        <v>124.6</v>
      </c>
      <c r="X115" s="6">
        <v>122.5</v>
      </c>
      <c r="Y115" s="6">
        <v>111.4</v>
      </c>
      <c r="Z115" s="6">
        <v>120.3</v>
      </c>
      <c r="AA115" s="6">
        <v>126.6</v>
      </c>
      <c r="AB115" s="6">
        <v>116.6</v>
      </c>
      <c r="AC115" s="6">
        <v>119.1</v>
      </c>
      <c r="AD115" s="6">
        <v>126</v>
      </c>
      <c r="AE115" s="6" t="str">
        <f t="shared" si="1"/>
        <v>Rural+Urban|2016|February</v>
      </c>
    </row>
    <row r="116" spans="1:31">
      <c r="A116" s="6" t="s">
        <v>49</v>
      </c>
      <c r="B116" s="6">
        <v>2016</v>
      </c>
      <c r="C116" s="6" t="s">
        <v>54</v>
      </c>
      <c r="D116" s="6">
        <v>127.3</v>
      </c>
      <c r="E116" s="6">
        <v>134.4</v>
      </c>
      <c r="F116" s="6">
        <v>125.1</v>
      </c>
      <c r="G116" s="6">
        <v>130.5</v>
      </c>
      <c r="H116" s="6">
        <v>118.3</v>
      </c>
      <c r="I116" s="6">
        <v>131.7</v>
      </c>
      <c r="J116" s="6">
        <v>130.7</v>
      </c>
      <c r="K116" s="6">
        <v>161.2</v>
      </c>
      <c r="L116" s="6">
        <v>100.4</v>
      </c>
      <c r="M116" s="6">
        <v>130.8</v>
      </c>
      <c r="N116" s="6">
        <v>124.9</v>
      </c>
      <c r="O116" s="6">
        <v>137</v>
      </c>
      <c r="P116" s="6">
        <v>130.4</v>
      </c>
      <c r="Q116" s="6">
        <v>135</v>
      </c>
      <c r="R116" s="6">
        <v>134.4</v>
      </c>
      <c r="S116" s="6">
        <v>130.2</v>
      </c>
      <c r="T116" s="6">
        <v>133.8</v>
      </c>
      <c r="V116" s="6">
        <v>127</v>
      </c>
      <c r="W116" s="6">
        <v>127.7</v>
      </c>
      <c r="X116" s="6">
        <v>124.8</v>
      </c>
      <c r="Y116" s="6">
        <v>113.6</v>
      </c>
      <c r="Z116" s="6">
        <v>122.5</v>
      </c>
      <c r="AA116" s="6">
        <v>127.5</v>
      </c>
      <c r="AB116" s="6">
        <v>117.4</v>
      </c>
      <c r="AC116" s="6">
        <v>121.1</v>
      </c>
      <c r="AD116" s="6">
        <v>128</v>
      </c>
      <c r="AE116" s="6" t="str">
        <f t="shared" si="1"/>
        <v>Rural|2016|March</v>
      </c>
    </row>
    <row r="117" spans="1:31">
      <c r="A117" s="6" t="s">
        <v>51</v>
      </c>
      <c r="B117" s="6">
        <v>2016</v>
      </c>
      <c r="C117" s="6" t="s">
        <v>54</v>
      </c>
      <c r="D117" s="6">
        <v>124.8</v>
      </c>
      <c r="E117" s="6">
        <v>136.3</v>
      </c>
      <c r="F117" s="6">
        <v>123.7</v>
      </c>
      <c r="G117" s="6">
        <v>129.7</v>
      </c>
      <c r="H117" s="6">
        <v>107.9</v>
      </c>
      <c r="I117" s="6">
        <v>119.9</v>
      </c>
      <c r="J117" s="6">
        <v>128.1</v>
      </c>
      <c r="K117" s="6">
        <v>170.3</v>
      </c>
      <c r="L117" s="6">
        <v>101.8</v>
      </c>
      <c r="M117" s="6">
        <v>140.1</v>
      </c>
      <c r="N117" s="6">
        <v>120.7</v>
      </c>
      <c r="O117" s="6">
        <v>135.4</v>
      </c>
      <c r="P117" s="6">
        <v>128.9</v>
      </c>
      <c r="Q117" s="6">
        <v>140.6</v>
      </c>
      <c r="R117" s="6">
        <v>126.4</v>
      </c>
      <c r="S117" s="6">
        <v>120.3</v>
      </c>
      <c r="T117" s="6">
        <v>125.5</v>
      </c>
      <c r="U117" s="6">
        <v>124.9</v>
      </c>
      <c r="V117" s="6">
        <v>114.8</v>
      </c>
      <c r="W117" s="6">
        <v>122.3</v>
      </c>
      <c r="X117" s="6">
        <v>119.7</v>
      </c>
      <c r="Y117" s="6">
        <v>108.5</v>
      </c>
      <c r="Z117" s="6">
        <v>119.1</v>
      </c>
      <c r="AA117" s="6">
        <v>126.4</v>
      </c>
      <c r="AB117" s="6">
        <v>117.1</v>
      </c>
      <c r="AC117" s="6">
        <v>117.3</v>
      </c>
      <c r="AD117" s="6">
        <v>123.8</v>
      </c>
      <c r="AE117" s="6" t="str">
        <f t="shared" si="1"/>
        <v>Urban|2016|March</v>
      </c>
    </row>
    <row r="118" spans="1:31">
      <c r="A118" s="6" t="s">
        <v>52</v>
      </c>
      <c r="B118" s="6">
        <v>2016</v>
      </c>
      <c r="C118" s="6" t="s">
        <v>54</v>
      </c>
      <c r="D118" s="6">
        <v>126.5</v>
      </c>
      <c r="E118" s="6">
        <v>135.1</v>
      </c>
      <c r="F118" s="6">
        <v>124.6</v>
      </c>
      <c r="G118" s="6">
        <v>130.2</v>
      </c>
      <c r="H118" s="6">
        <v>114.5</v>
      </c>
      <c r="I118" s="6">
        <v>126.2</v>
      </c>
      <c r="J118" s="6">
        <v>129.8</v>
      </c>
      <c r="K118" s="6">
        <v>164.3</v>
      </c>
      <c r="L118" s="6">
        <v>100.9</v>
      </c>
      <c r="M118" s="6">
        <v>133.9</v>
      </c>
      <c r="N118" s="6">
        <v>123.1</v>
      </c>
      <c r="O118" s="6">
        <v>136.3</v>
      </c>
      <c r="P118" s="6">
        <v>129.8</v>
      </c>
      <c r="Q118" s="6">
        <v>136.5</v>
      </c>
      <c r="R118" s="6">
        <v>131.3</v>
      </c>
      <c r="S118" s="6">
        <v>126.1</v>
      </c>
      <c r="T118" s="6">
        <v>130.5</v>
      </c>
      <c r="U118" s="6">
        <v>124.9</v>
      </c>
      <c r="V118" s="6">
        <v>122.4</v>
      </c>
      <c r="W118" s="6">
        <v>125.1</v>
      </c>
      <c r="X118" s="6">
        <v>122.9</v>
      </c>
      <c r="Y118" s="6">
        <v>110.9</v>
      </c>
      <c r="Z118" s="6">
        <v>120.6</v>
      </c>
      <c r="AA118" s="6">
        <v>126.9</v>
      </c>
      <c r="AB118" s="6">
        <v>117.3</v>
      </c>
      <c r="AC118" s="6">
        <v>119.3</v>
      </c>
      <c r="AD118" s="6">
        <v>126</v>
      </c>
      <c r="AE118" s="6" t="str">
        <f t="shared" si="1"/>
        <v>Rural+Urban|2016|March</v>
      </c>
    </row>
    <row r="119" spans="1:31">
      <c r="A119" s="6" t="s">
        <v>49</v>
      </c>
      <c r="B119" s="6">
        <v>2016</v>
      </c>
      <c r="C119" s="6" t="s">
        <v>55</v>
      </c>
      <c r="D119" s="6">
        <v>127.4</v>
      </c>
      <c r="E119" s="6">
        <v>135.4</v>
      </c>
      <c r="F119" s="6">
        <v>123.4</v>
      </c>
      <c r="G119" s="6">
        <v>131.3</v>
      </c>
      <c r="H119" s="6">
        <v>118.2</v>
      </c>
      <c r="I119" s="6">
        <v>138.1</v>
      </c>
      <c r="J119" s="6">
        <v>134.1</v>
      </c>
      <c r="K119" s="6">
        <v>162.7</v>
      </c>
      <c r="L119" s="6">
        <v>105</v>
      </c>
      <c r="M119" s="6">
        <v>131.4</v>
      </c>
      <c r="N119" s="6">
        <v>125.4</v>
      </c>
      <c r="O119" s="6">
        <v>137.4</v>
      </c>
      <c r="P119" s="6">
        <v>131.8</v>
      </c>
      <c r="Q119" s="6">
        <v>135.5</v>
      </c>
      <c r="R119" s="6">
        <v>135</v>
      </c>
      <c r="S119" s="6">
        <v>130.6</v>
      </c>
      <c r="T119" s="6">
        <v>134.4</v>
      </c>
      <c r="V119" s="6">
        <v>127</v>
      </c>
      <c r="W119" s="6">
        <v>128</v>
      </c>
      <c r="X119" s="6">
        <v>125.2</v>
      </c>
      <c r="Y119" s="6">
        <v>114.4</v>
      </c>
      <c r="Z119" s="6">
        <v>123.2</v>
      </c>
      <c r="AA119" s="6">
        <v>127.9</v>
      </c>
      <c r="AB119" s="6">
        <v>118.4</v>
      </c>
      <c r="AC119" s="6">
        <v>121.7</v>
      </c>
      <c r="AD119" s="6">
        <v>129</v>
      </c>
      <c r="AE119" s="6" t="str">
        <f t="shared" si="1"/>
        <v>Rural|2016|April</v>
      </c>
    </row>
    <row r="120" spans="1:31">
      <c r="A120" s="6" t="s">
        <v>51</v>
      </c>
      <c r="B120" s="6">
        <v>2016</v>
      </c>
      <c r="C120" s="6" t="s">
        <v>55</v>
      </c>
      <c r="D120" s="6">
        <v>124.9</v>
      </c>
      <c r="E120" s="6">
        <v>139.3</v>
      </c>
      <c r="F120" s="6">
        <v>119.9</v>
      </c>
      <c r="G120" s="6">
        <v>130.2</v>
      </c>
      <c r="H120" s="6">
        <v>108.9</v>
      </c>
      <c r="I120" s="6">
        <v>131.1</v>
      </c>
      <c r="J120" s="6">
        <v>136.8</v>
      </c>
      <c r="K120" s="6">
        <v>176.9</v>
      </c>
      <c r="L120" s="6">
        <v>109.1</v>
      </c>
      <c r="M120" s="6">
        <v>140.4</v>
      </c>
      <c r="N120" s="6">
        <v>121.1</v>
      </c>
      <c r="O120" s="6">
        <v>135.9</v>
      </c>
      <c r="P120" s="6">
        <v>131.8</v>
      </c>
      <c r="Q120" s="6">
        <v>141.5</v>
      </c>
      <c r="R120" s="6">
        <v>126.8</v>
      </c>
      <c r="S120" s="6">
        <v>120.5</v>
      </c>
      <c r="T120" s="6">
        <v>125.8</v>
      </c>
      <c r="U120" s="6">
        <v>125.6</v>
      </c>
      <c r="V120" s="6">
        <v>114.6</v>
      </c>
      <c r="W120" s="6">
        <v>122.8</v>
      </c>
      <c r="X120" s="6">
        <v>120</v>
      </c>
      <c r="Y120" s="6">
        <v>110</v>
      </c>
      <c r="Z120" s="6">
        <v>119.5</v>
      </c>
      <c r="AA120" s="6">
        <v>127.6</v>
      </c>
      <c r="AB120" s="6">
        <v>117.6</v>
      </c>
      <c r="AC120" s="6">
        <v>118.2</v>
      </c>
      <c r="AD120" s="6">
        <v>125.3</v>
      </c>
      <c r="AE120" s="6" t="str">
        <f t="shared" si="1"/>
        <v>Urban|2016|April</v>
      </c>
    </row>
    <row r="121" spans="1:31">
      <c r="A121" s="6" t="s">
        <v>52</v>
      </c>
      <c r="B121" s="6">
        <v>2016</v>
      </c>
      <c r="C121" s="6" t="s">
        <v>55</v>
      </c>
      <c r="D121" s="6">
        <v>126.6</v>
      </c>
      <c r="E121" s="6">
        <v>136.8</v>
      </c>
      <c r="F121" s="6">
        <v>122</v>
      </c>
      <c r="G121" s="6">
        <v>130.9</v>
      </c>
      <c r="H121" s="6">
        <v>114.8</v>
      </c>
      <c r="I121" s="6">
        <v>134.8</v>
      </c>
      <c r="J121" s="6">
        <v>135</v>
      </c>
      <c r="K121" s="6">
        <v>167.5</v>
      </c>
      <c r="L121" s="6">
        <v>106.4</v>
      </c>
      <c r="M121" s="6">
        <v>134.4</v>
      </c>
      <c r="N121" s="6">
        <v>123.6</v>
      </c>
      <c r="O121" s="6">
        <v>136.7</v>
      </c>
      <c r="P121" s="6">
        <v>131.8</v>
      </c>
      <c r="Q121" s="6">
        <v>137.1</v>
      </c>
      <c r="R121" s="6">
        <v>131.8</v>
      </c>
      <c r="S121" s="6">
        <v>126.4</v>
      </c>
      <c r="T121" s="6">
        <v>131</v>
      </c>
      <c r="U121" s="6">
        <v>125.6</v>
      </c>
      <c r="V121" s="6">
        <v>122.3</v>
      </c>
      <c r="W121" s="6">
        <v>125.5</v>
      </c>
      <c r="X121" s="6">
        <v>123.2</v>
      </c>
      <c r="Y121" s="6">
        <v>112.1</v>
      </c>
      <c r="Z121" s="6">
        <v>121.1</v>
      </c>
      <c r="AA121" s="6">
        <v>127.7</v>
      </c>
      <c r="AB121" s="6">
        <v>118.1</v>
      </c>
      <c r="AC121" s="6">
        <v>120</v>
      </c>
      <c r="AD121" s="6">
        <v>127.3</v>
      </c>
      <c r="AE121" s="6" t="str">
        <f t="shared" si="1"/>
        <v>Rural+Urban|2016|April</v>
      </c>
    </row>
    <row r="122" spans="1:31">
      <c r="A122" s="6" t="s">
        <v>49</v>
      </c>
      <c r="B122" s="6">
        <v>2016</v>
      </c>
      <c r="C122" s="6" t="s">
        <v>56</v>
      </c>
      <c r="D122" s="6">
        <v>127.6</v>
      </c>
      <c r="E122" s="6">
        <v>137.5</v>
      </c>
      <c r="F122" s="6">
        <v>124.4</v>
      </c>
      <c r="G122" s="6">
        <v>132.4</v>
      </c>
      <c r="H122" s="6">
        <v>118.2</v>
      </c>
      <c r="I122" s="6">
        <v>138.1</v>
      </c>
      <c r="J122" s="6">
        <v>141.8</v>
      </c>
      <c r="K122" s="6">
        <v>166</v>
      </c>
      <c r="L122" s="6">
        <v>107.5</v>
      </c>
      <c r="M122" s="6">
        <v>132.2</v>
      </c>
      <c r="N122" s="6">
        <v>126.1</v>
      </c>
      <c r="O122" s="6">
        <v>138.3</v>
      </c>
      <c r="P122" s="6">
        <v>133.6</v>
      </c>
      <c r="Q122" s="6">
        <v>136</v>
      </c>
      <c r="R122" s="6">
        <v>135.4</v>
      </c>
      <c r="S122" s="6">
        <v>131.1</v>
      </c>
      <c r="T122" s="6">
        <v>134.8</v>
      </c>
      <c r="V122" s="6">
        <v>127.4</v>
      </c>
      <c r="W122" s="6">
        <v>128.5</v>
      </c>
      <c r="X122" s="6">
        <v>125.8</v>
      </c>
      <c r="Y122" s="6">
        <v>115.1</v>
      </c>
      <c r="Z122" s="6">
        <v>123.6</v>
      </c>
      <c r="AA122" s="6">
        <v>129.1</v>
      </c>
      <c r="AB122" s="6">
        <v>119.7</v>
      </c>
      <c r="AC122" s="6">
        <v>122.5</v>
      </c>
      <c r="AD122" s="6">
        <v>130.3</v>
      </c>
      <c r="AE122" s="6" t="str">
        <f t="shared" si="1"/>
        <v>Rural|2016|May</v>
      </c>
    </row>
    <row r="123" spans="1:31">
      <c r="A123" s="6" t="s">
        <v>51</v>
      </c>
      <c r="B123" s="6">
        <v>2016</v>
      </c>
      <c r="C123" s="6" t="s">
        <v>56</v>
      </c>
      <c r="D123" s="6">
        <v>125</v>
      </c>
      <c r="E123" s="6">
        <v>142.1</v>
      </c>
      <c r="F123" s="6">
        <v>127</v>
      </c>
      <c r="G123" s="6">
        <v>130.4</v>
      </c>
      <c r="H123" s="6">
        <v>109.6</v>
      </c>
      <c r="I123" s="6">
        <v>133.5</v>
      </c>
      <c r="J123" s="6">
        <v>151.4</v>
      </c>
      <c r="K123" s="6">
        <v>182.8</v>
      </c>
      <c r="L123" s="6">
        <v>111.1</v>
      </c>
      <c r="M123" s="6">
        <v>141.5</v>
      </c>
      <c r="N123" s="6">
        <v>121.5</v>
      </c>
      <c r="O123" s="6">
        <v>136.3</v>
      </c>
      <c r="P123" s="6">
        <v>134.6</v>
      </c>
      <c r="Q123" s="6">
        <v>142.2</v>
      </c>
      <c r="R123" s="6">
        <v>127.2</v>
      </c>
      <c r="S123" s="6">
        <v>120.7</v>
      </c>
      <c r="T123" s="6">
        <v>126.2</v>
      </c>
      <c r="U123" s="6">
        <v>126</v>
      </c>
      <c r="V123" s="6">
        <v>115</v>
      </c>
      <c r="W123" s="6">
        <v>123.2</v>
      </c>
      <c r="X123" s="6">
        <v>120.3</v>
      </c>
      <c r="Y123" s="6">
        <v>110.7</v>
      </c>
      <c r="Z123" s="6">
        <v>119.8</v>
      </c>
      <c r="AA123" s="6">
        <v>128</v>
      </c>
      <c r="AB123" s="6">
        <v>118.5</v>
      </c>
      <c r="AC123" s="6">
        <v>118.7</v>
      </c>
      <c r="AD123" s="6">
        <v>126.6</v>
      </c>
      <c r="AE123" s="6" t="str">
        <f t="shared" si="1"/>
        <v>Urban|2016|May</v>
      </c>
    </row>
    <row r="124" spans="1:31">
      <c r="A124" s="6" t="s">
        <v>52</v>
      </c>
      <c r="B124" s="6">
        <v>2016</v>
      </c>
      <c r="C124" s="6" t="s">
        <v>56</v>
      </c>
      <c r="D124" s="6">
        <v>126.8</v>
      </c>
      <c r="E124" s="6">
        <v>139.1</v>
      </c>
      <c r="F124" s="6">
        <v>125.4</v>
      </c>
      <c r="G124" s="6">
        <v>131.7</v>
      </c>
      <c r="H124" s="6">
        <v>115</v>
      </c>
      <c r="I124" s="6">
        <v>136</v>
      </c>
      <c r="J124" s="6">
        <v>145.1</v>
      </c>
      <c r="K124" s="6">
        <v>171.7</v>
      </c>
      <c r="L124" s="6">
        <v>108.7</v>
      </c>
      <c r="M124" s="6">
        <v>135.3</v>
      </c>
      <c r="N124" s="6">
        <v>124.2</v>
      </c>
      <c r="O124" s="6">
        <v>137.4</v>
      </c>
      <c r="P124" s="6">
        <v>134</v>
      </c>
      <c r="Q124" s="6">
        <v>137.7</v>
      </c>
      <c r="R124" s="6">
        <v>132.2</v>
      </c>
      <c r="S124" s="6">
        <v>126.8</v>
      </c>
      <c r="T124" s="6">
        <v>131.4</v>
      </c>
      <c r="U124" s="6">
        <v>126</v>
      </c>
      <c r="V124" s="6">
        <v>122.7</v>
      </c>
      <c r="W124" s="6">
        <v>126</v>
      </c>
      <c r="X124" s="6">
        <v>123.7</v>
      </c>
      <c r="Y124" s="6">
        <v>112.8</v>
      </c>
      <c r="Z124" s="6">
        <v>121.5</v>
      </c>
      <c r="AA124" s="6">
        <v>128.5</v>
      </c>
      <c r="AB124" s="6">
        <v>119.2</v>
      </c>
      <c r="AC124" s="6">
        <v>120.7</v>
      </c>
      <c r="AD124" s="6">
        <v>128.6</v>
      </c>
      <c r="AE124" s="6" t="str">
        <f t="shared" si="1"/>
        <v>Rural+Urban|2016|May</v>
      </c>
    </row>
    <row r="125" spans="1:31">
      <c r="A125" s="6" t="s">
        <v>49</v>
      </c>
      <c r="B125" s="6">
        <v>2016</v>
      </c>
      <c r="C125" s="6" t="s">
        <v>57</v>
      </c>
      <c r="D125" s="6">
        <v>128.6</v>
      </c>
      <c r="E125" s="6">
        <v>138.6</v>
      </c>
      <c r="F125" s="6">
        <v>126.6</v>
      </c>
      <c r="G125" s="6">
        <v>133.6</v>
      </c>
      <c r="H125" s="6">
        <v>118.6</v>
      </c>
      <c r="I125" s="6">
        <v>137.4</v>
      </c>
      <c r="J125" s="6">
        <v>152.5</v>
      </c>
      <c r="K125" s="6">
        <v>169.2</v>
      </c>
      <c r="L125" s="6">
        <v>108.8</v>
      </c>
      <c r="M125" s="6">
        <v>133.1</v>
      </c>
      <c r="N125" s="6">
        <v>126.4</v>
      </c>
      <c r="O125" s="6">
        <v>139.2</v>
      </c>
      <c r="P125" s="6">
        <v>136</v>
      </c>
      <c r="Q125" s="6">
        <v>137.2</v>
      </c>
      <c r="R125" s="6">
        <v>136.3</v>
      </c>
      <c r="S125" s="6">
        <v>131.6</v>
      </c>
      <c r="T125" s="6">
        <v>135.6</v>
      </c>
      <c r="V125" s="6">
        <v>128</v>
      </c>
      <c r="W125" s="6">
        <v>129.3</v>
      </c>
      <c r="X125" s="6">
        <v>126.2</v>
      </c>
      <c r="Y125" s="6">
        <v>116.3</v>
      </c>
      <c r="Z125" s="6">
        <v>124.1</v>
      </c>
      <c r="AA125" s="6">
        <v>130.2</v>
      </c>
      <c r="AB125" s="6">
        <v>119.9</v>
      </c>
      <c r="AC125" s="6">
        <v>123.3</v>
      </c>
      <c r="AD125" s="6">
        <v>131.9</v>
      </c>
      <c r="AE125" s="6" t="str">
        <f t="shared" si="1"/>
        <v>Rural|2016|June</v>
      </c>
    </row>
    <row r="126" spans="1:31">
      <c r="A126" s="6" t="s">
        <v>51</v>
      </c>
      <c r="B126" s="6">
        <v>2016</v>
      </c>
      <c r="C126" s="6" t="s">
        <v>57</v>
      </c>
      <c r="D126" s="6">
        <v>125.9</v>
      </c>
      <c r="E126" s="6">
        <v>143.9</v>
      </c>
      <c r="F126" s="6">
        <v>130.9</v>
      </c>
      <c r="G126" s="6">
        <v>131</v>
      </c>
      <c r="H126" s="6">
        <v>110.2</v>
      </c>
      <c r="I126" s="6">
        <v>135.5</v>
      </c>
      <c r="J126" s="6">
        <v>173.7</v>
      </c>
      <c r="K126" s="6">
        <v>184.4</v>
      </c>
      <c r="L126" s="6">
        <v>112</v>
      </c>
      <c r="M126" s="6">
        <v>142.8</v>
      </c>
      <c r="N126" s="6">
        <v>121.6</v>
      </c>
      <c r="O126" s="6">
        <v>136.9</v>
      </c>
      <c r="P126" s="6">
        <v>138.2</v>
      </c>
      <c r="Q126" s="6">
        <v>142.7</v>
      </c>
      <c r="R126" s="6">
        <v>127.6</v>
      </c>
      <c r="S126" s="6">
        <v>121.1</v>
      </c>
      <c r="T126" s="6">
        <v>126.6</v>
      </c>
      <c r="U126" s="6">
        <v>125.5</v>
      </c>
      <c r="V126" s="6">
        <v>115.5</v>
      </c>
      <c r="W126" s="6">
        <v>123.2</v>
      </c>
      <c r="X126" s="6">
        <v>120.6</v>
      </c>
      <c r="Y126" s="6">
        <v>112.3</v>
      </c>
      <c r="Z126" s="6">
        <v>119.9</v>
      </c>
      <c r="AA126" s="6">
        <v>129.3</v>
      </c>
      <c r="AB126" s="6">
        <v>118.8</v>
      </c>
      <c r="AC126" s="6">
        <v>119.6</v>
      </c>
      <c r="AD126" s="6">
        <v>128.1</v>
      </c>
      <c r="AE126" s="6" t="str">
        <f t="shared" si="1"/>
        <v>Urban|2016|June</v>
      </c>
    </row>
    <row r="127" spans="1:31">
      <c r="A127" s="6" t="s">
        <v>52</v>
      </c>
      <c r="B127" s="6">
        <v>2016</v>
      </c>
      <c r="C127" s="6" t="s">
        <v>57</v>
      </c>
      <c r="D127" s="6">
        <v>127.7</v>
      </c>
      <c r="E127" s="6">
        <v>140.5</v>
      </c>
      <c r="F127" s="6">
        <v>128.3</v>
      </c>
      <c r="G127" s="6">
        <v>132.6</v>
      </c>
      <c r="H127" s="6">
        <v>115.5</v>
      </c>
      <c r="I127" s="6">
        <v>136.5</v>
      </c>
      <c r="J127" s="6">
        <v>159.7</v>
      </c>
      <c r="K127" s="6">
        <v>174.3</v>
      </c>
      <c r="L127" s="6">
        <v>109.9</v>
      </c>
      <c r="M127" s="6">
        <v>136.3</v>
      </c>
      <c r="N127" s="6">
        <v>124.4</v>
      </c>
      <c r="O127" s="6">
        <v>138.1</v>
      </c>
      <c r="P127" s="6">
        <v>136.8</v>
      </c>
      <c r="Q127" s="6">
        <v>138.7</v>
      </c>
      <c r="R127" s="6">
        <v>132.9</v>
      </c>
      <c r="S127" s="6">
        <v>127.2</v>
      </c>
      <c r="T127" s="6">
        <v>132</v>
      </c>
      <c r="U127" s="6">
        <v>125.5</v>
      </c>
      <c r="V127" s="6">
        <v>123.3</v>
      </c>
      <c r="W127" s="6">
        <v>126.4</v>
      </c>
      <c r="X127" s="6">
        <v>124.1</v>
      </c>
      <c r="Y127" s="6">
        <v>114.2</v>
      </c>
      <c r="Z127" s="6">
        <v>121.7</v>
      </c>
      <c r="AA127" s="6">
        <v>129.7</v>
      </c>
      <c r="AB127" s="6">
        <v>119.4</v>
      </c>
      <c r="AC127" s="6">
        <v>121.5</v>
      </c>
      <c r="AD127" s="6">
        <v>130.1</v>
      </c>
      <c r="AE127" s="6" t="str">
        <f t="shared" si="1"/>
        <v>Rural+Urban|2016|June</v>
      </c>
    </row>
    <row r="128" spans="1:31">
      <c r="A128" s="6" t="s">
        <v>49</v>
      </c>
      <c r="B128" s="6">
        <v>2016</v>
      </c>
      <c r="C128" s="6" t="s">
        <v>58</v>
      </c>
      <c r="D128" s="6">
        <v>129.3</v>
      </c>
      <c r="E128" s="6">
        <v>139.5</v>
      </c>
      <c r="F128" s="6">
        <v>129.6</v>
      </c>
      <c r="G128" s="6">
        <v>134.5</v>
      </c>
      <c r="H128" s="6">
        <v>119.5</v>
      </c>
      <c r="I128" s="6">
        <v>138.5</v>
      </c>
      <c r="J128" s="6">
        <v>158.2</v>
      </c>
      <c r="K128" s="6">
        <v>171.8</v>
      </c>
      <c r="L128" s="6">
        <v>110.3</v>
      </c>
      <c r="M128" s="6">
        <v>134.3</v>
      </c>
      <c r="N128" s="6">
        <v>127.3</v>
      </c>
      <c r="O128" s="6">
        <v>139.9</v>
      </c>
      <c r="P128" s="6">
        <v>137.6</v>
      </c>
      <c r="Q128" s="6">
        <v>138</v>
      </c>
      <c r="R128" s="6">
        <v>137.2</v>
      </c>
      <c r="S128" s="6">
        <v>132.2</v>
      </c>
      <c r="T128" s="6">
        <v>136.5</v>
      </c>
      <c r="V128" s="6">
        <v>128.2</v>
      </c>
      <c r="W128" s="6">
        <v>130</v>
      </c>
      <c r="X128" s="6">
        <v>126.7</v>
      </c>
      <c r="Y128" s="6">
        <v>116.4</v>
      </c>
      <c r="Z128" s="6">
        <v>125.2</v>
      </c>
      <c r="AA128" s="6">
        <v>130.8</v>
      </c>
      <c r="AB128" s="6">
        <v>120.9</v>
      </c>
      <c r="AC128" s="6">
        <v>123.8</v>
      </c>
      <c r="AD128" s="6">
        <v>133</v>
      </c>
      <c r="AE128" s="6" t="str">
        <f t="shared" si="1"/>
        <v>Rural|2016|July</v>
      </c>
    </row>
    <row r="129" spans="1:31">
      <c r="A129" s="6" t="s">
        <v>51</v>
      </c>
      <c r="B129" s="6">
        <v>2016</v>
      </c>
      <c r="C129" s="6" t="s">
        <v>58</v>
      </c>
      <c r="D129" s="6">
        <v>126.8</v>
      </c>
      <c r="E129" s="6">
        <v>144.2</v>
      </c>
      <c r="F129" s="6">
        <v>136.6</v>
      </c>
      <c r="G129" s="6">
        <v>131.8</v>
      </c>
      <c r="H129" s="6">
        <v>111</v>
      </c>
      <c r="I129" s="6">
        <v>137</v>
      </c>
      <c r="J129" s="6">
        <v>179.5</v>
      </c>
      <c r="K129" s="6">
        <v>188.4</v>
      </c>
      <c r="L129" s="6">
        <v>113.3</v>
      </c>
      <c r="M129" s="6">
        <v>143.9</v>
      </c>
      <c r="N129" s="6">
        <v>121.7</v>
      </c>
      <c r="O129" s="6">
        <v>137.5</v>
      </c>
      <c r="P129" s="6">
        <v>139.8</v>
      </c>
      <c r="Q129" s="6">
        <v>142.9</v>
      </c>
      <c r="R129" s="6">
        <v>127.9</v>
      </c>
      <c r="S129" s="6">
        <v>121.1</v>
      </c>
      <c r="T129" s="6">
        <v>126.9</v>
      </c>
      <c r="U129" s="6">
        <v>126.4</v>
      </c>
      <c r="V129" s="6">
        <v>115.5</v>
      </c>
      <c r="W129" s="6">
        <v>123.5</v>
      </c>
      <c r="X129" s="6">
        <v>120.9</v>
      </c>
      <c r="Y129" s="6">
        <v>111.7</v>
      </c>
      <c r="Z129" s="6">
        <v>120.3</v>
      </c>
      <c r="AA129" s="6">
        <v>130.8</v>
      </c>
      <c r="AB129" s="6">
        <v>120</v>
      </c>
      <c r="AC129" s="6">
        <v>119.9</v>
      </c>
      <c r="AD129" s="6">
        <v>129</v>
      </c>
      <c r="AE129" s="6" t="str">
        <f t="shared" si="1"/>
        <v>Urban|2016|July</v>
      </c>
    </row>
    <row r="130" spans="1:31">
      <c r="A130" s="6" t="s">
        <v>52</v>
      </c>
      <c r="B130" s="6">
        <v>2016</v>
      </c>
      <c r="C130" s="6" t="s">
        <v>58</v>
      </c>
      <c r="D130" s="6">
        <v>128.5</v>
      </c>
      <c r="E130" s="6">
        <v>141.2</v>
      </c>
      <c r="F130" s="6">
        <v>132.3</v>
      </c>
      <c r="G130" s="6">
        <v>133.5</v>
      </c>
      <c r="H130" s="6">
        <v>116.4</v>
      </c>
      <c r="I130" s="6">
        <v>137.8</v>
      </c>
      <c r="J130" s="6">
        <v>165.4</v>
      </c>
      <c r="K130" s="6">
        <v>177.4</v>
      </c>
      <c r="L130" s="6">
        <v>111.3</v>
      </c>
      <c r="M130" s="6">
        <v>137.5</v>
      </c>
      <c r="N130" s="6">
        <v>125</v>
      </c>
      <c r="O130" s="6">
        <v>138.8</v>
      </c>
      <c r="P130" s="6">
        <v>138.4</v>
      </c>
      <c r="Q130" s="6">
        <v>139.3</v>
      </c>
      <c r="R130" s="6">
        <v>133.5</v>
      </c>
      <c r="S130" s="6">
        <v>127.6</v>
      </c>
      <c r="T130" s="6">
        <v>132.7</v>
      </c>
      <c r="U130" s="6">
        <v>126.4</v>
      </c>
      <c r="V130" s="6">
        <v>123.4</v>
      </c>
      <c r="W130" s="6">
        <v>126.9</v>
      </c>
      <c r="X130" s="6">
        <v>124.5</v>
      </c>
      <c r="Y130" s="6">
        <v>113.9</v>
      </c>
      <c r="Z130" s="6">
        <v>122.4</v>
      </c>
      <c r="AA130" s="6">
        <v>130.8</v>
      </c>
      <c r="AB130" s="6">
        <v>120.5</v>
      </c>
      <c r="AC130" s="6">
        <v>121.9</v>
      </c>
      <c r="AD130" s="6">
        <v>131.1</v>
      </c>
      <c r="AE130" s="6" t="str">
        <f t="shared" ref="AE130:AE193" si="2">A130&amp;"|"&amp;B130&amp;"|"&amp;C130</f>
        <v>Rural+Urban|2016|July</v>
      </c>
    </row>
    <row r="131" spans="1:31">
      <c r="A131" s="6" t="s">
        <v>49</v>
      </c>
      <c r="B131" s="6">
        <v>2016</v>
      </c>
      <c r="C131" s="6" t="s">
        <v>59</v>
      </c>
      <c r="D131" s="6">
        <v>130.1</v>
      </c>
      <c r="E131" s="6">
        <v>138.8</v>
      </c>
      <c r="F131" s="6">
        <v>130.3</v>
      </c>
      <c r="G131" s="6">
        <v>135.3</v>
      </c>
      <c r="H131" s="6">
        <v>119.9</v>
      </c>
      <c r="I131" s="6">
        <v>140.2</v>
      </c>
      <c r="J131" s="6">
        <v>156.9</v>
      </c>
      <c r="K131" s="6">
        <v>172.2</v>
      </c>
      <c r="L131" s="6">
        <v>112.1</v>
      </c>
      <c r="M131" s="6">
        <v>134.9</v>
      </c>
      <c r="N131" s="6">
        <v>128.1</v>
      </c>
      <c r="O131" s="6">
        <v>140.7</v>
      </c>
      <c r="P131" s="6">
        <v>138</v>
      </c>
      <c r="Q131" s="6">
        <v>138.9</v>
      </c>
      <c r="R131" s="6">
        <v>137.8</v>
      </c>
      <c r="S131" s="6">
        <v>133</v>
      </c>
      <c r="T131" s="6">
        <v>137.1</v>
      </c>
      <c r="V131" s="6">
        <v>129.1</v>
      </c>
      <c r="W131" s="6">
        <v>130.6</v>
      </c>
      <c r="X131" s="6">
        <v>127</v>
      </c>
      <c r="Y131" s="6">
        <v>116</v>
      </c>
      <c r="Z131" s="6">
        <v>125.5</v>
      </c>
      <c r="AA131" s="6">
        <v>131.9</v>
      </c>
      <c r="AB131" s="6">
        <v>122</v>
      </c>
      <c r="AC131" s="6">
        <v>124.2</v>
      </c>
      <c r="AD131" s="6">
        <v>133.5</v>
      </c>
      <c r="AE131" s="6" t="str">
        <f t="shared" si="2"/>
        <v>Rural|2016|August</v>
      </c>
    </row>
    <row r="132" spans="1:31">
      <c r="A132" s="6" t="s">
        <v>51</v>
      </c>
      <c r="B132" s="6">
        <v>2016</v>
      </c>
      <c r="C132" s="6" t="s">
        <v>59</v>
      </c>
      <c r="D132" s="6">
        <v>127.6</v>
      </c>
      <c r="E132" s="6">
        <v>140.3</v>
      </c>
      <c r="F132" s="6">
        <v>133.7</v>
      </c>
      <c r="G132" s="6">
        <v>132.2</v>
      </c>
      <c r="H132" s="6">
        <v>111.8</v>
      </c>
      <c r="I132" s="6">
        <v>135.8</v>
      </c>
      <c r="J132" s="6">
        <v>163.5</v>
      </c>
      <c r="K132" s="6">
        <v>182.3</v>
      </c>
      <c r="L132" s="6">
        <v>114.6</v>
      </c>
      <c r="M132" s="6">
        <v>144.6</v>
      </c>
      <c r="N132" s="6">
        <v>121.9</v>
      </c>
      <c r="O132" s="6">
        <v>138.1</v>
      </c>
      <c r="P132" s="6">
        <v>137.6</v>
      </c>
      <c r="Q132" s="6">
        <v>143.6</v>
      </c>
      <c r="R132" s="6">
        <v>128.3</v>
      </c>
      <c r="S132" s="6">
        <v>121.4</v>
      </c>
      <c r="T132" s="6">
        <v>127.3</v>
      </c>
      <c r="U132" s="6">
        <v>127.3</v>
      </c>
      <c r="V132" s="6">
        <v>114.7</v>
      </c>
      <c r="W132" s="6">
        <v>123.9</v>
      </c>
      <c r="X132" s="6">
        <v>121.2</v>
      </c>
      <c r="Y132" s="6">
        <v>110.4</v>
      </c>
      <c r="Z132" s="6">
        <v>120.6</v>
      </c>
      <c r="AA132" s="6">
        <v>131.5</v>
      </c>
      <c r="AB132" s="6">
        <v>120.9</v>
      </c>
      <c r="AC132" s="6">
        <v>119.9</v>
      </c>
      <c r="AD132" s="6">
        <v>128.4</v>
      </c>
      <c r="AE132" s="6" t="str">
        <f t="shared" si="2"/>
        <v>Urban|2016|August</v>
      </c>
    </row>
    <row r="133" spans="1:31">
      <c r="A133" s="6" t="s">
        <v>52</v>
      </c>
      <c r="B133" s="6">
        <v>2016</v>
      </c>
      <c r="C133" s="6" t="s">
        <v>59</v>
      </c>
      <c r="D133" s="6">
        <v>129.3</v>
      </c>
      <c r="E133" s="6">
        <v>139.3</v>
      </c>
      <c r="F133" s="6">
        <v>131.6</v>
      </c>
      <c r="G133" s="6">
        <v>134.1</v>
      </c>
      <c r="H133" s="6">
        <v>116.9</v>
      </c>
      <c r="I133" s="6">
        <v>138.1</v>
      </c>
      <c r="J133" s="6">
        <v>159.1</v>
      </c>
      <c r="K133" s="6">
        <v>175.6</v>
      </c>
      <c r="L133" s="6">
        <v>112.9</v>
      </c>
      <c r="M133" s="6">
        <v>138.1</v>
      </c>
      <c r="N133" s="6">
        <v>125.5</v>
      </c>
      <c r="O133" s="6">
        <v>139.5</v>
      </c>
      <c r="P133" s="6">
        <v>137.9</v>
      </c>
      <c r="Q133" s="6">
        <v>140.2</v>
      </c>
      <c r="R133" s="6">
        <v>134.1</v>
      </c>
      <c r="S133" s="6">
        <v>128.2</v>
      </c>
      <c r="T133" s="6">
        <v>133.2</v>
      </c>
      <c r="U133" s="6">
        <v>127.3</v>
      </c>
      <c r="V133" s="6">
        <v>123.6</v>
      </c>
      <c r="W133" s="6">
        <v>127.4</v>
      </c>
      <c r="X133" s="6">
        <v>124.8</v>
      </c>
      <c r="Y133" s="6">
        <v>113.1</v>
      </c>
      <c r="Z133" s="6">
        <v>122.7</v>
      </c>
      <c r="AA133" s="6">
        <v>131.7</v>
      </c>
      <c r="AB133" s="6">
        <v>121.5</v>
      </c>
      <c r="AC133" s="6">
        <v>122.1</v>
      </c>
      <c r="AD133" s="6">
        <v>131.1</v>
      </c>
      <c r="AE133" s="6" t="str">
        <f t="shared" si="2"/>
        <v>Rural+Urban|2016|August</v>
      </c>
    </row>
    <row r="134" spans="1:31">
      <c r="A134" s="6" t="s">
        <v>49</v>
      </c>
      <c r="B134" s="6">
        <v>2016</v>
      </c>
      <c r="C134" s="6" t="s">
        <v>60</v>
      </c>
      <c r="D134" s="6">
        <v>130.8</v>
      </c>
      <c r="E134" s="6">
        <v>138.2</v>
      </c>
      <c r="F134" s="6">
        <v>130.5</v>
      </c>
      <c r="G134" s="6">
        <v>135.5</v>
      </c>
      <c r="H134" s="6">
        <v>120.2</v>
      </c>
      <c r="I134" s="6">
        <v>139.2</v>
      </c>
      <c r="J134" s="6">
        <v>149.5</v>
      </c>
      <c r="K134" s="6">
        <v>170.4</v>
      </c>
      <c r="L134" s="6">
        <v>113.1</v>
      </c>
      <c r="M134" s="6">
        <v>135.8</v>
      </c>
      <c r="N134" s="6">
        <v>128.8</v>
      </c>
      <c r="O134" s="6">
        <v>141.5</v>
      </c>
      <c r="P134" s="6">
        <v>137.2</v>
      </c>
      <c r="Q134" s="6">
        <v>139.9</v>
      </c>
      <c r="R134" s="6">
        <v>138.5</v>
      </c>
      <c r="S134" s="6">
        <v>133.5</v>
      </c>
      <c r="T134" s="6">
        <v>137.8</v>
      </c>
      <c r="V134" s="6">
        <v>129.7</v>
      </c>
      <c r="W134" s="6">
        <v>131.1</v>
      </c>
      <c r="X134" s="6">
        <v>127.8</v>
      </c>
      <c r="Y134" s="6">
        <v>117</v>
      </c>
      <c r="Z134" s="6">
        <v>125.7</v>
      </c>
      <c r="AA134" s="6">
        <v>132.2</v>
      </c>
      <c r="AB134" s="6">
        <v>122.8</v>
      </c>
      <c r="AC134" s="6">
        <v>124.9</v>
      </c>
      <c r="AD134" s="6">
        <v>133.4</v>
      </c>
      <c r="AE134" s="6" t="str">
        <f t="shared" si="2"/>
        <v>Rural|2016|September</v>
      </c>
    </row>
    <row r="135" spans="1:31">
      <c r="A135" s="6" t="s">
        <v>51</v>
      </c>
      <c r="B135" s="6">
        <v>2016</v>
      </c>
      <c r="C135" s="6" t="s">
        <v>60</v>
      </c>
      <c r="D135" s="6">
        <v>128.1</v>
      </c>
      <c r="E135" s="6">
        <v>137.7</v>
      </c>
      <c r="F135" s="6">
        <v>130.6</v>
      </c>
      <c r="G135" s="6">
        <v>132.6</v>
      </c>
      <c r="H135" s="6">
        <v>111.9</v>
      </c>
      <c r="I135" s="6">
        <v>132.5</v>
      </c>
      <c r="J135" s="6">
        <v>152.9</v>
      </c>
      <c r="K135" s="6">
        <v>173.6</v>
      </c>
      <c r="L135" s="6">
        <v>115.1</v>
      </c>
      <c r="M135" s="6">
        <v>144.8</v>
      </c>
      <c r="N135" s="6">
        <v>122.1</v>
      </c>
      <c r="O135" s="6">
        <v>138.8</v>
      </c>
      <c r="P135" s="6">
        <v>135.7</v>
      </c>
      <c r="Q135" s="6">
        <v>143.9</v>
      </c>
      <c r="R135" s="6">
        <v>128.7</v>
      </c>
      <c r="S135" s="6">
        <v>121.6</v>
      </c>
      <c r="T135" s="6">
        <v>127.7</v>
      </c>
      <c r="U135" s="6">
        <v>127.9</v>
      </c>
      <c r="V135" s="6">
        <v>114.8</v>
      </c>
      <c r="W135" s="6">
        <v>124.3</v>
      </c>
      <c r="X135" s="6">
        <v>121.4</v>
      </c>
      <c r="Y135" s="6">
        <v>111.8</v>
      </c>
      <c r="Z135" s="6">
        <v>120.8</v>
      </c>
      <c r="AA135" s="6">
        <v>131.6</v>
      </c>
      <c r="AB135" s="6">
        <v>121.2</v>
      </c>
      <c r="AC135" s="6">
        <v>120.5</v>
      </c>
      <c r="AD135" s="6">
        <v>128</v>
      </c>
      <c r="AE135" s="6" t="str">
        <f t="shared" si="2"/>
        <v>Urban|2016|September</v>
      </c>
    </row>
    <row r="136" spans="1:31">
      <c r="A136" s="6" t="s">
        <v>52</v>
      </c>
      <c r="B136" s="6">
        <v>2016</v>
      </c>
      <c r="C136" s="6" t="s">
        <v>60</v>
      </c>
      <c r="D136" s="6">
        <v>129.9</v>
      </c>
      <c r="E136" s="6">
        <v>138</v>
      </c>
      <c r="F136" s="6">
        <v>130.5</v>
      </c>
      <c r="G136" s="6">
        <v>134.4</v>
      </c>
      <c r="H136" s="6">
        <v>117.2</v>
      </c>
      <c r="I136" s="6">
        <v>136.1</v>
      </c>
      <c r="J136" s="6">
        <v>150.7</v>
      </c>
      <c r="K136" s="6">
        <v>171.5</v>
      </c>
      <c r="L136" s="6">
        <v>113.8</v>
      </c>
      <c r="M136" s="6">
        <v>138.8</v>
      </c>
      <c r="N136" s="6">
        <v>126</v>
      </c>
      <c r="O136" s="6">
        <v>140.2</v>
      </c>
      <c r="P136" s="6">
        <v>136.6</v>
      </c>
      <c r="Q136" s="6">
        <v>141</v>
      </c>
      <c r="R136" s="6">
        <v>134.6</v>
      </c>
      <c r="S136" s="6">
        <v>128.6</v>
      </c>
      <c r="T136" s="6">
        <v>133.8</v>
      </c>
      <c r="U136" s="6">
        <v>127.9</v>
      </c>
      <c r="V136" s="6">
        <v>124.1</v>
      </c>
      <c r="W136" s="6">
        <v>127.9</v>
      </c>
      <c r="X136" s="6">
        <v>125.4</v>
      </c>
      <c r="Y136" s="6">
        <v>114.3</v>
      </c>
      <c r="Z136" s="6">
        <v>122.9</v>
      </c>
      <c r="AA136" s="6">
        <v>131.8</v>
      </c>
      <c r="AB136" s="6">
        <v>122.1</v>
      </c>
      <c r="AC136" s="6">
        <v>122.8</v>
      </c>
      <c r="AD136" s="6">
        <v>130.9</v>
      </c>
      <c r="AE136" s="6" t="str">
        <f t="shared" si="2"/>
        <v>Rural+Urban|2016|September</v>
      </c>
    </row>
    <row r="137" spans="1:31">
      <c r="A137" s="6" t="s">
        <v>49</v>
      </c>
      <c r="B137" s="6">
        <v>2016</v>
      </c>
      <c r="C137" s="6" t="s">
        <v>61</v>
      </c>
      <c r="D137" s="6">
        <v>131.3</v>
      </c>
      <c r="E137" s="6">
        <v>137.6</v>
      </c>
      <c r="F137" s="6">
        <v>130.1</v>
      </c>
      <c r="G137" s="6">
        <v>136</v>
      </c>
      <c r="H137" s="6">
        <v>120.8</v>
      </c>
      <c r="I137" s="6">
        <v>138.4</v>
      </c>
      <c r="J137" s="6">
        <v>149.2</v>
      </c>
      <c r="K137" s="6">
        <v>170.2</v>
      </c>
      <c r="L137" s="6">
        <v>113.4</v>
      </c>
      <c r="M137" s="6">
        <v>136.3</v>
      </c>
      <c r="N137" s="6">
        <v>128.7</v>
      </c>
      <c r="O137" s="6">
        <v>142.4</v>
      </c>
      <c r="P137" s="6">
        <v>137.4</v>
      </c>
      <c r="Q137" s="6">
        <v>140.9</v>
      </c>
      <c r="R137" s="6">
        <v>139.6</v>
      </c>
      <c r="S137" s="6">
        <v>134.3</v>
      </c>
      <c r="T137" s="6">
        <v>138.8</v>
      </c>
      <c r="V137" s="6">
        <v>129.8</v>
      </c>
      <c r="W137" s="6">
        <v>131.8</v>
      </c>
      <c r="X137" s="6">
        <v>128.7</v>
      </c>
      <c r="Y137" s="6">
        <v>117.8</v>
      </c>
      <c r="Z137" s="6">
        <v>126.5</v>
      </c>
      <c r="AA137" s="6">
        <v>133</v>
      </c>
      <c r="AB137" s="6">
        <v>123</v>
      </c>
      <c r="AC137" s="6">
        <v>125.7</v>
      </c>
      <c r="AD137" s="6">
        <v>133.8</v>
      </c>
      <c r="AE137" s="6" t="str">
        <f t="shared" si="2"/>
        <v>Rural|2016|October</v>
      </c>
    </row>
    <row r="138" spans="1:31">
      <c r="A138" s="6" t="s">
        <v>51</v>
      </c>
      <c r="B138" s="6">
        <v>2016</v>
      </c>
      <c r="C138" s="6" t="s">
        <v>61</v>
      </c>
      <c r="D138" s="6">
        <v>128.7</v>
      </c>
      <c r="E138" s="6">
        <v>138.4</v>
      </c>
      <c r="F138" s="6">
        <v>130.3</v>
      </c>
      <c r="G138" s="6">
        <v>132.7</v>
      </c>
      <c r="H138" s="6">
        <v>112.5</v>
      </c>
      <c r="I138" s="6">
        <v>130.4</v>
      </c>
      <c r="J138" s="6">
        <v>155.1</v>
      </c>
      <c r="K138" s="6">
        <v>175.7</v>
      </c>
      <c r="L138" s="6">
        <v>115.4</v>
      </c>
      <c r="M138" s="6">
        <v>145.3</v>
      </c>
      <c r="N138" s="6">
        <v>122.5</v>
      </c>
      <c r="O138" s="6">
        <v>139.6</v>
      </c>
      <c r="P138" s="6">
        <v>136.3</v>
      </c>
      <c r="Q138" s="6">
        <v>144.3</v>
      </c>
      <c r="R138" s="6">
        <v>129.1</v>
      </c>
      <c r="S138" s="6">
        <v>121.9</v>
      </c>
      <c r="T138" s="6">
        <v>128</v>
      </c>
      <c r="U138" s="6">
        <v>128.7</v>
      </c>
      <c r="V138" s="6">
        <v>115.2</v>
      </c>
      <c r="W138" s="6">
        <v>124.5</v>
      </c>
      <c r="X138" s="6">
        <v>121.8</v>
      </c>
      <c r="Y138" s="6">
        <v>112.8</v>
      </c>
      <c r="Z138" s="6">
        <v>121.2</v>
      </c>
      <c r="AA138" s="6">
        <v>131.9</v>
      </c>
      <c r="AB138" s="6">
        <v>120.8</v>
      </c>
      <c r="AC138" s="6">
        <v>120.9</v>
      </c>
      <c r="AD138" s="6">
        <v>128.6</v>
      </c>
      <c r="AE138" s="6" t="str">
        <f t="shared" si="2"/>
        <v>Urban|2016|October</v>
      </c>
    </row>
    <row r="139" spans="1:31">
      <c r="A139" s="6" t="s">
        <v>52</v>
      </c>
      <c r="B139" s="6">
        <v>2016</v>
      </c>
      <c r="C139" s="6" t="s">
        <v>61</v>
      </c>
      <c r="D139" s="6">
        <v>130.5</v>
      </c>
      <c r="E139" s="6">
        <v>137.9</v>
      </c>
      <c r="F139" s="6">
        <v>130.2</v>
      </c>
      <c r="G139" s="6">
        <v>134.8</v>
      </c>
      <c r="H139" s="6">
        <v>117.8</v>
      </c>
      <c r="I139" s="6">
        <v>134.7</v>
      </c>
      <c r="J139" s="6">
        <v>151.2</v>
      </c>
      <c r="K139" s="6">
        <v>172.1</v>
      </c>
      <c r="L139" s="6">
        <v>114.1</v>
      </c>
      <c r="M139" s="6">
        <v>139.3</v>
      </c>
      <c r="N139" s="6">
        <v>126.1</v>
      </c>
      <c r="O139" s="6">
        <v>141.1</v>
      </c>
      <c r="P139" s="6">
        <v>137</v>
      </c>
      <c r="Q139" s="6">
        <v>141.8</v>
      </c>
      <c r="R139" s="6">
        <v>135.5</v>
      </c>
      <c r="S139" s="6">
        <v>129.1</v>
      </c>
      <c r="T139" s="6">
        <v>134.5</v>
      </c>
      <c r="U139" s="6">
        <v>128.7</v>
      </c>
      <c r="V139" s="6">
        <v>124.3</v>
      </c>
      <c r="W139" s="6">
        <v>128.4</v>
      </c>
      <c r="X139" s="6">
        <v>126.1</v>
      </c>
      <c r="Y139" s="6">
        <v>115.2</v>
      </c>
      <c r="Z139" s="6">
        <v>123.5</v>
      </c>
      <c r="AA139" s="6">
        <v>132.4</v>
      </c>
      <c r="AB139" s="6">
        <v>122.1</v>
      </c>
      <c r="AC139" s="6">
        <v>123.4</v>
      </c>
      <c r="AD139" s="6">
        <v>131.4</v>
      </c>
      <c r="AE139" s="6" t="str">
        <f t="shared" si="2"/>
        <v>Rural+Urban|2016|October</v>
      </c>
    </row>
    <row r="140" spans="1:31">
      <c r="A140" s="6" t="s">
        <v>49</v>
      </c>
      <c r="B140" s="6">
        <v>2016</v>
      </c>
      <c r="C140" s="6" t="s">
        <v>62</v>
      </c>
      <c r="D140" s="6">
        <v>132</v>
      </c>
      <c r="E140" s="6">
        <v>137.4</v>
      </c>
      <c r="F140" s="6">
        <v>130.6</v>
      </c>
      <c r="G140" s="6">
        <v>136.2</v>
      </c>
      <c r="H140" s="6">
        <v>121.1</v>
      </c>
      <c r="I140" s="6">
        <v>136.9</v>
      </c>
      <c r="J140" s="6">
        <v>141.8</v>
      </c>
      <c r="K140" s="6">
        <v>170</v>
      </c>
      <c r="L140" s="6">
        <v>113.4</v>
      </c>
      <c r="M140" s="6">
        <v>136.8</v>
      </c>
      <c r="N140" s="6">
        <v>128.7</v>
      </c>
      <c r="O140" s="6">
        <v>143.1</v>
      </c>
      <c r="P140" s="6">
        <v>136.6</v>
      </c>
      <c r="Q140" s="6">
        <v>141.2</v>
      </c>
      <c r="R140" s="6">
        <v>139.9</v>
      </c>
      <c r="S140" s="6">
        <v>134.5</v>
      </c>
      <c r="T140" s="6">
        <v>139.2</v>
      </c>
      <c r="V140" s="6">
        <v>130.3</v>
      </c>
      <c r="W140" s="6">
        <v>132.1</v>
      </c>
      <c r="X140" s="6">
        <v>129.1</v>
      </c>
      <c r="Y140" s="6">
        <v>118.2</v>
      </c>
      <c r="Z140" s="6">
        <v>126.9</v>
      </c>
      <c r="AA140" s="6">
        <v>133.7</v>
      </c>
      <c r="AB140" s="6">
        <v>123.5</v>
      </c>
      <c r="AC140" s="6">
        <v>126.1</v>
      </c>
      <c r="AD140" s="6">
        <v>133.6</v>
      </c>
      <c r="AE140" s="6" t="str">
        <f t="shared" si="2"/>
        <v>Rural|2016|November</v>
      </c>
    </row>
    <row r="141" spans="1:31">
      <c r="A141" s="6" t="s">
        <v>51</v>
      </c>
      <c r="B141" s="6">
        <v>2016</v>
      </c>
      <c r="C141" s="6" t="s">
        <v>62</v>
      </c>
      <c r="D141" s="6">
        <v>130.2</v>
      </c>
      <c r="E141" s="6">
        <v>138.5</v>
      </c>
      <c r="F141" s="6">
        <v>134.1</v>
      </c>
      <c r="G141" s="6">
        <v>132.9</v>
      </c>
      <c r="H141" s="6">
        <v>112.6</v>
      </c>
      <c r="I141" s="6">
        <v>130.8</v>
      </c>
      <c r="J141" s="6">
        <v>142</v>
      </c>
      <c r="K141" s="6">
        <v>174.9</v>
      </c>
      <c r="L141" s="6">
        <v>115.6</v>
      </c>
      <c r="M141" s="6">
        <v>145.4</v>
      </c>
      <c r="N141" s="6">
        <v>122.7</v>
      </c>
      <c r="O141" s="6">
        <v>140.3</v>
      </c>
      <c r="P141" s="6">
        <v>135.2</v>
      </c>
      <c r="Q141" s="6">
        <v>144.3</v>
      </c>
      <c r="R141" s="6">
        <v>129.6</v>
      </c>
      <c r="S141" s="6">
        <v>122.1</v>
      </c>
      <c r="T141" s="6">
        <v>128.5</v>
      </c>
      <c r="U141" s="6">
        <v>129.1</v>
      </c>
      <c r="V141" s="6">
        <v>116.2</v>
      </c>
      <c r="W141" s="6">
        <v>124.7</v>
      </c>
      <c r="X141" s="6">
        <v>122.1</v>
      </c>
      <c r="Y141" s="6">
        <v>113.4</v>
      </c>
      <c r="Z141" s="6">
        <v>121.7</v>
      </c>
      <c r="AA141" s="6">
        <v>132.1</v>
      </c>
      <c r="AB141" s="6">
        <v>121.3</v>
      </c>
      <c r="AC141" s="6">
        <v>121.3</v>
      </c>
      <c r="AD141" s="6">
        <v>128.5</v>
      </c>
      <c r="AE141" s="6" t="str">
        <f t="shared" si="2"/>
        <v>Urban|2016|November</v>
      </c>
    </row>
    <row r="142" spans="1:31">
      <c r="A142" s="6" t="s">
        <v>52</v>
      </c>
      <c r="B142" s="6">
        <v>2016</v>
      </c>
      <c r="C142" s="6" t="s">
        <v>62</v>
      </c>
      <c r="D142" s="6">
        <v>131.4</v>
      </c>
      <c r="E142" s="6">
        <v>137.8</v>
      </c>
      <c r="F142" s="6">
        <v>132</v>
      </c>
      <c r="G142" s="6">
        <v>135</v>
      </c>
      <c r="H142" s="6">
        <v>118</v>
      </c>
      <c r="I142" s="6">
        <v>134.1</v>
      </c>
      <c r="J142" s="6">
        <v>141.9</v>
      </c>
      <c r="K142" s="6">
        <v>171.7</v>
      </c>
      <c r="L142" s="6">
        <v>114.1</v>
      </c>
      <c r="M142" s="6">
        <v>139.7</v>
      </c>
      <c r="N142" s="6">
        <v>126.2</v>
      </c>
      <c r="O142" s="6">
        <v>141.8</v>
      </c>
      <c r="P142" s="6">
        <v>136.1</v>
      </c>
      <c r="Q142" s="6">
        <v>142</v>
      </c>
      <c r="R142" s="6">
        <v>135.8</v>
      </c>
      <c r="S142" s="6">
        <v>129.3</v>
      </c>
      <c r="T142" s="6">
        <v>135</v>
      </c>
      <c r="U142" s="6">
        <v>129.1</v>
      </c>
      <c r="V142" s="6">
        <v>125</v>
      </c>
      <c r="W142" s="6">
        <v>128.6</v>
      </c>
      <c r="X142" s="6">
        <v>126.4</v>
      </c>
      <c r="Y142" s="6">
        <v>115.7</v>
      </c>
      <c r="Z142" s="6">
        <v>124</v>
      </c>
      <c r="AA142" s="6">
        <v>132.8</v>
      </c>
      <c r="AB142" s="6">
        <v>122.6</v>
      </c>
      <c r="AC142" s="6">
        <v>123.8</v>
      </c>
      <c r="AD142" s="6">
        <v>131.2</v>
      </c>
      <c r="AE142" s="6" t="str">
        <f t="shared" si="2"/>
        <v>Rural+Urban|2016|November</v>
      </c>
    </row>
    <row r="143" spans="1:31">
      <c r="A143" s="6" t="s">
        <v>49</v>
      </c>
      <c r="B143" s="6">
        <v>2016</v>
      </c>
      <c r="C143" s="6" t="s">
        <v>63</v>
      </c>
      <c r="D143" s="6">
        <v>132.6</v>
      </c>
      <c r="E143" s="6">
        <v>137.3</v>
      </c>
      <c r="F143" s="6">
        <v>131.6</v>
      </c>
      <c r="G143" s="6">
        <v>136.3</v>
      </c>
      <c r="H143" s="6">
        <v>121.6</v>
      </c>
      <c r="I143" s="6">
        <v>135.6</v>
      </c>
      <c r="J143" s="6">
        <v>127.5</v>
      </c>
      <c r="K143" s="6">
        <v>167.9</v>
      </c>
      <c r="L143" s="6">
        <v>113.8</v>
      </c>
      <c r="M143" s="6">
        <v>137.5</v>
      </c>
      <c r="N143" s="6">
        <v>129.1</v>
      </c>
      <c r="O143" s="6">
        <v>143.6</v>
      </c>
      <c r="P143" s="6">
        <v>134.7</v>
      </c>
      <c r="Q143" s="6">
        <v>142.4</v>
      </c>
      <c r="R143" s="6">
        <v>140.4</v>
      </c>
      <c r="S143" s="6">
        <v>135.2</v>
      </c>
      <c r="T143" s="6">
        <v>139.7</v>
      </c>
      <c r="V143" s="6">
        <v>132</v>
      </c>
      <c r="W143" s="6">
        <v>132.9</v>
      </c>
      <c r="X143" s="6">
        <v>129.7</v>
      </c>
      <c r="Y143" s="6">
        <v>118.6</v>
      </c>
      <c r="Z143" s="6">
        <v>127.3</v>
      </c>
      <c r="AA143" s="6">
        <v>134.2</v>
      </c>
      <c r="AB143" s="6">
        <v>121.9</v>
      </c>
      <c r="AC143" s="6">
        <v>126.3</v>
      </c>
      <c r="AD143" s="6">
        <v>132.8</v>
      </c>
      <c r="AE143" s="6" t="str">
        <f t="shared" si="2"/>
        <v>Rural|2016|December</v>
      </c>
    </row>
    <row r="144" spans="1:31">
      <c r="A144" s="6" t="s">
        <v>51</v>
      </c>
      <c r="B144" s="6">
        <v>2016</v>
      </c>
      <c r="C144" s="6" t="s">
        <v>63</v>
      </c>
      <c r="D144" s="6">
        <v>131.6</v>
      </c>
      <c r="E144" s="6">
        <v>138.2</v>
      </c>
      <c r="F144" s="6">
        <v>134.9</v>
      </c>
      <c r="G144" s="6">
        <v>133.1</v>
      </c>
      <c r="H144" s="6">
        <v>113.5</v>
      </c>
      <c r="I144" s="6">
        <v>129.3</v>
      </c>
      <c r="J144" s="6">
        <v>121.1</v>
      </c>
      <c r="K144" s="6">
        <v>170.3</v>
      </c>
      <c r="L144" s="6">
        <v>115.5</v>
      </c>
      <c r="M144" s="6">
        <v>145.5</v>
      </c>
      <c r="N144" s="6">
        <v>123.1</v>
      </c>
      <c r="O144" s="6">
        <v>140.9</v>
      </c>
      <c r="P144" s="6">
        <v>132.8</v>
      </c>
      <c r="Q144" s="6">
        <v>145</v>
      </c>
      <c r="R144" s="6">
        <v>130</v>
      </c>
      <c r="S144" s="6">
        <v>122.2</v>
      </c>
      <c r="T144" s="6">
        <v>128.8</v>
      </c>
      <c r="U144" s="6">
        <v>128.5</v>
      </c>
      <c r="V144" s="6">
        <v>117.8</v>
      </c>
      <c r="W144" s="6">
        <v>125</v>
      </c>
      <c r="X144" s="6">
        <v>122.3</v>
      </c>
      <c r="Y144" s="6">
        <v>113.7</v>
      </c>
      <c r="Z144" s="6">
        <v>121.8</v>
      </c>
      <c r="AA144" s="6">
        <v>132.3</v>
      </c>
      <c r="AB144" s="6">
        <v>119.9</v>
      </c>
      <c r="AC144" s="6">
        <v>121.4</v>
      </c>
      <c r="AD144" s="6">
        <v>127.6</v>
      </c>
      <c r="AE144" s="6" t="str">
        <f t="shared" si="2"/>
        <v>Urban|2016|December</v>
      </c>
    </row>
    <row r="145" spans="1:31">
      <c r="A145" s="6" t="s">
        <v>52</v>
      </c>
      <c r="B145" s="6">
        <v>2016</v>
      </c>
      <c r="C145" s="6" t="s">
        <v>63</v>
      </c>
      <c r="D145" s="6">
        <v>132.3</v>
      </c>
      <c r="E145" s="6">
        <v>137.6</v>
      </c>
      <c r="F145" s="6">
        <v>132.9</v>
      </c>
      <c r="G145" s="6">
        <v>135.1</v>
      </c>
      <c r="H145" s="6">
        <v>118.6</v>
      </c>
      <c r="I145" s="6">
        <v>132.7</v>
      </c>
      <c r="J145" s="6">
        <v>125.3</v>
      </c>
      <c r="K145" s="6">
        <v>168.7</v>
      </c>
      <c r="L145" s="6">
        <v>114.4</v>
      </c>
      <c r="M145" s="6">
        <v>140.2</v>
      </c>
      <c r="N145" s="6">
        <v>126.6</v>
      </c>
      <c r="O145" s="6">
        <v>142.3</v>
      </c>
      <c r="P145" s="6">
        <v>134</v>
      </c>
      <c r="Q145" s="6">
        <v>143.1</v>
      </c>
      <c r="R145" s="6">
        <v>136.3</v>
      </c>
      <c r="S145" s="6">
        <v>129.8</v>
      </c>
      <c r="T145" s="6">
        <v>135.4</v>
      </c>
      <c r="U145" s="6">
        <v>128.5</v>
      </c>
      <c r="V145" s="6">
        <v>126.6</v>
      </c>
      <c r="W145" s="6">
        <v>129.2</v>
      </c>
      <c r="X145" s="6">
        <v>126.9</v>
      </c>
      <c r="Y145" s="6">
        <v>116</v>
      </c>
      <c r="Z145" s="6">
        <v>124.2</v>
      </c>
      <c r="AA145" s="6">
        <v>133.1</v>
      </c>
      <c r="AB145" s="6">
        <v>121.1</v>
      </c>
      <c r="AC145" s="6">
        <v>123.9</v>
      </c>
      <c r="AD145" s="6">
        <v>130.4</v>
      </c>
      <c r="AE145" s="6" t="str">
        <f t="shared" si="2"/>
        <v>Rural+Urban|2016|December</v>
      </c>
    </row>
    <row r="146" spans="1:31">
      <c r="A146" s="6" t="s">
        <v>49</v>
      </c>
      <c r="B146" s="6">
        <v>2017</v>
      </c>
      <c r="C146" s="6" t="s">
        <v>50</v>
      </c>
      <c r="D146" s="6">
        <v>133.1</v>
      </c>
      <c r="E146" s="6">
        <v>137.8</v>
      </c>
      <c r="F146" s="6">
        <v>131.9</v>
      </c>
      <c r="G146" s="6">
        <v>136.7</v>
      </c>
      <c r="H146" s="6">
        <v>122</v>
      </c>
      <c r="I146" s="6">
        <v>136</v>
      </c>
      <c r="J146" s="6">
        <v>119.8</v>
      </c>
      <c r="K146" s="6">
        <v>161.7</v>
      </c>
      <c r="L146" s="6">
        <v>114.8</v>
      </c>
      <c r="M146" s="6">
        <v>136.9</v>
      </c>
      <c r="N146" s="6">
        <v>129</v>
      </c>
      <c r="O146" s="6">
        <v>143.9</v>
      </c>
      <c r="P146" s="6">
        <v>133.7</v>
      </c>
      <c r="Q146" s="6">
        <v>143.1</v>
      </c>
      <c r="R146" s="6">
        <v>140.7</v>
      </c>
      <c r="S146" s="6">
        <v>135.8</v>
      </c>
      <c r="T146" s="6">
        <v>140</v>
      </c>
      <c r="V146" s="6">
        <v>132.1</v>
      </c>
      <c r="W146" s="6">
        <v>133.2</v>
      </c>
      <c r="X146" s="6">
        <v>129.9</v>
      </c>
      <c r="Y146" s="6">
        <v>119.1</v>
      </c>
      <c r="Z146" s="6">
        <v>127</v>
      </c>
      <c r="AA146" s="6">
        <v>134.6</v>
      </c>
      <c r="AB146" s="6">
        <v>122.3</v>
      </c>
      <c r="AC146" s="6">
        <v>126.6</v>
      </c>
      <c r="AD146" s="6">
        <v>132.4</v>
      </c>
      <c r="AE146" s="6" t="str">
        <f t="shared" si="2"/>
        <v>Rural|2017|January</v>
      </c>
    </row>
    <row r="147" spans="1:31">
      <c r="A147" s="6" t="s">
        <v>51</v>
      </c>
      <c r="B147" s="6">
        <v>2017</v>
      </c>
      <c r="C147" s="6" t="s">
        <v>50</v>
      </c>
      <c r="D147" s="6">
        <v>132.2</v>
      </c>
      <c r="E147" s="6">
        <v>138.9</v>
      </c>
      <c r="F147" s="6">
        <v>132.6</v>
      </c>
      <c r="G147" s="6">
        <v>133.1</v>
      </c>
      <c r="H147" s="6">
        <v>114</v>
      </c>
      <c r="I147" s="6">
        <v>129.6</v>
      </c>
      <c r="J147" s="6">
        <v>118.7</v>
      </c>
      <c r="K147" s="6">
        <v>155.1</v>
      </c>
      <c r="L147" s="6">
        <v>117.3</v>
      </c>
      <c r="M147" s="6">
        <v>144.9</v>
      </c>
      <c r="N147" s="6">
        <v>123.2</v>
      </c>
      <c r="O147" s="6">
        <v>141.6</v>
      </c>
      <c r="P147" s="6">
        <v>132</v>
      </c>
      <c r="Q147" s="6">
        <v>145.6</v>
      </c>
      <c r="R147" s="6">
        <v>130.2</v>
      </c>
      <c r="S147" s="6">
        <v>122.3</v>
      </c>
      <c r="T147" s="6">
        <v>129</v>
      </c>
      <c r="U147" s="6">
        <v>129.6</v>
      </c>
      <c r="V147" s="6">
        <v>118</v>
      </c>
      <c r="W147" s="6">
        <v>125.1</v>
      </c>
      <c r="X147" s="6">
        <v>122.6</v>
      </c>
      <c r="Y147" s="6">
        <v>115.2</v>
      </c>
      <c r="Z147" s="6">
        <v>122</v>
      </c>
      <c r="AA147" s="6">
        <v>132.4</v>
      </c>
      <c r="AB147" s="6">
        <v>120.9</v>
      </c>
      <c r="AC147" s="6">
        <v>122.1</v>
      </c>
      <c r="AD147" s="6">
        <v>127.8</v>
      </c>
      <c r="AE147" s="6" t="str">
        <f t="shared" si="2"/>
        <v>Urban|2017|January</v>
      </c>
    </row>
    <row r="148" spans="1:31">
      <c r="A148" s="6" t="s">
        <v>52</v>
      </c>
      <c r="B148" s="6">
        <v>2017</v>
      </c>
      <c r="C148" s="6" t="s">
        <v>50</v>
      </c>
      <c r="D148" s="6">
        <v>132.8</v>
      </c>
      <c r="E148" s="6">
        <v>138.2</v>
      </c>
      <c r="F148" s="6">
        <v>132.2</v>
      </c>
      <c r="G148" s="6">
        <v>135.4</v>
      </c>
      <c r="H148" s="6">
        <v>119.1</v>
      </c>
      <c r="I148" s="6">
        <v>133</v>
      </c>
      <c r="J148" s="6">
        <v>119.4</v>
      </c>
      <c r="K148" s="6">
        <v>159.5</v>
      </c>
      <c r="L148" s="6">
        <v>115.6</v>
      </c>
      <c r="M148" s="6">
        <v>139.6</v>
      </c>
      <c r="N148" s="6">
        <v>126.6</v>
      </c>
      <c r="O148" s="6">
        <v>142.8</v>
      </c>
      <c r="P148" s="6">
        <v>133.1</v>
      </c>
      <c r="Q148" s="6">
        <v>143.8</v>
      </c>
      <c r="R148" s="6">
        <v>136.6</v>
      </c>
      <c r="S148" s="6">
        <v>130.2</v>
      </c>
      <c r="T148" s="6">
        <v>135.6</v>
      </c>
      <c r="U148" s="6">
        <v>129.6</v>
      </c>
      <c r="V148" s="6">
        <v>126.8</v>
      </c>
      <c r="W148" s="6">
        <v>129.4</v>
      </c>
      <c r="X148" s="6">
        <v>127.1</v>
      </c>
      <c r="Y148" s="6">
        <v>117</v>
      </c>
      <c r="Z148" s="6">
        <v>124.2</v>
      </c>
      <c r="AA148" s="6">
        <v>133.3</v>
      </c>
      <c r="AB148" s="6">
        <v>121.7</v>
      </c>
      <c r="AC148" s="6">
        <v>124.4</v>
      </c>
      <c r="AD148" s="6">
        <v>130.3</v>
      </c>
      <c r="AE148" s="6" t="str">
        <f t="shared" si="2"/>
        <v>Rural+Urban|2017|January</v>
      </c>
    </row>
    <row r="149" spans="1:31">
      <c r="A149" s="6" t="s">
        <v>49</v>
      </c>
      <c r="B149" s="6">
        <v>2017</v>
      </c>
      <c r="C149" s="6" t="s">
        <v>53</v>
      </c>
      <c r="D149" s="6">
        <v>133.3</v>
      </c>
      <c r="E149" s="6">
        <v>138.3</v>
      </c>
      <c r="F149" s="6">
        <v>129.3</v>
      </c>
      <c r="G149" s="6">
        <v>137.2</v>
      </c>
      <c r="H149" s="6">
        <v>122.1</v>
      </c>
      <c r="I149" s="6">
        <v>138.7</v>
      </c>
      <c r="J149" s="6">
        <v>119.1</v>
      </c>
      <c r="K149" s="6">
        <v>156.9</v>
      </c>
      <c r="L149" s="6">
        <v>116.2</v>
      </c>
      <c r="M149" s="6">
        <v>136</v>
      </c>
      <c r="N149" s="6">
        <v>129.4</v>
      </c>
      <c r="O149" s="6">
        <v>144.4</v>
      </c>
      <c r="P149" s="6">
        <v>133.6</v>
      </c>
      <c r="Q149" s="6">
        <v>143.7</v>
      </c>
      <c r="R149" s="6">
        <v>140.9</v>
      </c>
      <c r="S149" s="6">
        <v>135.8</v>
      </c>
      <c r="T149" s="6">
        <v>140.2</v>
      </c>
      <c r="V149" s="6">
        <v>133.2</v>
      </c>
      <c r="W149" s="6">
        <v>133.6</v>
      </c>
      <c r="X149" s="6">
        <v>130.1</v>
      </c>
      <c r="Y149" s="6">
        <v>119.5</v>
      </c>
      <c r="Z149" s="6">
        <v>127.7</v>
      </c>
      <c r="AA149" s="6">
        <v>134.9</v>
      </c>
      <c r="AB149" s="6">
        <v>123.2</v>
      </c>
      <c r="AC149" s="6">
        <v>127</v>
      </c>
      <c r="AD149" s="6">
        <v>132.6</v>
      </c>
      <c r="AE149" s="6" t="str">
        <f t="shared" si="2"/>
        <v>Rural|2017|February</v>
      </c>
    </row>
    <row r="150" spans="1:31">
      <c r="A150" s="6" t="s">
        <v>51</v>
      </c>
      <c r="B150" s="6">
        <v>2017</v>
      </c>
      <c r="C150" s="6" t="s">
        <v>53</v>
      </c>
      <c r="D150" s="6">
        <v>132.8</v>
      </c>
      <c r="E150" s="6">
        <v>139.8</v>
      </c>
      <c r="F150" s="6">
        <v>129.3</v>
      </c>
      <c r="G150" s="6">
        <v>133.5</v>
      </c>
      <c r="H150" s="6">
        <v>114.3</v>
      </c>
      <c r="I150" s="6">
        <v>131.4</v>
      </c>
      <c r="J150" s="6">
        <v>120.2</v>
      </c>
      <c r="K150" s="6">
        <v>143.1</v>
      </c>
      <c r="L150" s="6">
        <v>119.5</v>
      </c>
      <c r="M150" s="6">
        <v>144</v>
      </c>
      <c r="N150" s="6">
        <v>123.4</v>
      </c>
      <c r="O150" s="6">
        <v>141.9</v>
      </c>
      <c r="P150" s="6">
        <v>132.1</v>
      </c>
      <c r="Q150" s="6">
        <v>146.3</v>
      </c>
      <c r="R150" s="6">
        <v>130.5</v>
      </c>
      <c r="S150" s="6">
        <v>122.5</v>
      </c>
      <c r="T150" s="6">
        <v>129.3</v>
      </c>
      <c r="U150" s="6">
        <v>130.5</v>
      </c>
      <c r="V150" s="6">
        <v>119.2</v>
      </c>
      <c r="W150" s="6">
        <v>125.3</v>
      </c>
      <c r="X150" s="6">
        <v>122.9</v>
      </c>
      <c r="Y150" s="6">
        <v>115.5</v>
      </c>
      <c r="Z150" s="6">
        <v>122.2</v>
      </c>
      <c r="AA150" s="6">
        <v>132.4</v>
      </c>
      <c r="AB150" s="6">
        <v>121.7</v>
      </c>
      <c r="AC150" s="6">
        <v>122.4</v>
      </c>
      <c r="AD150" s="6">
        <v>128.2</v>
      </c>
      <c r="AE150" s="6" t="str">
        <f t="shared" si="2"/>
        <v>Urban|2017|February</v>
      </c>
    </row>
    <row r="151" spans="1:31">
      <c r="A151" s="6" t="s">
        <v>52</v>
      </c>
      <c r="B151" s="6">
        <v>2017</v>
      </c>
      <c r="C151" s="6" t="s">
        <v>53</v>
      </c>
      <c r="D151" s="6">
        <v>133.1</v>
      </c>
      <c r="E151" s="6">
        <v>138.8</v>
      </c>
      <c r="F151" s="6">
        <v>129.3</v>
      </c>
      <c r="G151" s="6">
        <v>135.8</v>
      </c>
      <c r="H151" s="6">
        <v>119.2</v>
      </c>
      <c r="I151" s="6">
        <v>135.3</v>
      </c>
      <c r="J151" s="6">
        <v>119.5</v>
      </c>
      <c r="K151" s="6">
        <v>152.2</v>
      </c>
      <c r="L151" s="6">
        <v>117.3</v>
      </c>
      <c r="M151" s="6">
        <v>138.7</v>
      </c>
      <c r="N151" s="6">
        <v>126.9</v>
      </c>
      <c r="O151" s="6">
        <v>143.2</v>
      </c>
      <c r="P151" s="6">
        <v>133</v>
      </c>
      <c r="Q151" s="6">
        <v>144.4</v>
      </c>
      <c r="R151" s="6">
        <v>136.8</v>
      </c>
      <c r="S151" s="6">
        <v>130.3</v>
      </c>
      <c r="T151" s="6">
        <v>135.9</v>
      </c>
      <c r="U151" s="6">
        <v>130.5</v>
      </c>
      <c r="V151" s="6">
        <v>127.9</v>
      </c>
      <c r="W151" s="6">
        <v>129.7</v>
      </c>
      <c r="X151" s="6">
        <v>127.4</v>
      </c>
      <c r="Y151" s="6">
        <v>117.4</v>
      </c>
      <c r="Z151" s="6">
        <v>124.6</v>
      </c>
      <c r="AA151" s="6">
        <v>133.4</v>
      </c>
      <c r="AB151" s="6">
        <v>122.6</v>
      </c>
      <c r="AC151" s="6">
        <v>124.8</v>
      </c>
      <c r="AD151" s="6">
        <v>130.6</v>
      </c>
      <c r="AE151" s="6" t="str">
        <f t="shared" si="2"/>
        <v>Rural+Urban|2017|February</v>
      </c>
    </row>
    <row r="152" spans="1:31">
      <c r="A152" s="6" t="s">
        <v>49</v>
      </c>
      <c r="B152" s="6">
        <v>2017</v>
      </c>
      <c r="C152" s="6" t="s">
        <v>54</v>
      </c>
      <c r="D152" s="6">
        <v>133.6</v>
      </c>
      <c r="E152" s="6">
        <v>138.8</v>
      </c>
      <c r="F152" s="6">
        <v>128.8</v>
      </c>
      <c r="G152" s="6">
        <v>137.2</v>
      </c>
      <c r="H152" s="6">
        <v>121.6</v>
      </c>
      <c r="I152" s="6">
        <v>139.7</v>
      </c>
      <c r="J152" s="6">
        <v>119.7</v>
      </c>
      <c r="K152" s="6">
        <v>148</v>
      </c>
      <c r="L152" s="6">
        <v>116.9</v>
      </c>
      <c r="M152" s="6">
        <v>135.6</v>
      </c>
      <c r="N152" s="6">
        <v>129.8</v>
      </c>
      <c r="O152" s="6">
        <v>145.4</v>
      </c>
      <c r="P152" s="6">
        <v>133.4</v>
      </c>
      <c r="Q152" s="6">
        <v>144.2</v>
      </c>
      <c r="R152" s="6">
        <v>141.6</v>
      </c>
      <c r="S152" s="6">
        <v>136.2</v>
      </c>
      <c r="T152" s="6">
        <v>140.8</v>
      </c>
      <c r="V152" s="6">
        <v>134.2</v>
      </c>
      <c r="W152" s="6">
        <v>134.1</v>
      </c>
      <c r="X152" s="6">
        <v>130.6</v>
      </c>
      <c r="Y152" s="6">
        <v>119.8</v>
      </c>
      <c r="Z152" s="6">
        <v>128.3</v>
      </c>
      <c r="AA152" s="6">
        <v>135.2</v>
      </c>
      <c r="AB152" s="6">
        <v>123.3</v>
      </c>
      <c r="AC152" s="6">
        <v>127.4</v>
      </c>
      <c r="AD152" s="6">
        <v>132.8</v>
      </c>
      <c r="AE152" s="6" t="str">
        <f t="shared" si="2"/>
        <v>Rural|2017|March</v>
      </c>
    </row>
    <row r="153" spans="1:31">
      <c r="A153" s="6" t="s">
        <v>51</v>
      </c>
      <c r="B153" s="6">
        <v>2017</v>
      </c>
      <c r="C153" s="6" t="s">
        <v>54</v>
      </c>
      <c r="D153" s="6">
        <v>132.7</v>
      </c>
      <c r="E153" s="6">
        <v>139.4</v>
      </c>
      <c r="F153" s="6">
        <v>128.4</v>
      </c>
      <c r="G153" s="6">
        <v>134.9</v>
      </c>
      <c r="H153" s="6">
        <v>114</v>
      </c>
      <c r="I153" s="6">
        <v>136.8</v>
      </c>
      <c r="J153" s="6">
        <v>122.2</v>
      </c>
      <c r="K153" s="6">
        <v>135.8</v>
      </c>
      <c r="L153" s="6">
        <v>120.3</v>
      </c>
      <c r="M153" s="6">
        <v>142.6</v>
      </c>
      <c r="N153" s="6">
        <v>123.6</v>
      </c>
      <c r="O153" s="6">
        <v>142.4</v>
      </c>
      <c r="P153" s="6">
        <v>132.6</v>
      </c>
      <c r="Q153" s="6">
        <v>147.5</v>
      </c>
      <c r="R153" s="6">
        <v>130.8</v>
      </c>
      <c r="S153" s="6">
        <v>122.8</v>
      </c>
      <c r="T153" s="6">
        <v>129.6</v>
      </c>
      <c r="U153" s="6">
        <v>131.1</v>
      </c>
      <c r="V153" s="6">
        <v>120.8</v>
      </c>
      <c r="W153" s="6">
        <v>125.6</v>
      </c>
      <c r="X153" s="6">
        <v>123.1</v>
      </c>
      <c r="Y153" s="6">
        <v>115.6</v>
      </c>
      <c r="Z153" s="6">
        <v>122.4</v>
      </c>
      <c r="AA153" s="6">
        <v>132.8</v>
      </c>
      <c r="AB153" s="6">
        <v>121.7</v>
      </c>
      <c r="AC153" s="6">
        <v>122.6</v>
      </c>
      <c r="AD153" s="6">
        <v>128.7</v>
      </c>
      <c r="AE153" s="6" t="str">
        <f t="shared" si="2"/>
        <v>Urban|2017|March</v>
      </c>
    </row>
    <row r="154" spans="1:31">
      <c r="A154" s="6" t="s">
        <v>52</v>
      </c>
      <c r="B154" s="6">
        <v>2017</v>
      </c>
      <c r="C154" s="6" t="s">
        <v>54</v>
      </c>
      <c r="D154" s="6">
        <v>133.3</v>
      </c>
      <c r="E154" s="6">
        <v>139</v>
      </c>
      <c r="F154" s="6">
        <v>128.6</v>
      </c>
      <c r="G154" s="6">
        <v>136.3</v>
      </c>
      <c r="H154" s="6">
        <v>118.8</v>
      </c>
      <c r="I154" s="6">
        <v>138.3</v>
      </c>
      <c r="J154" s="6">
        <v>120.5</v>
      </c>
      <c r="K154" s="6">
        <v>143.9</v>
      </c>
      <c r="L154" s="6">
        <v>118</v>
      </c>
      <c r="M154" s="6">
        <v>137.9</v>
      </c>
      <c r="N154" s="6">
        <v>127.2</v>
      </c>
      <c r="O154" s="6">
        <v>144</v>
      </c>
      <c r="P154" s="6">
        <v>133.1</v>
      </c>
      <c r="Q154" s="6">
        <v>145.1</v>
      </c>
      <c r="R154" s="6">
        <v>137.3</v>
      </c>
      <c r="S154" s="6">
        <v>130.6</v>
      </c>
      <c r="T154" s="6">
        <v>136.4</v>
      </c>
      <c r="U154" s="6">
        <v>131.1</v>
      </c>
      <c r="V154" s="6">
        <v>129.1</v>
      </c>
      <c r="W154" s="6">
        <v>130.1</v>
      </c>
      <c r="X154" s="6">
        <v>127.8</v>
      </c>
      <c r="Y154" s="6">
        <v>117.6</v>
      </c>
      <c r="Z154" s="6">
        <v>125</v>
      </c>
      <c r="AA154" s="6">
        <v>133.8</v>
      </c>
      <c r="AB154" s="6">
        <v>122.6</v>
      </c>
      <c r="AC154" s="6">
        <v>125.1</v>
      </c>
      <c r="AD154" s="6">
        <v>130.9</v>
      </c>
      <c r="AE154" s="6" t="str">
        <f t="shared" si="2"/>
        <v>Rural+Urban|2017|March</v>
      </c>
    </row>
    <row r="155" spans="1:31">
      <c r="A155" s="6" t="s">
        <v>49</v>
      </c>
      <c r="B155" s="6">
        <v>2017</v>
      </c>
      <c r="C155" s="6" t="s">
        <v>55</v>
      </c>
      <c r="D155" s="6">
        <v>133.2</v>
      </c>
      <c r="E155" s="6">
        <v>138.7</v>
      </c>
      <c r="F155" s="6">
        <v>127.1</v>
      </c>
      <c r="G155" s="6">
        <v>137.7</v>
      </c>
      <c r="H155" s="6">
        <v>121.3</v>
      </c>
      <c r="I155" s="6">
        <v>141.8</v>
      </c>
      <c r="J155" s="6">
        <v>121.5</v>
      </c>
      <c r="K155" s="6">
        <v>144.5</v>
      </c>
      <c r="L155" s="6">
        <v>117.4</v>
      </c>
      <c r="M155" s="6">
        <v>134.1</v>
      </c>
      <c r="N155" s="6">
        <v>130</v>
      </c>
      <c r="O155" s="6">
        <v>145.5</v>
      </c>
      <c r="P155" s="6">
        <v>133.5</v>
      </c>
      <c r="Q155" s="6">
        <v>144.4</v>
      </c>
      <c r="R155" s="6">
        <v>142.4</v>
      </c>
      <c r="S155" s="6">
        <v>136.8</v>
      </c>
      <c r="T155" s="6">
        <v>141.6</v>
      </c>
      <c r="V155" s="6">
        <v>135</v>
      </c>
      <c r="W155" s="6">
        <v>134.3</v>
      </c>
      <c r="X155" s="6">
        <v>131</v>
      </c>
      <c r="Y155" s="6">
        <v>119.2</v>
      </c>
      <c r="Z155" s="6">
        <v>128.3</v>
      </c>
      <c r="AA155" s="6">
        <v>135.7</v>
      </c>
      <c r="AB155" s="6">
        <v>123.7</v>
      </c>
      <c r="AC155" s="6">
        <v>127.5</v>
      </c>
      <c r="AD155" s="6">
        <v>132.9</v>
      </c>
      <c r="AE155" s="6" t="str">
        <f t="shared" si="2"/>
        <v>Rural|2017|April</v>
      </c>
    </row>
    <row r="156" spans="1:31">
      <c r="A156" s="6" t="s">
        <v>51</v>
      </c>
      <c r="B156" s="6">
        <v>2017</v>
      </c>
      <c r="C156" s="6" t="s">
        <v>55</v>
      </c>
      <c r="D156" s="6">
        <v>132.7</v>
      </c>
      <c r="E156" s="6">
        <v>140.6</v>
      </c>
      <c r="F156" s="6">
        <v>124.5</v>
      </c>
      <c r="G156" s="6">
        <v>136.3</v>
      </c>
      <c r="H156" s="6">
        <v>113.5</v>
      </c>
      <c r="I156" s="6">
        <v>137.7</v>
      </c>
      <c r="J156" s="6">
        <v>127.1</v>
      </c>
      <c r="K156" s="6">
        <v>133.8</v>
      </c>
      <c r="L156" s="6">
        <v>120.8</v>
      </c>
      <c r="M156" s="6">
        <v>141.3</v>
      </c>
      <c r="N156" s="6">
        <v>123.8</v>
      </c>
      <c r="O156" s="6">
        <v>142.6</v>
      </c>
      <c r="P156" s="6">
        <v>133.4</v>
      </c>
      <c r="Q156" s="6">
        <v>148</v>
      </c>
      <c r="R156" s="6">
        <v>131.2</v>
      </c>
      <c r="S156" s="6">
        <v>123</v>
      </c>
      <c r="T156" s="6">
        <v>130</v>
      </c>
      <c r="U156" s="6">
        <v>131.7</v>
      </c>
      <c r="V156" s="6">
        <v>121.4</v>
      </c>
      <c r="W156" s="6">
        <v>126</v>
      </c>
      <c r="X156" s="6">
        <v>123.4</v>
      </c>
      <c r="Y156" s="6">
        <v>114.3</v>
      </c>
      <c r="Z156" s="6">
        <v>122.6</v>
      </c>
      <c r="AA156" s="6">
        <v>133.6</v>
      </c>
      <c r="AB156" s="6">
        <v>122.2</v>
      </c>
      <c r="AC156" s="6">
        <v>122.5</v>
      </c>
      <c r="AD156" s="6">
        <v>129.1</v>
      </c>
      <c r="AE156" s="6" t="str">
        <f t="shared" si="2"/>
        <v>Urban|2017|April</v>
      </c>
    </row>
    <row r="157" spans="1:31">
      <c r="A157" s="6" t="s">
        <v>52</v>
      </c>
      <c r="B157" s="6">
        <v>2017</v>
      </c>
      <c r="C157" s="6" t="s">
        <v>55</v>
      </c>
      <c r="D157" s="6">
        <v>133</v>
      </c>
      <c r="E157" s="6">
        <v>139.4</v>
      </c>
      <c r="F157" s="6">
        <v>126.1</v>
      </c>
      <c r="G157" s="6">
        <v>137.2</v>
      </c>
      <c r="H157" s="6">
        <v>118.4</v>
      </c>
      <c r="I157" s="6">
        <v>139.9</v>
      </c>
      <c r="J157" s="6">
        <v>123.4</v>
      </c>
      <c r="K157" s="6">
        <v>140.9</v>
      </c>
      <c r="L157" s="6">
        <v>118.5</v>
      </c>
      <c r="M157" s="6">
        <v>136.5</v>
      </c>
      <c r="N157" s="6">
        <v>127.4</v>
      </c>
      <c r="O157" s="6">
        <v>144.2</v>
      </c>
      <c r="P157" s="6">
        <v>133.5</v>
      </c>
      <c r="Q157" s="6">
        <v>145.4</v>
      </c>
      <c r="R157" s="6">
        <v>138</v>
      </c>
      <c r="S157" s="6">
        <v>131.1</v>
      </c>
      <c r="T157" s="6">
        <v>137</v>
      </c>
      <c r="U157" s="6">
        <v>131.7</v>
      </c>
      <c r="V157" s="6">
        <v>129.8</v>
      </c>
      <c r="W157" s="6">
        <v>130.4</v>
      </c>
      <c r="X157" s="6">
        <v>128.1</v>
      </c>
      <c r="Y157" s="6">
        <v>116.6</v>
      </c>
      <c r="Z157" s="6">
        <v>125.1</v>
      </c>
      <c r="AA157" s="6">
        <v>134.5</v>
      </c>
      <c r="AB157" s="6">
        <v>123.1</v>
      </c>
      <c r="AC157" s="6">
        <v>125.1</v>
      </c>
      <c r="AD157" s="6">
        <v>131.1</v>
      </c>
      <c r="AE157" s="6" t="str">
        <f t="shared" si="2"/>
        <v>Rural+Urban|2017|April</v>
      </c>
    </row>
    <row r="158" spans="1:31">
      <c r="A158" s="6" t="s">
        <v>49</v>
      </c>
      <c r="B158" s="6">
        <v>2017</v>
      </c>
      <c r="C158" s="6" t="s">
        <v>56</v>
      </c>
      <c r="D158" s="6">
        <v>133.1</v>
      </c>
      <c r="E158" s="6">
        <v>140.3</v>
      </c>
      <c r="F158" s="6">
        <v>126.8</v>
      </c>
      <c r="G158" s="6">
        <v>138.2</v>
      </c>
      <c r="H158" s="6">
        <v>120.8</v>
      </c>
      <c r="I158" s="6">
        <v>140.2</v>
      </c>
      <c r="J158" s="6">
        <v>123.8</v>
      </c>
      <c r="K158" s="6">
        <v>141.8</v>
      </c>
      <c r="L158" s="6">
        <v>118.6</v>
      </c>
      <c r="M158" s="6">
        <v>134</v>
      </c>
      <c r="N158" s="6">
        <v>130.3</v>
      </c>
      <c r="O158" s="6">
        <v>145.8</v>
      </c>
      <c r="P158" s="6">
        <v>133.8</v>
      </c>
      <c r="Q158" s="6">
        <v>145.5</v>
      </c>
      <c r="R158" s="6">
        <v>142.5</v>
      </c>
      <c r="S158" s="6">
        <v>137.3</v>
      </c>
      <c r="T158" s="6">
        <v>141.8</v>
      </c>
      <c r="V158" s="6">
        <v>135</v>
      </c>
      <c r="W158" s="6">
        <v>134.9</v>
      </c>
      <c r="X158" s="6">
        <v>131.4</v>
      </c>
      <c r="Y158" s="6">
        <v>119.4</v>
      </c>
      <c r="Z158" s="6">
        <v>129.4</v>
      </c>
      <c r="AA158" s="6">
        <v>136.3</v>
      </c>
      <c r="AB158" s="6">
        <v>123.7</v>
      </c>
      <c r="AC158" s="6">
        <v>127.9</v>
      </c>
      <c r="AD158" s="6">
        <v>133.3</v>
      </c>
      <c r="AE158" s="6" t="str">
        <f t="shared" si="2"/>
        <v>Rural|2017|May</v>
      </c>
    </row>
    <row r="159" spans="1:31">
      <c r="A159" s="6" t="s">
        <v>51</v>
      </c>
      <c r="B159" s="6">
        <v>2017</v>
      </c>
      <c r="C159" s="6" t="s">
        <v>56</v>
      </c>
      <c r="D159" s="6">
        <v>132.6</v>
      </c>
      <c r="E159" s="6">
        <v>144.1</v>
      </c>
      <c r="F159" s="6">
        <v>125.6</v>
      </c>
      <c r="G159" s="6">
        <v>136.8</v>
      </c>
      <c r="H159" s="6">
        <v>113.4</v>
      </c>
      <c r="I159" s="6">
        <v>135.2</v>
      </c>
      <c r="J159" s="6">
        <v>129.2</v>
      </c>
      <c r="K159" s="6">
        <v>131.5</v>
      </c>
      <c r="L159" s="6">
        <v>121</v>
      </c>
      <c r="M159" s="6">
        <v>139.9</v>
      </c>
      <c r="N159" s="6">
        <v>123.8</v>
      </c>
      <c r="O159" s="6">
        <v>142.9</v>
      </c>
      <c r="P159" s="6">
        <v>133.6</v>
      </c>
      <c r="Q159" s="6">
        <v>148.3</v>
      </c>
      <c r="R159" s="6">
        <v>131.5</v>
      </c>
      <c r="S159" s="6">
        <v>123.2</v>
      </c>
      <c r="T159" s="6">
        <v>130.2</v>
      </c>
      <c r="U159" s="6">
        <v>132.1</v>
      </c>
      <c r="V159" s="6">
        <v>120.1</v>
      </c>
      <c r="W159" s="6">
        <v>126.5</v>
      </c>
      <c r="X159" s="6">
        <v>123.6</v>
      </c>
      <c r="Y159" s="6">
        <v>114.3</v>
      </c>
      <c r="Z159" s="6">
        <v>122.8</v>
      </c>
      <c r="AA159" s="6">
        <v>133.8</v>
      </c>
      <c r="AB159" s="6">
        <v>122</v>
      </c>
      <c r="AC159" s="6">
        <v>122.6</v>
      </c>
      <c r="AD159" s="6">
        <v>129.3</v>
      </c>
      <c r="AE159" s="6" t="str">
        <f t="shared" si="2"/>
        <v>Urban|2017|May</v>
      </c>
    </row>
    <row r="160" spans="1:31">
      <c r="A160" s="6" t="s">
        <v>52</v>
      </c>
      <c r="B160" s="6">
        <v>2017</v>
      </c>
      <c r="C160" s="6" t="s">
        <v>56</v>
      </c>
      <c r="D160" s="6">
        <v>132.9</v>
      </c>
      <c r="E160" s="6">
        <v>141.6</v>
      </c>
      <c r="F160" s="6">
        <v>126.3</v>
      </c>
      <c r="G160" s="6">
        <v>137.7</v>
      </c>
      <c r="H160" s="6">
        <v>118.1</v>
      </c>
      <c r="I160" s="6">
        <v>137.9</v>
      </c>
      <c r="J160" s="6">
        <v>125.6</v>
      </c>
      <c r="K160" s="6">
        <v>138.3</v>
      </c>
      <c r="L160" s="6">
        <v>119.4</v>
      </c>
      <c r="M160" s="6">
        <v>136</v>
      </c>
      <c r="N160" s="6">
        <v>127.6</v>
      </c>
      <c r="O160" s="6">
        <v>144.5</v>
      </c>
      <c r="P160" s="6">
        <v>133.7</v>
      </c>
      <c r="Q160" s="6">
        <v>146.2</v>
      </c>
      <c r="R160" s="6">
        <v>138.2</v>
      </c>
      <c r="S160" s="6">
        <v>131.4</v>
      </c>
      <c r="T160" s="6">
        <v>137.2</v>
      </c>
      <c r="U160" s="6">
        <v>132.1</v>
      </c>
      <c r="V160" s="6">
        <v>129.4</v>
      </c>
      <c r="W160" s="6">
        <v>130.9</v>
      </c>
      <c r="X160" s="6">
        <v>128.4</v>
      </c>
      <c r="Y160" s="6">
        <v>116.7</v>
      </c>
      <c r="Z160" s="6">
        <v>125.7</v>
      </c>
      <c r="AA160" s="6">
        <v>134.8</v>
      </c>
      <c r="AB160" s="6">
        <v>123</v>
      </c>
      <c r="AC160" s="6">
        <v>125.3</v>
      </c>
      <c r="AD160" s="6">
        <v>131.4</v>
      </c>
      <c r="AE160" s="6" t="str">
        <f t="shared" si="2"/>
        <v>Rural+Urban|2017|May</v>
      </c>
    </row>
    <row r="161" spans="1:31">
      <c r="A161" s="6" t="s">
        <v>49</v>
      </c>
      <c r="B161" s="6">
        <v>2017</v>
      </c>
      <c r="C161" s="6" t="s">
        <v>57</v>
      </c>
      <c r="D161" s="6">
        <v>133.5</v>
      </c>
      <c r="E161" s="6">
        <v>143.7</v>
      </c>
      <c r="F161" s="6">
        <v>128</v>
      </c>
      <c r="G161" s="6">
        <v>138.6</v>
      </c>
      <c r="H161" s="6">
        <v>120.9</v>
      </c>
      <c r="I161" s="6">
        <v>140.9</v>
      </c>
      <c r="J161" s="6">
        <v>128.8</v>
      </c>
      <c r="K161" s="6">
        <v>140.2</v>
      </c>
      <c r="L161" s="6">
        <v>118.9</v>
      </c>
      <c r="M161" s="6">
        <v>133.5</v>
      </c>
      <c r="N161" s="6">
        <v>130.4</v>
      </c>
      <c r="O161" s="6">
        <v>146.5</v>
      </c>
      <c r="P161" s="6">
        <v>134.9</v>
      </c>
      <c r="Q161" s="6">
        <v>145.8</v>
      </c>
      <c r="R161" s="6">
        <v>143.1</v>
      </c>
      <c r="S161" s="6">
        <v>137.7</v>
      </c>
      <c r="T161" s="6">
        <v>142.3</v>
      </c>
      <c r="V161" s="6">
        <v>134.8</v>
      </c>
      <c r="W161" s="6">
        <v>135.2</v>
      </c>
      <c r="X161" s="6">
        <v>131.3</v>
      </c>
      <c r="Y161" s="6">
        <v>119.4</v>
      </c>
      <c r="Z161" s="6">
        <v>129.8</v>
      </c>
      <c r="AA161" s="6">
        <v>136.9</v>
      </c>
      <c r="AB161" s="6">
        <v>124.1</v>
      </c>
      <c r="AC161" s="6">
        <v>128.1</v>
      </c>
      <c r="AD161" s="6">
        <v>133.9</v>
      </c>
      <c r="AE161" s="6" t="str">
        <f t="shared" si="2"/>
        <v>Rural|2017|June</v>
      </c>
    </row>
    <row r="162" spans="1:31">
      <c r="A162" s="6" t="s">
        <v>51</v>
      </c>
      <c r="B162" s="6">
        <v>2017</v>
      </c>
      <c r="C162" s="6" t="s">
        <v>57</v>
      </c>
      <c r="D162" s="6">
        <v>132.9</v>
      </c>
      <c r="E162" s="6">
        <v>148.7</v>
      </c>
      <c r="F162" s="6">
        <v>128.3</v>
      </c>
      <c r="G162" s="6">
        <v>137.3</v>
      </c>
      <c r="H162" s="6">
        <v>113.5</v>
      </c>
      <c r="I162" s="6">
        <v>137.2</v>
      </c>
      <c r="J162" s="6">
        <v>142.2</v>
      </c>
      <c r="K162" s="6">
        <v>128.2</v>
      </c>
      <c r="L162" s="6">
        <v>120.9</v>
      </c>
      <c r="M162" s="6">
        <v>138.8</v>
      </c>
      <c r="N162" s="6">
        <v>124.2</v>
      </c>
      <c r="O162" s="6">
        <v>143.1</v>
      </c>
      <c r="P162" s="6">
        <v>135.7</v>
      </c>
      <c r="Q162" s="6">
        <v>148.6</v>
      </c>
      <c r="R162" s="6">
        <v>131.5</v>
      </c>
      <c r="S162" s="6">
        <v>123.2</v>
      </c>
      <c r="T162" s="6">
        <v>130.2</v>
      </c>
      <c r="U162" s="6">
        <v>131.4</v>
      </c>
      <c r="V162" s="6">
        <v>119</v>
      </c>
      <c r="W162" s="6">
        <v>126.8</v>
      </c>
      <c r="X162" s="6">
        <v>123.8</v>
      </c>
      <c r="Y162" s="6">
        <v>113.9</v>
      </c>
      <c r="Z162" s="6">
        <v>122.9</v>
      </c>
      <c r="AA162" s="6">
        <v>134.3</v>
      </c>
      <c r="AB162" s="6">
        <v>122.5</v>
      </c>
      <c r="AC162" s="6">
        <v>122.7</v>
      </c>
      <c r="AD162" s="6">
        <v>129.9</v>
      </c>
      <c r="AE162" s="6" t="str">
        <f t="shared" si="2"/>
        <v>Urban|2017|June</v>
      </c>
    </row>
    <row r="163" spans="1:31">
      <c r="A163" s="6" t="s">
        <v>52</v>
      </c>
      <c r="B163" s="6">
        <v>2017</v>
      </c>
      <c r="C163" s="6" t="s">
        <v>57</v>
      </c>
      <c r="D163" s="6">
        <v>133.3</v>
      </c>
      <c r="E163" s="6">
        <v>145.5</v>
      </c>
      <c r="F163" s="6">
        <v>128.1</v>
      </c>
      <c r="G163" s="6">
        <v>138.1</v>
      </c>
      <c r="H163" s="6">
        <v>118.2</v>
      </c>
      <c r="I163" s="6">
        <v>139.2</v>
      </c>
      <c r="J163" s="6">
        <v>133.3</v>
      </c>
      <c r="K163" s="6">
        <v>136.2</v>
      </c>
      <c r="L163" s="6">
        <v>119.6</v>
      </c>
      <c r="M163" s="6">
        <v>135.3</v>
      </c>
      <c r="N163" s="6">
        <v>127.8</v>
      </c>
      <c r="O163" s="6">
        <v>144.9</v>
      </c>
      <c r="P163" s="6">
        <v>135.2</v>
      </c>
      <c r="Q163" s="6">
        <v>146.5</v>
      </c>
      <c r="R163" s="6">
        <v>138.5</v>
      </c>
      <c r="S163" s="6">
        <v>131.7</v>
      </c>
      <c r="T163" s="6">
        <v>137.5</v>
      </c>
      <c r="U163" s="6">
        <v>131.4</v>
      </c>
      <c r="V163" s="6">
        <v>128.8</v>
      </c>
      <c r="W163" s="6">
        <v>131.2</v>
      </c>
      <c r="X163" s="6">
        <v>128.5</v>
      </c>
      <c r="Y163" s="6">
        <v>116.5</v>
      </c>
      <c r="Z163" s="6">
        <v>125.9</v>
      </c>
      <c r="AA163" s="6">
        <v>135.4</v>
      </c>
      <c r="AB163" s="6">
        <v>123.4</v>
      </c>
      <c r="AC163" s="6">
        <v>125.5</v>
      </c>
      <c r="AD163" s="6">
        <v>132</v>
      </c>
      <c r="AE163" s="6" t="str">
        <f t="shared" si="2"/>
        <v>Rural+Urban|2017|June</v>
      </c>
    </row>
    <row r="164" spans="1:31">
      <c r="A164" s="6" t="s">
        <v>49</v>
      </c>
      <c r="B164" s="6">
        <v>2017</v>
      </c>
      <c r="C164" s="6" t="s">
        <v>58</v>
      </c>
      <c r="D164" s="6">
        <v>134</v>
      </c>
      <c r="E164" s="6">
        <v>144.2</v>
      </c>
      <c r="F164" s="6">
        <v>129.8</v>
      </c>
      <c r="G164" s="6">
        <v>139</v>
      </c>
      <c r="H164" s="6">
        <v>120.9</v>
      </c>
      <c r="I164" s="6">
        <v>143.9</v>
      </c>
      <c r="J164" s="6">
        <v>151.5</v>
      </c>
      <c r="K164" s="6">
        <v>138.1</v>
      </c>
      <c r="L164" s="6">
        <v>120</v>
      </c>
      <c r="M164" s="6">
        <v>133.9</v>
      </c>
      <c r="N164" s="6">
        <v>131.4</v>
      </c>
      <c r="O164" s="6">
        <v>147.7</v>
      </c>
      <c r="P164" s="6">
        <v>138.5</v>
      </c>
      <c r="Q164" s="6">
        <v>147.4</v>
      </c>
      <c r="R164" s="6">
        <v>144.3</v>
      </c>
      <c r="S164" s="6">
        <v>138.1</v>
      </c>
      <c r="T164" s="6">
        <v>143.5</v>
      </c>
      <c r="V164" s="6">
        <v>135.3</v>
      </c>
      <c r="W164" s="6">
        <v>136.1</v>
      </c>
      <c r="X164" s="6">
        <v>132.1</v>
      </c>
      <c r="Y164" s="6">
        <v>119.1</v>
      </c>
      <c r="Z164" s="6">
        <v>130.6</v>
      </c>
      <c r="AA164" s="6">
        <v>138.6</v>
      </c>
      <c r="AB164" s="6">
        <v>124.4</v>
      </c>
      <c r="AC164" s="6">
        <v>128.6</v>
      </c>
      <c r="AD164" s="6">
        <v>136.2</v>
      </c>
      <c r="AE164" s="6" t="str">
        <f t="shared" si="2"/>
        <v>Rural|2017|July</v>
      </c>
    </row>
    <row r="165" spans="1:31">
      <c r="A165" s="6" t="s">
        <v>51</v>
      </c>
      <c r="B165" s="6">
        <v>2017</v>
      </c>
      <c r="C165" s="6" t="s">
        <v>58</v>
      </c>
      <c r="D165" s="6">
        <v>132.8</v>
      </c>
      <c r="E165" s="6">
        <v>148.4</v>
      </c>
      <c r="F165" s="6">
        <v>129.4</v>
      </c>
      <c r="G165" s="6">
        <v>137.7</v>
      </c>
      <c r="H165" s="6">
        <v>113.4</v>
      </c>
      <c r="I165" s="6">
        <v>139.4</v>
      </c>
      <c r="J165" s="6">
        <v>175.1</v>
      </c>
      <c r="K165" s="6">
        <v>124.7</v>
      </c>
      <c r="L165" s="6">
        <v>121.5</v>
      </c>
      <c r="M165" s="6">
        <v>137.8</v>
      </c>
      <c r="N165" s="6">
        <v>124.4</v>
      </c>
      <c r="O165" s="6">
        <v>143.7</v>
      </c>
      <c r="P165" s="6">
        <v>139.8</v>
      </c>
      <c r="Q165" s="6">
        <v>150.5</v>
      </c>
      <c r="R165" s="6">
        <v>131.6</v>
      </c>
      <c r="S165" s="6">
        <v>123.7</v>
      </c>
      <c r="T165" s="6">
        <v>130.4</v>
      </c>
      <c r="U165" s="6">
        <v>132.6</v>
      </c>
      <c r="V165" s="6">
        <v>119.7</v>
      </c>
      <c r="W165" s="6">
        <v>127.2</v>
      </c>
      <c r="X165" s="6">
        <v>125</v>
      </c>
      <c r="Y165" s="6">
        <v>113.2</v>
      </c>
      <c r="Z165" s="6">
        <v>123.5</v>
      </c>
      <c r="AA165" s="6">
        <v>135.5</v>
      </c>
      <c r="AB165" s="6">
        <v>122.4</v>
      </c>
      <c r="AC165" s="6">
        <v>123</v>
      </c>
      <c r="AD165" s="6">
        <v>131.8</v>
      </c>
      <c r="AE165" s="6" t="str">
        <f t="shared" si="2"/>
        <v>Urban|2017|July</v>
      </c>
    </row>
    <row r="166" spans="1:31">
      <c r="A166" s="6" t="s">
        <v>52</v>
      </c>
      <c r="B166" s="6">
        <v>2017</v>
      </c>
      <c r="C166" s="6" t="s">
        <v>58</v>
      </c>
      <c r="D166" s="6">
        <v>133.6</v>
      </c>
      <c r="E166" s="6">
        <v>145.7</v>
      </c>
      <c r="F166" s="6">
        <v>129.6</v>
      </c>
      <c r="G166" s="6">
        <v>138.5</v>
      </c>
      <c r="H166" s="6">
        <v>118.1</v>
      </c>
      <c r="I166" s="6">
        <v>141.8</v>
      </c>
      <c r="J166" s="6">
        <v>159.5</v>
      </c>
      <c r="K166" s="6">
        <v>133.6</v>
      </c>
      <c r="L166" s="6">
        <v>120.5</v>
      </c>
      <c r="M166" s="6">
        <v>135.2</v>
      </c>
      <c r="N166" s="6">
        <v>128.5</v>
      </c>
      <c r="O166" s="6">
        <v>145.8</v>
      </c>
      <c r="P166" s="6">
        <v>139</v>
      </c>
      <c r="Q166" s="6">
        <v>148.2</v>
      </c>
      <c r="R166" s="6">
        <v>139.3</v>
      </c>
      <c r="S166" s="6">
        <v>132.1</v>
      </c>
      <c r="T166" s="6">
        <v>138.3</v>
      </c>
      <c r="U166" s="6">
        <v>132.6</v>
      </c>
      <c r="V166" s="6">
        <v>129.4</v>
      </c>
      <c r="W166" s="6">
        <v>131.9</v>
      </c>
      <c r="X166" s="6">
        <v>129.4</v>
      </c>
      <c r="Y166" s="6">
        <v>116</v>
      </c>
      <c r="Z166" s="6">
        <v>126.6</v>
      </c>
      <c r="AA166" s="6">
        <v>136.8</v>
      </c>
      <c r="AB166" s="6">
        <v>123.6</v>
      </c>
      <c r="AC166" s="6">
        <v>125.9</v>
      </c>
      <c r="AD166" s="6">
        <v>134.2</v>
      </c>
      <c r="AE166" s="6" t="str">
        <f t="shared" si="2"/>
        <v>Rural+Urban|2017|July</v>
      </c>
    </row>
    <row r="167" spans="1:31">
      <c r="A167" s="6" t="s">
        <v>49</v>
      </c>
      <c r="B167" s="6">
        <v>2017</v>
      </c>
      <c r="C167" s="6" t="s">
        <v>59</v>
      </c>
      <c r="D167" s="6">
        <v>134.8</v>
      </c>
      <c r="E167" s="6">
        <v>143.1</v>
      </c>
      <c r="F167" s="6">
        <v>130</v>
      </c>
      <c r="G167" s="6">
        <v>139.4</v>
      </c>
      <c r="H167" s="6">
        <v>120.5</v>
      </c>
      <c r="I167" s="6">
        <v>148</v>
      </c>
      <c r="J167" s="6">
        <v>162.9</v>
      </c>
      <c r="K167" s="6">
        <v>137.4</v>
      </c>
      <c r="L167" s="6">
        <v>120.8</v>
      </c>
      <c r="M167" s="6">
        <v>134.7</v>
      </c>
      <c r="N167" s="6">
        <v>131.6</v>
      </c>
      <c r="O167" s="6">
        <v>148.7</v>
      </c>
      <c r="P167" s="6">
        <v>140.6</v>
      </c>
      <c r="Q167" s="6">
        <v>149</v>
      </c>
      <c r="R167" s="6">
        <v>145.3</v>
      </c>
      <c r="S167" s="6">
        <v>139.2</v>
      </c>
      <c r="T167" s="6">
        <v>144.5</v>
      </c>
      <c r="V167" s="6">
        <v>136.4</v>
      </c>
      <c r="W167" s="6">
        <v>137.3</v>
      </c>
      <c r="X167" s="6">
        <v>133</v>
      </c>
      <c r="Y167" s="6">
        <v>120.3</v>
      </c>
      <c r="Z167" s="6">
        <v>131.5</v>
      </c>
      <c r="AA167" s="6">
        <v>140.2</v>
      </c>
      <c r="AB167" s="6">
        <v>125.4</v>
      </c>
      <c r="AC167" s="6">
        <v>129.7</v>
      </c>
      <c r="AD167" s="6">
        <v>137.8</v>
      </c>
      <c r="AE167" s="6" t="str">
        <f t="shared" si="2"/>
        <v>Rural|2017|August</v>
      </c>
    </row>
    <row r="168" spans="1:31">
      <c r="A168" s="6" t="s">
        <v>51</v>
      </c>
      <c r="B168" s="6">
        <v>2017</v>
      </c>
      <c r="C168" s="6" t="s">
        <v>59</v>
      </c>
      <c r="D168" s="6">
        <v>133.2</v>
      </c>
      <c r="E168" s="6">
        <v>143.9</v>
      </c>
      <c r="F168" s="6">
        <v>128.3</v>
      </c>
      <c r="G168" s="6">
        <v>138.3</v>
      </c>
      <c r="H168" s="6">
        <v>114.1</v>
      </c>
      <c r="I168" s="6">
        <v>142.7</v>
      </c>
      <c r="J168" s="6">
        <v>179.8</v>
      </c>
      <c r="K168" s="6">
        <v>123.5</v>
      </c>
      <c r="L168" s="6">
        <v>122.1</v>
      </c>
      <c r="M168" s="6">
        <v>137.5</v>
      </c>
      <c r="N168" s="6">
        <v>124.6</v>
      </c>
      <c r="O168" s="6">
        <v>144.5</v>
      </c>
      <c r="P168" s="6">
        <v>140.5</v>
      </c>
      <c r="Q168" s="6">
        <v>152.1</v>
      </c>
      <c r="R168" s="6">
        <v>132.7</v>
      </c>
      <c r="S168" s="6">
        <v>124.3</v>
      </c>
      <c r="T168" s="6">
        <v>131.4</v>
      </c>
      <c r="U168" s="6">
        <v>134.4</v>
      </c>
      <c r="V168" s="6">
        <v>118.9</v>
      </c>
      <c r="W168" s="6">
        <v>127.7</v>
      </c>
      <c r="X168" s="6">
        <v>125.7</v>
      </c>
      <c r="Y168" s="6">
        <v>114.6</v>
      </c>
      <c r="Z168" s="6">
        <v>124.1</v>
      </c>
      <c r="AA168" s="6">
        <v>135.7</v>
      </c>
      <c r="AB168" s="6">
        <v>123.3</v>
      </c>
      <c r="AC168" s="6">
        <v>123.8</v>
      </c>
      <c r="AD168" s="6">
        <v>132.7</v>
      </c>
      <c r="AE168" s="6" t="str">
        <f t="shared" si="2"/>
        <v>Urban|2017|August</v>
      </c>
    </row>
    <row r="169" spans="1:31">
      <c r="A169" s="6" t="s">
        <v>52</v>
      </c>
      <c r="B169" s="6">
        <v>2017</v>
      </c>
      <c r="C169" s="6" t="s">
        <v>59</v>
      </c>
      <c r="D169" s="6">
        <v>134.3</v>
      </c>
      <c r="E169" s="6">
        <v>143.4</v>
      </c>
      <c r="F169" s="6">
        <v>129.3</v>
      </c>
      <c r="G169" s="6">
        <v>139</v>
      </c>
      <c r="H169" s="6">
        <v>118.1</v>
      </c>
      <c r="I169" s="6">
        <v>145.5</v>
      </c>
      <c r="J169" s="6">
        <v>168.6</v>
      </c>
      <c r="K169" s="6">
        <v>132.7</v>
      </c>
      <c r="L169" s="6">
        <v>121.2</v>
      </c>
      <c r="M169" s="6">
        <v>135.6</v>
      </c>
      <c r="N169" s="6">
        <v>128.7</v>
      </c>
      <c r="O169" s="6">
        <v>146.8</v>
      </c>
      <c r="P169" s="6">
        <v>140.6</v>
      </c>
      <c r="Q169" s="6">
        <v>149.8</v>
      </c>
      <c r="R169" s="6">
        <v>140.3</v>
      </c>
      <c r="S169" s="6">
        <v>133</v>
      </c>
      <c r="T169" s="6">
        <v>139.3</v>
      </c>
      <c r="U169" s="6">
        <v>134.4</v>
      </c>
      <c r="V169" s="6">
        <v>129.8</v>
      </c>
      <c r="W169" s="6">
        <v>132.8</v>
      </c>
      <c r="X169" s="6">
        <v>130.2</v>
      </c>
      <c r="Y169" s="6">
        <v>117.3</v>
      </c>
      <c r="Z169" s="6">
        <v>127.3</v>
      </c>
      <c r="AA169" s="6">
        <v>137.6</v>
      </c>
      <c r="AB169" s="6">
        <v>124.5</v>
      </c>
      <c r="AC169" s="6">
        <v>126.8</v>
      </c>
      <c r="AD169" s="6">
        <v>135.4</v>
      </c>
      <c r="AE169" s="6" t="str">
        <f t="shared" si="2"/>
        <v>Rural+Urban|2017|August</v>
      </c>
    </row>
    <row r="170" spans="1:31">
      <c r="A170" s="6" t="s">
        <v>49</v>
      </c>
      <c r="B170" s="6">
        <v>2017</v>
      </c>
      <c r="C170" s="6" t="s">
        <v>60</v>
      </c>
      <c r="D170" s="6">
        <v>135.2</v>
      </c>
      <c r="E170" s="6">
        <v>142</v>
      </c>
      <c r="F170" s="6">
        <v>130.5</v>
      </c>
      <c r="G170" s="6">
        <v>140.2</v>
      </c>
      <c r="H170" s="6">
        <v>120.7</v>
      </c>
      <c r="I170" s="6">
        <v>147.8</v>
      </c>
      <c r="J170" s="6">
        <v>154.5</v>
      </c>
      <c r="K170" s="6">
        <v>137.1</v>
      </c>
      <c r="L170" s="6">
        <v>121</v>
      </c>
      <c r="M170" s="6">
        <v>134.7</v>
      </c>
      <c r="N170" s="6">
        <v>131.7</v>
      </c>
      <c r="O170" s="6">
        <v>149.3</v>
      </c>
      <c r="P170" s="6">
        <v>139.6</v>
      </c>
      <c r="Q170" s="6">
        <v>149.8</v>
      </c>
      <c r="R170" s="6">
        <v>146.1</v>
      </c>
      <c r="S170" s="6">
        <v>139.7</v>
      </c>
      <c r="T170" s="6">
        <v>145.2</v>
      </c>
      <c r="V170" s="6">
        <v>137.4</v>
      </c>
      <c r="W170" s="6">
        <v>137.9</v>
      </c>
      <c r="X170" s="6">
        <v>133.4</v>
      </c>
      <c r="Y170" s="6">
        <v>121.2</v>
      </c>
      <c r="Z170" s="6">
        <v>132.3</v>
      </c>
      <c r="AA170" s="6">
        <v>139.6</v>
      </c>
      <c r="AB170" s="6">
        <v>126.7</v>
      </c>
      <c r="AC170" s="6">
        <v>130.3</v>
      </c>
      <c r="AD170" s="6">
        <v>137.6</v>
      </c>
      <c r="AE170" s="6" t="str">
        <f t="shared" si="2"/>
        <v>Rural|2017|September</v>
      </c>
    </row>
    <row r="171" spans="1:31">
      <c r="A171" s="6" t="s">
        <v>51</v>
      </c>
      <c r="B171" s="6">
        <v>2017</v>
      </c>
      <c r="C171" s="6" t="s">
        <v>60</v>
      </c>
      <c r="D171" s="6">
        <v>133.6</v>
      </c>
      <c r="E171" s="6">
        <v>143</v>
      </c>
      <c r="F171" s="6">
        <v>129.7</v>
      </c>
      <c r="G171" s="6">
        <v>138.7</v>
      </c>
      <c r="H171" s="6">
        <v>114.5</v>
      </c>
      <c r="I171" s="6">
        <v>137.5</v>
      </c>
      <c r="J171" s="6">
        <v>160.7</v>
      </c>
      <c r="K171" s="6">
        <v>124.5</v>
      </c>
      <c r="L171" s="6">
        <v>122.4</v>
      </c>
      <c r="M171" s="6">
        <v>137.3</v>
      </c>
      <c r="N171" s="6">
        <v>124.8</v>
      </c>
      <c r="O171" s="6">
        <v>145</v>
      </c>
      <c r="P171" s="6">
        <v>138</v>
      </c>
      <c r="Q171" s="6">
        <v>153.6</v>
      </c>
      <c r="R171" s="6">
        <v>133.3</v>
      </c>
      <c r="S171" s="6">
        <v>124.6</v>
      </c>
      <c r="T171" s="6">
        <v>132</v>
      </c>
      <c r="U171" s="6">
        <v>135.7</v>
      </c>
      <c r="V171" s="6">
        <v>120.6</v>
      </c>
      <c r="W171" s="6">
        <v>128.1</v>
      </c>
      <c r="X171" s="6">
        <v>126.1</v>
      </c>
      <c r="Y171" s="6">
        <v>115.7</v>
      </c>
      <c r="Z171" s="6">
        <v>124.5</v>
      </c>
      <c r="AA171" s="6">
        <v>135.9</v>
      </c>
      <c r="AB171" s="6">
        <v>124.4</v>
      </c>
      <c r="AC171" s="6">
        <v>124.5</v>
      </c>
      <c r="AD171" s="6">
        <v>132.4</v>
      </c>
      <c r="AE171" s="6" t="str">
        <f t="shared" si="2"/>
        <v>Urban|2017|September</v>
      </c>
    </row>
    <row r="172" spans="1:31">
      <c r="A172" s="6" t="s">
        <v>52</v>
      </c>
      <c r="B172" s="6">
        <v>2017</v>
      </c>
      <c r="C172" s="6" t="s">
        <v>60</v>
      </c>
      <c r="D172" s="6">
        <v>134.7</v>
      </c>
      <c r="E172" s="6">
        <v>142.4</v>
      </c>
      <c r="F172" s="6">
        <v>130.2</v>
      </c>
      <c r="G172" s="6">
        <v>139.6</v>
      </c>
      <c r="H172" s="6">
        <v>118.4</v>
      </c>
      <c r="I172" s="6">
        <v>143</v>
      </c>
      <c r="J172" s="6">
        <v>156.6</v>
      </c>
      <c r="K172" s="6">
        <v>132.9</v>
      </c>
      <c r="L172" s="6">
        <v>121.5</v>
      </c>
      <c r="M172" s="6">
        <v>135.6</v>
      </c>
      <c r="N172" s="6">
        <v>128.8</v>
      </c>
      <c r="O172" s="6">
        <v>147.3</v>
      </c>
      <c r="P172" s="6">
        <v>139</v>
      </c>
      <c r="Q172" s="6">
        <v>150.8</v>
      </c>
      <c r="R172" s="6">
        <v>141.1</v>
      </c>
      <c r="S172" s="6">
        <v>133.4</v>
      </c>
      <c r="T172" s="6">
        <v>140</v>
      </c>
      <c r="U172" s="6">
        <v>135.7</v>
      </c>
      <c r="V172" s="6">
        <v>131</v>
      </c>
      <c r="W172" s="6">
        <v>133.3</v>
      </c>
      <c r="X172" s="6">
        <v>130.6</v>
      </c>
      <c r="Y172" s="6">
        <v>118.3</v>
      </c>
      <c r="Z172" s="6">
        <v>127.9</v>
      </c>
      <c r="AA172" s="6">
        <v>137.4</v>
      </c>
      <c r="AB172" s="6">
        <v>125.7</v>
      </c>
      <c r="AC172" s="6">
        <v>127.5</v>
      </c>
      <c r="AD172" s="6">
        <v>135.2</v>
      </c>
      <c r="AE172" s="6" t="str">
        <f t="shared" si="2"/>
        <v>Rural+Urban|2017|September</v>
      </c>
    </row>
    <row r="173" spans="1:31">
      <c r="A173" s="6" t="s">
        <v>49</v>
      </c>
      <c r="B173" s="6">
        <v>2017</v>
      </c>
      <c r="C173" s="6" t="s">
        <v>61</v>
      </c>
      <c r="D173" s="6">
        <v>135.9</v>
      </c>
      <c r="E173" s="6">
        <v>141.9</v>
      </c>
      <c r="F173" s="6">
        <v>131</v>
      </c>
      <c r="G173" s="6">
        <v>141.5</v>
      </c>
      <c r="H173" s="6">
        <v>121.4</v>
      </c>
      <c r="I173" s="6">
        <v>146.7</v>
      </c>
      <c r="J173" s="6">
        <v>157.1</v>
      </c>
      <c r="K173" s="6">
        <v>136.4</v>
      </c>
      <c r="L173" s="6">
        <v>121.4</v>
      </c>
      <c r="M173" s="6">
        <v>135.6</v>
      </c>
      <c r="N173" s="6">
        <v>131.3</v>
      </c>
      <c r="O173" s="6">
        <v>150.3</v>
      </c>
      <c r="P173" s="6">
        <v>140.4</v>
      </c>
      <c r="Q173" s="6">
        <v>150.5</v>
      </c>
      <c r="R173" s="6">
        <v>147.2</v>
      </c>
      <c r="S173" s="6">
        <v>140.6</v>
      </c>
      <c r="T173" s="6">
        <v>146.2</v>
      </c>
      <c r="V173" s="6">
        <v>138.1</v>
      </c>
      <c r="W173" s="6">
        <v>138.4</v>
      </c>
      <c r="X173" s="6">
        <v>134.2</v>
      </c>
      <c r="Y173" s="6">
        <v>121</v>
      </c>
      <c r="Z173" s="6">
        <v>133</v>
      </c>
      <c r="AA173" s="6">
        <v>140.1</v>
      </c>
      <c r="AB173" s="6">
        <v>127.4</v>
      </c>
      <c r="AC173" s="6">
        <v>130.7</v>
      </c>
      <c r="AD173" s="6">
        <v>138.3</v>
      </c>
      <c r="AE173" s="6" t="str">
        <f t="shared" si="2"/>
        <v>Rural|2017|October</v>
      </c>
    </row>
    <row r="174" spans="1:31">
      <c r="A174" s="6" t="s">
        <v>51</v>
      </c>
      <c r="B174" s="6">
        <v>2017</v>
      </c>
      <c r="C174" s="6" t="s">
        <v>61</v>
      </c>
      <c r="D174" s="6">
        <v>133.9</v>
      </c>
      <c r="E174" s="6">
        <v>142.8</v>
      </c>
      <c r="F174" s="6">
        <v>131.4</v>
      </c>
      <c r="G174" s="6">
        <v>139.1</v>
      </c>
      <c r="H174" s="6">
        <v>114.9</v>
      </c>
      <c r="I174" s="6">
        <v>135.6</v>
      </c>
      <c r="J174" s="6">
        <v>173.2</v>
      </c>
      <c r="K174" s="6">
        <v>124.1</v>
      </c>
      <c r="L174" s="6">
        <v>122.6</v>
      </c>
      <c r="M174" s="6">
        <v>137.8</v>
      </c>
      <c r="N174" s="6">
        <v>125.1</v>
      </c>
      <c r="O174" s="6">
        <v>145.5</v>
      </c>
      <c r="P174" s="6">
        <v>139.7</v>
      </c>
      <c r="Q174" s="6">
        <v>154.6</v>
      </c>
      <c r="R174" s="6">
        <v>134</v>
      </c>
      <c r="S174" s="6">
        <v>124.9</v>
      </c>
      <c r="T174" s="6">
        <v>132.6</v>
      </c>
      <c r="U174" s="6">
        <v>137.3</v>
      </c>
      <c r="V174" s="6">
        <v>122.6</v>
      </c>
      <c r="W174" s="6">
        <v>128.3</v>
      </c>
      <c r="X174" s="6">
        <v>126.6</v>
      </c>
      <c r="Y174" s="6">
        <v>115</v>
      </c>
      <c r="Z174" s="6">
        <v>124.8</v>
      </c>
      <c r="AA174" s="6">
        <v>136.3</v>
      </c>
      <c r="AB174" s="6">
        <v>124.6</v>
      </c>
      <c r="AC174" s="6">
        <v>124.5</v>
      </c>
      <c r="AD174" s="6">
        <v>133.5</v>
      </c>
      <c r="AE174" s="6" t="str">
        <f t="shared" si="2"/>
        <v>Urban|2017|October</v>
      </c>
    </row>
    <row r="175" spans="1:31">
      <c r="A175" s="6" t="s">
        <v>52</v>
      </c>
      <c r="B175" s="6">
        <v>2017</v>
      </c>
      <c r="C175" s="6" t="s">
        <v>61</v>
      </c>
      <c r="D175" s="6">
        <v>135.3</v>
      </c>
      <c r="E175" s="6">
        <v>142.2</v>
      </c>
      <c r="F175" s="6">
        <v>131.2</v>
      </c>
      <c r="G175" s="6">
        <v>140.6</v>
      </c>
      <c r="H175" s="6">
        <v>119</v>
      </c>
      <c r="I175" s="6">
        <v>141.5</v>
      </c>
      <c r="J175" s="6">
        <v>162.6</v>
      </c>
      <c r="K175" s="6">
        <v>132.3</v>
      </c>
      <c r="L175" s="6">
        <v>121.8</v>
      </c>
      <c r="M175" s="6">
        <v>136.3</v>
      </c>
      <c r="N175" s="6">
        <v>128.7</v>
      </c>
      <c r="O175" s="6">
        <v>148.1</v>
      </c>
      <c r="P175" s="6">
        <v>140.1</v>
      </c>
      <c r="Q175" s="6">
        <v>151.6</v>
      </c>
      <c r="R175" s="6">
        <v>142</v>
      </c>
      <c r="S175" s="6">
        <v>134.1</v>
      </c>
      <c r="T175" s="6">
        <v>140.8</v>
      </c>
      <c r="U175" s="6">
        <v>137.3</v>
      </c>
      <c r="V175" s="6">
        <v>132.2</v>
      </c>
      <c r="W175" s="6">
        <v>133.6</v>
      </c>
      <c r="X175" s="6">
        <v>131.3</v>
      </c>
      <c r="Y175" s="6">
        <v>117.8</v>
      </c>
      <c r="Z175" s="6">
        <v>128.4</v>
      </c>
      <c r="AA175" s="6">
        <v>137.9</v>
      </c>
      <c r="AB175" s="6">
        <v>126.2</v>
      </c>
      <c r="AC175" s="6">
        <v>127.7</v>
      </c>
      <c r="AD175" s="6">
        <v>136.1</v>
      </c>
      <c r="AE175" s="6" t="str">
        <f t="shared" si="2"/>
        <v>Rural+Urban|2017|October</v>
      </c>
    </row>
    <row r="176" spans="1:31">
      <c r="A176" s="6" t="s">
        <v>49</v>
      </c>
      <c r="B176" s="6">
        <v>2017</v>
      </c>
      <c r="C176" s="6" t="s">
        <v>62</v>
      </c>
      <c r="D176" s="6">
        <v>136.3</v>
      </c>
      <c r="E176" s="6">
        <v>142.5</v>
      </c>
      <c r="F176" s="6">
        <v>140.5</v>
      </c>
      <c r="G176" s="6">
        <v>141.5</v>
      </c>
      <c r="H176" s="6">
        <v>121.6</v>
      </c>
      <c r="I176" s="6">
        <v>147.3</v>
      </c>
      <c r="J176" s="6">
        <v>168</v>
      </c>
      <c r="K176" s="6">
        <v>135.8</v>
      </c>
      <c r="L176" s="6">
        <v>122.5</v>
      </c>
      <c r="M176" s="6">
        <v>136</v>
      </c>
      <c r="N176" s="6">
        <v>131.9</v>
      </c>
      <c r="O176" s="6">
        <v>151.4</v>
      </c>
      <c r="P176" s="6">
        <v>142.4</v>
      </c>
      <c r="Q176" s="6">
        <v>152.1</v>
      </c>
      <c r="R176" s="6">
        <v>148.2</v>
      </c>
      <c r="S176" s="6">
        <v>141.5</v>
      </c>
      <c r="T176" s="6">
        <v>147.3</v>
      </c>
      <c r="V176" s="6">
        <v>141.1</v>
      </c>
      <c r="W176" s="6">
        <v>139.4</v>
      </c>
      <c r="X176" s="6">
        <v>135.8</v>
      </c>
      <c r="Y176" s="6">
        <v>121.6</v>
      </c>
      <c r="Z176" s="6">
        <v>133.7</v>
      </c>
      <c r="AA176" s="6">
        <v>141.5</v>
      </c>
      <c r="AB176" s="6">
        <v>128.1</v>
      </c>
      <c r="AC176" s="6">
        <v>131.7</v>
      </c>
      <c r="AD176" s="6">
        <v>140</v>
      </c>
      <c r="AE176" s="6" t="str">
        <f t="shared" si="2"/>
        <v>Rural|2017|November</v>
      </c>
    </row>
    <row r="177" spans="1:31">
      <c r="A177" s="6" t="s">
        <v>51</v>
      </c>
      <c r="B177" s="6">
        <v>2017</v>
      </c>
      <c r="C177" s="6" t="s">
        <v>62</v>
      </c>
      <c r="D177" s="6">
        <v>134.3</v>
      </c>
      <c r="E177" s="6">
        <v>142.1</v>
      </c>
      <c r="F177" s="6">
        <v>146.7</v>
      </c>
      <c r="G177" s="6">
        <v>139.5</v>
      </c>
      <c r="H177" s="6">
        <v>115.2</v>
      </c>
      <c r="I177" s="6">
        <v>136.4</v>
      </c>
      <c r="J177" s="6">
        <v>185.2</v>
      </c>
      <c r="K177" s="6">
        <v>122.2</v>
      </c>
      <c r="L177" s="6">
        <v>123.9</v>
      </c>
      <c r="M177" s="6">
        <v>138.3</v>
      </c>
      <c r="N177" s="6">
        <v>125.4</v>
      </c>
      <c r="O177" s="6">
        <v>146</v>
      </c>
      <c r="P177" s="6">
        <v>141.5</v>
      </c>
      <c r="Q177" s="6">
        <v>156.2</v>
      </c>
      <c r="R177" s="6">
        <v>135</v>
      </c>
      <c r="S177" s="6">
        <v>125.4</v>
      </c>
      <c r="T177" s="6">
        <v>133.5</v>
      </c>
      <c r="U177" s="6">
        <v>138.6</v>
      </c>
      <c r="V177" s="6">
        <v>125.7</v>
      </c>
      <c r="W177" s="6">
        <v>128.8</v>
      </c>
      <c r="X177" s="6">
        <v>127.4</v>
      </c>
      <c r="Y177" s="6">
        <v>115.3</v>
      </c>
      <c r="Z177" s="6">
        <v>125.1</v>
      </c>
      <c r="AA177" s="6">
        <v>136.6</v>
      </c>
      <c r="AB177" s="6">
        <v>124.9</v>
      </c>
      <c r="AC177" s="6">
        <v>124.9</v>
      </c>
      <c r="AD177" s="6">
        <v>134.8</v>
      </c>
      <c r="AE177" s="6" t="str">
        <f t="shared" si="2"/>
        <v>Urban|2017|November</v>
      </c>
    </row>
    <row r="178" spans="1:31">
      <c r="A178" s="6" t="s">
        <v>52</v>
      </c>
      <c r="B178" s="6">
        <v>2017</v>
      </c>
      <c r="C178" s="6" t="s">
        <v>62</v>
      </c>
      <c r="D178" s="6">
        <v>135.7</v>
      </c>
      <c r="E178" s="6">
        <v>142.4</v>
      </c>
      <c r="F178" s="6">
        <v>142.9</v>
      </c>
      <c r="G178" s="6">
        <v>140.8</v>
      </c>
      <c r="H178" s="6">
        <v>119.2</v>
      </c>
      <c r="I178" s="6">
        <v>142.2</v>
      </c>
      <c r="J178" s="6">
        <v>173.8</v>
      </c>
      <c r="K178" s="6">
        <v>131.2</v>
      </c>
      <c r="L178" s="6">
        <v>123</v>
      </c>
      <c r="M178" s="6">
        <v>136.8</v>
      </c>
      <c r="N178" s="6">
        <v>129.2</v>
      </c>
      <c r="O178" s="6">
        <v>148.9</v>
      </c>
      <c r="P178" s="6">
        <v>142.1</v>
      </c>
      <c r="Q178" s="6">
        <v>153.2</v>
      </c>
      <c r="R178" s="6">
        <v>143</v>
      </c>
      <c r="S178" s="6">
        <v>134.8</v>
      </c>
      <c r="T178" s="6">
        <v>141.8</v>
      </c>
      <c r="U178" s="6">
        <v>138.6</v>
      </c>
      <c r="V178" s="6">
        <v>135.3</v>
      </c>
      <c r="W178" s="6">
        <v>134.4</v>
      </c>
      <c r="X178" s="6">
        <v>132.6</v>
      </c>
      <c r="Y178" s="6">
        <v>118.3</v>
      </c>
      <c r="Z178" s="6">
        <v>128.9</v>
      </c>
      <c r="AA178" s="6">
        <v>138.6</v>
      </c>
      <c r="AB178" s="6">
        <v>126.8</v>
      </c>
      <c r="AC178" s="6">
        <v>128.4</v>
      </c>
      <c r="AD178" s="6">
        <v>137.6</v>
      </c>
      <c r="AE178" s="6" t="str">
        <f t="shared" si="2"/>
        <v>Rural+Urban|2017|November</v>
      </c>
    </row>
    <row r="179" spans="1:31">
      <c r="A179" s="6" t="s">
        <v>49</v>
      </c>
      <c r="B179" s="6">
        <v>2017</v>
      </c>
      <c r="C179" s="6" t="s">
        <v>63</v>
      </c>
      <c r="D179" s="6">
        <v>136.4</v>
      </c>
      <c r="E179" s="6">
        <v>143.7</v>
      </c>
      <c r="F179" s="6">
        <v>144.8</v>
      </c>
      <c r="G179" s="6">
        <v>141.9</v>
      </c>
      <c r="H179" s="6">
        <v>123.1</v>
      </c>
      <c r="I179" s="6">
        <v>147.2</v>
      </c>
      <c r="J179" s="6">
        <v>161</v>
      </c>
      <c r="K179" s="6">
        <v>133.8</v>
      </c>
      <c r="L179" s="6">
        <v>121.9</v>
      </c>
      <c r="M179" s="6">
        <v>135.8</v>
      </c>
      <c r="N179" s="6">
        <v>131.1</v>
      </c>
      <c r="O179" s="6">
        <v>151.4</v>
      </c>
      <c r="P179" s="6">
        <v>141.5</v>
      </c>
      <c r="Q179" s="6">
        <v>153.2</v>
      </c>
      <c r="R179" s="6">
        <v>148</v>
      </c>
      <c r="S179" s="6">
        <v>141.9</v>
      </c>
      <c r="T179" s="6">
        <v>147.2</v>
      </c>
      <c r="V179" s="6">
        <v>142.6</v>
      </c>
      <c r="W179" s="6">
        <v>139.5</v>
      </c>
      <c r="X179" s="6">
        <v>136.1</v>
      </c>
      <c r="Y179" s="6">
        <v>122</v>
      </c>
      <c r="Z179" s="6">
        <v>133.4</v>
      </c>
      <c r="AA179" s="6">
        <v>141.1</v>
      </c>
      <c r="AB179" s="6">
        <v>127.8</v>
      </c>
      <c r="AC179" s="6">
        <v>131.9</v>
      </c>
      <c r="AD179" s="6">
        <v>139.8</v>
      </c>
      <c r="AE179" s="6" t="str">
        <f t="shared" si="2"/>
        <v>Rural|2017|December</v>
      </c>
    </row>
    <row r="180" spans="1:31">
      <c r="A180" s="6" t="s">
        <v>51</v>
      </c>
      <c r="B180" s="6">
        <v>2017</v>
      </c>
      <c r="C180" s="6" t="s">
        <v>63</v>
      </c>
      <c r="D180" s="6">
        <v>134.4</v>
      </c>
      <c r="E180" s="6">
        <v>142.6</v>
      </c>
      <c r="F180" s="6">
        <v>145.9</v>
      </c>
      <c r="G180" s="6">
        <v>139.5</v>
      </c>
      <c r="H180" s="6">
        <v>115.9</v>
      </c>
      <c r="I180" s="6">
        <v>135</v>
      </c>
      <c r="J180" s="6">
        <v>163.2</v>
      </c>
      <c r="K180" s="6">
        <v>119.8</v>
      </c>
      <c r="L180" s="6">
        <v>120.7</v>
      </c>
      <c r="M180" s="6">
        <v>139.7</v>
      </c>
      <c r="N180" s="6">
        <v>125.7</v>
      </c>
      <c r="O180" s="6">
        <v>146.3</v>
      </c>
      <c r="P180" s="6">
        <v>138.8</v>
      </c>
      <c r="Q180" s="6">
        <v>157</v>
      </c>
      <c r="R180" s="6">
        <v>135.6</v>
      </c>
      <c r="S180" s="6">
        <v>125.6</v>
      </c>
      <c r="T180" s="6">
        <v>134</v>
      </c>
      <c r="U180" s="6">
        <v>139.1</v>
      </c>
      <c r="V180" s="6">
        <v>126.8</v>
      </c>
      <c r="W180" s="6">
        <v>129.3</v>
      </c>
      <c r="X180" s="6">
        <v>128.2</v>
      </c>
      <c r="Y180" s="6">
        <v>115.3</v>
      </c>
      <c r="Z180" s="6">
        <v>125.6</v>
      </c>
      <c r="AA180" s="6">
        <v>136.7</v>
      </c>
      <c r="AB180" s="6">
        <v>124.6</v>
      </c>
      <c r="AC180" s="6">
        <v>125.1</v>
      </c>
      <c r="AD180" s="6">
        <v>134.1</v>
      </c>
      <c r="AE180" s="6" t="str">
        <f t="shared" si="2"/>
        <v>Urban|2017|December</v>
      </c>
    </row>
    <row r="181" spans="1:31">
      <c r="A181" s="6" t="s">
        <v>52</v>
      </c>
      <c r="B181" s="6">
        <v>2017</v>
      </c>
      <c r="C181" s="6" t="s">
        <v>63</v>
      </c>
      <c r="D181" s="6">
        <v>135.8</v>
      </c>
      <c r="E181" s="6">
        <v>143.3</v>
      </c>
      <c r="F181" s="6">
        <v>145.2</v>
      </c>
      <c r="G181" s="6">
        <v>141</v>
      </c>
      <c r="H181" s="6">
        <v>120.5</v>
      </c>
      <c r="I181" s="6">
        <v>141.5</v>
      </c>
      <c r="J181" s="6">
        <v>161.7</v>
      </c>
      <c r="K181" s="6">
        <v>129.1</v>
      </c>
      <c r="L181" s="6">
        <v>121.5</v>
      </c>
      <c r="M181" s="6">
        <v>137.1</v>
      </c>
      <c r="N181" s="6">
        <v>128.8</v>
      </c>
      <c r="O181" s="6">
        <v>149</v>
      </c>
      <c r="P181" s="6">
        <v>140.5</v>
      </c>
      <c r="Q181" s="6">
        <v>154.2</v>
      </c>
      <c r="R181" s="6">
        <v>143.1</v>
      </c>
      <c r="S181" s="6">
        <v>135.1</v>
      </c>
      <c r="T181" s="6">
        <v>142</v>
      </c>
      <c r="U181" s="6">
        <v>139.1</v>
      </c>
      <c r="V181" s="6">
        <v>136.6</v>
      </c>
      <c r="W181" s="6">
        <v>134.7</v>
      </c>
      <c r="X181" s="6">
        <v>133.1</v>
      </c>
      <c r="Y181" s="6">
        <v>118.5</v>
      </c>
      <c r="Z181" s="6">
        <v>129</v>
      </c>
      <c r="AA181" s="6">
        <v>138.5</v>
      </c>
      <c r="AB181" s="6">
        <v>126.5</v>
      </c>
      <c r="AC181" s="6">
        <v>128.6</v>
      </c>
      <c r="AD181" s="6">
        <v>137.2</v>
      </c>
      <c r="AE181" s="6" t="str">
        <f t="shared" si="2"/>
        <v>Rural+Urban|2017|December</v>
      </c>
    </row>
    <row r="182" spans="1:31">
      <c r="A182" s="6" t="s">
        <v>49</v>
      </c>
      <c r="B182" s="6">
        <v>2018</v>
      </c>
      <c r="C182" s="6" t="s">
        <v>50</v>
      </c>
      <c r="D182" s="6">
        <v>136.6</v>
      </c>
      <c r="E182" s="6">
        <v>144.4</v>
      </c>
      <c r="F182" s="6">
        <v>143.8</v>
      </c>
      <c r="G182" s="6">
        <v>142</v>
      </c>
      <c r="H182" s="6">
        <v>123.2</v>
      </c>
      <c r="I182" s="6">
        <v>147.9</v>
      </c>
      <c r="J182" s="6">
        <v>152.1</v>
      </c>
      <c r="K182" s="6">
        <v>131.8</v>
      </c>
      <c r="L182" s="6">
        <v>119.5</v>
      </c>
      <c r="M182" s="6">
        <v>136</v>
      </c>
      <c r="N182" s="6">
        <v>131.2</v>
      </c>
      <c r="O182" s="6">
        <v>151.8</v>
      </c>
      <c r="P182" s="6">
        <v>140.4</v>
      </c>
      <c r="Q182" s="6">
        <v>153.6</v>
      </c>
      <c r="R182" s="6">
        <v>148.3</v>
      </c>
      <c r="S182" s="6">
        <v>142.3</v>
      </c>
      <c r="T182" s="6">
        <v>147.5</v>
      </c>
      <c r="V182" s="6">
        <v>142.3</v>
      </c>
      <c r="W182" s="6">
        <v>139.8</v>
      </c>
      <c r="X182" s="6">
        <v>136</v>
      </c>
      <c r="Y182" s="6">
        <v>122.7</v>
      </c>
      <c r="Z182" s="6">
        <v>134.3</v>
      </c>
      <c r="AA182" s="6">
        <v>141.6</v>
      </c>
      <c r="AB182" s="6">
        <v>128.6</v>
      </c>
      <c r="AC182" s="6">
        <v>132.3</v>
      </c>
      <c r="AD182" s="6">
        <v>139.3</v>
      </c>
      <c r="AE182" s="6" t="str">
        <f t="shared" si="2"/>
        <v>Rural|2018|January</v>
      </c>
    </row>
    <row r="183" spans="1:31">
      <c r="A183" s="6" t="s">
        <v>51</v>
      </c>
      <c r="B183" s="6">
        <v>2018</v>
      </c>
      <c r="C183" s="6" t="s">
        <v>50</v>
      </c>
      <c r="D183" s="6">
        <v>134.6</v>
      </c>
      <c r="E183" s="6">
        <v>143.7</v>
      </c>
      <c r="F183" s="6">
        <v>143.6</v>
      </c>
      <c r="G183" s="6">
        <v>139.6</v>
      </c>
      <c r="H183" s="6">
        <v>116.4</v>
      </c>
      <c r="I183" s="6">
        <v>133.8</v>
      </c>
      <c r="J183" s="6">
        <v>150.5</v>
      </c>
      <c r="K183" s="6">
        <v>118.4</v>
      </c>
      <c r="L183" s="6">
        <v>117.3</v>
      </c>
      <c r="M183" s="6">
        <v>140.5</v>
      </c>
      <c r="N183" s="6">
        <v>125.9</v>
      </c>
      <c r="O183" s="6">
        <v>146.8</v>
      </c>
      <c r="P183" s="6">
        <v>137.2</v>
      </c>
      <c r="Q183" s="6">
        <v>157.7</v>
      </c>
      <c r="R183" s="6">
        <v>136</v>
      </c>
      <c r="S183" s="6">
        <v>125.9</v>
      </c>
      <c r="T183" s="6">
        <v>134.4</v>
      </c>
      <c r="U183" s="6">
        <v>140.4</v>
      </c>
      <c r="V183" s="6">
        <v>127.3</v>
      </c>
      <c r="W183" s="6">
        <v>129.5</v>
      </c>
      <c r="X183" s="6">
        <v>129</v>
      </c>
      <c r="Y183" s="6">
        <v>116.3</v>
      </c>
      <c r="Z183" s="6">
        <v>126.2</v>
      </c>
      <c r="AA183" s="6">
        <v>137.1</v>
      </c>
      <c r="AB183" s="6">
        <v>125.5</v>
      </c>
      <c r="AC183" s="6">
        <v>125.8</v>
      </c>
      <c r="AD183" s="6">
        <v>134.1</v>
      </c>
      <c r="AE183" s="6" t="str">
        <f t="shared" si="2"/>
        <v>Urban|2018|January</v>
      </c>
    </row>
    <row r="184" spans="1:31">
      <c r="A184" s="6" t="s">
        <v>52</v>
      </c>
      <c r="B184" s="6">
        <v>2018</v>
      </c>
      <c r="C184" s="6" t="s">
        <v>50</v>
      </c>
      <c r="D184" s="6">
        <v>136</v>
      </c>
      <c r="E184" s="6">
        <v>144.2</v>
      </c>
      <c r="F184" s="6">
        <v>143.7</v>
      </c>
      <c r="G184" s="6">
        <v>141.1</v>
      </c>
      <c r="H184" s="6">
        <v>120.7</v>
      </c>
      <c r="I184" s="6">
        <v>141.3</v>
      </c>
      <c r="J184" s="6">
        <v>151.6</v>
      </c>
      <c r="K184" s="6">
        <v>127.3</v>
      </c>
      <c r="L184" s="6">
        <v>118.8</v>
      </c>
      <c r="M184" s="6">
        <v>137.5</v>
      </c>
      <c r="N184" s="6">
        <v>129</v>
      </c>
      <c r="O184" s="6">
        <v>149.5</v>
      </c>
      <c r="P184" s="6">
        <v>139.2</v>
      </c>
      <c r="Q184" s="6">
        <v>154.7</v>
      </c>
      <c r="R184" s="6">
        <v>143.5</v>
      </c>
      <c r="S184" s="6">
        <v>135.5</v>
      </c>
      <c r="T184" s="6">
        <v>142.3</v>
      </c>
      <c r="U184" s="6">
        <v>140.4</v>
      </c>
      <c r="V184" s="6">
        <v>136.6</v>
      </c>
      <c r="W184" s="6">
        <v>134.9</v>
      </c>
      <c r="X184" s="6">
        <v>133.3</v>
      </c>
      <c r="Y184" s="6">
        <v>119.3</v>
      </c>
      <c r="Z184" s="6">
        <v>129.7</v>
      </c>
      <c r="AA184" s="6">
        <v>139</v>
      </c>
      <c r="AB184" s="6">
        <v>127.3</v>
      </c>
      <c r="AC184" s="6">
        <v>129.1</v>
      </c>
      <c r="AD184" s="6">
        <v>136.9</v>
      </c>
      <c r="AE184" s="6" t="str">
        <f t="shared" si="2"/>
        <v>Rural+Urban|2018|January</v>
      </c>
    </row>
    <row r="185" spans="1:31">
      <c r="A185" s="6" t="s">
        <v>49</v>
      </c>
      <c r="B185" s="6">
        <v>2018</v>
      </c>
      <c r="C185" s="6" t="s">
        <v>53</v>
      </c>
      <c r="D185" s="6">
        <v>136.4</v>
      </c>
      <c r="E185" s="6">
        <v>143.7</v>
      </c>
      <c r="F185" s="6">
        <v>140.6</v>
      </c>
      <c r="G185" s="6">
        <v>141.5</v>
      </c>
      <c r="H185" s="6">
        <v>122.9</v>
      </c>
      <c r="I185" s="6">
        <v>149.4</v>
      </c>
      <c r="J185" s="6">
        <v>142.4</v>
      </c>
      <c r="K185" s="6">
        <v>130.2</v>
      </c>
      <c r="L185" s="6">
        <v>117.9</v>
      </c>
      <c r="M185" s="6">
        <v>135.6</v>
      </c>
      <c r="N185" s="6">
        <v>130.5</v>
      </c>
      <c r="O185" s="6">
        <v>151.7</v>
      </c>
      <c r="P185" s="6">
        <v>138.7</v>
      </c>
      <c r="Q185" s="6">
        <v>153.3</v>
      </c>
      <c r="R185" s="6">
        <v>148.7</v>
      </c>
      <c r="S185" s="6">
        <v>142.4</v>
      </c>
      <c r="T185" s="6">
        <v>147.8</v>
      </c>
      <c r="V185" s="6">
        <v>142.4</v>
      </c>
      <c r="W185" s="6">
        <v>139.9</v>
      </c>
      <c r="X185" s="6">
        <v>136.2</v>
      </c>
      <c r="Y185" s="6">
        <v>123.3</v>
      </c>
      <c r="Z185" s="6">
        <v>134.3</v>
      </c>
      <c r="AA185" s="6">
        <v>141.5</v>
      </c>
      <c r="AB185" s="6">
        <v>128.8</v>
      </c>
      <c r="AC185" s="6">
        <v>132.5</v>
      </c>
      <c r="AD185" s="6">
        <v>138.5</v>
      </c>
      <c r="AE185" s="6" t="str">
        <f t="shared" si="2"/>
        <v>Rural|2018|February</v>
      </c>
    </row>
    <row r="186" spans="1:31">
      <c r="A186" s="6" t="s">
        <v>51</v>
      </c>
      <c r="B186" s="6">
        <v>2018</v>
      </c>
      <c r="C186" s="6" t="s">
        <v>53</v>
      </c>
      <c r="D186" s="6">
        <v>134.8</v>
      </c>
      <c r="E186" s="6">
        <v>143</v>
      </c>
      <c r="F186" s="6">
        <v>139.9</v>
      </c>
      <c r="G186" s="6">
        <v>139.9</v>
      </c>
      <c r="H186" s="6">
        <v>116.2</v>
      </c>
      <c r="I186" s="6">
        <v>135.5</v>
      </c>
      <c r="J186" s="6">
        <v>136.9</v>
      </c>
      <c r="K186" s="6">
        <v>117</v>
      </c>
      <c r="L186" s="6">
        <v>115.4</v>
      </c>
      <c r="M186" s="6">
        <v>140.7</v>
      </c>
      <c r="N186" s="6">
        <v>125.9</v>
      </c>
      <c r="O186" s="6">
        <v>147.1</v>
      </c>
      <c r="P186" s="6">
        <v>135.6</v>
      </c>
      <c r="Q186" s="6">
        <v>159.3</v>
      </c>
      <c r="R186" s="6">
        <v>136.3</v>
      </c>
      <c r="S186" s="6">
        <v>126.1</v>
      </c>
      <c r="T186" s="6">
        <v>134.7</v>
      </c>
      <c r="U186" s="6">
        <v>141.3</v>
      </c>
      <c r="V186" s="6">
        <v>127.3</v>
      </c>
      <c r="W186" s="6">
        <v>129.9</v>
      </c>
      <c r="X186" s="6">
        <v>129.8</v>
      </c>
      <c r="Y186" s="6">
        <v>117.4</v>
      </c>
      <c r="Z186" s="6">
        <v>126.5</v>
      </c>
      <c r="AA186" s="6">
        <v>137.2</v>
      </c>
      <c r="AB186" s="6">
        <v>126.2</v>
      </c>
      <c r="AC186" s="6">
        <v>126.5</v>
      </c>
      <c r="AD186" s="6">
        <v>134</v>
      </c>
      <c r="AE186" s="6" t="str">
        <f t="shared" si="2"/>
        <v>Urban|2018|February</v>
      </c>
    </row>
    <row r="187" spans="1:31">
      <c r="A187" s="6" t="s">
        <v>52</v>
      </c>
      <c r="B187" s="6">
        <v>2018</v>
      </c>
      <c r="C187" s="6" t="s">
        <v>53</v>
      </c>
      <c r="D187" s="6">
        <v>135.9</v>
      </c>
      <c r="E187" s="6">
        <v>143.5</v>
      </c>
      <c r="F187" s="6">
        <v>140.3</v>
      </c>
      <c r="G187" s="6">
        <v>140.9</v>
      </c>
      <c r="H187" s="6">
        <v>120.4</v>
      </c>
      <c r="I187" s="6">
        <v>142.9</v>
      </c>
      <c r="J187" s="6">
        <v>140.5</v>
      </c>
      <c r="K187" s="6">
        <v>125.8</v>
      </c>
      <c r="L187" s="6">
        <v>117.1</v>
      </c>
      <c r="M187" s="6">
        <v>137.3</v>
      </c>
      <c r="N187" s="6">
        <v>128.6</v>
      </c>
      <c r="O187" s="6">
        <v>149.6</v>
      </c>
      <c r="P187" s="6">
        <v>137.6</v>
      </c>
      <c r="Q187" s="6">
        <v>154.9</v>
      </c>
      <c r="R187" s="6">
        <v>143.8</v>
      </c>
      <c r="S187" s="6">
        <v>135.6</v>
      </c>
      <c r="T187" s="6">
        <v>142.6</v>
      </c>
      <c r="U187" s="6">
        <v>141.3</v>
      </c>
      <c r="V187" s="6">
        <v>136.7</v>
      </c>
      <c r="W187" s="6">
        <v>135.2</v>
      </c>
      <c r="X187" s="6">
        <v>133.8</v>
      </c>
      <c r="Y187" s="6">
        <v>120.2</v>
      </c>
      <c r="Z187" s="6">
        <v>129.9</v>
      </c>
      <c r="AA187" s="6">
        <v>139</v>
      </c>
      <c r="AB187" s="6">
        <v>127.7</v>
      </c>
      <c r="AC187" s="6">
        <v>129.6</v>
      </c>
      <c r="AD187" s="6">
        <v>136.4</v>
      </c>
      <c r="AE187" s="6" t="str">
        <f t="shared" si="2"/>
        <v>Rural+Urban|2018|February</v>
      </c>
    </row>
    <row r="188" spans="1:31">
      <c r="A188" s="6" t="s">
        <v>49</v>
      </c>
      <c r="B188" s="6">
        <v>2018</v>
      </c>
      <c r="C188" s="6" t="s">
        <v>54</v>
      </c>
      <c r="D188" s="6">
        <v>136.8</v>
      </c>
      <c r="E188" s="6">
        <v>143.8</v>
      </c>
      <c r="F188" s="6">
        <v>140</v>
      </c>
      <c r="G188" s="6">
        <v>142</v>
      </c>
      <c r="H188" s="6">
        <v>123.2</v>
      </c>
      <c r="I188" s="6">
        <v>152.9</v>
      </c>
      <c r="J188" s="6">
        <v>138</v>
      </c>
      <c r="K188" s="6">
        <v>129.3</v>
      </c>
      <c r="L188" s="6">
        <v>117.1</v>
      </c>
      <c r="M188" s="6">
        <v>136.3</v>
      </c>
      <c r="N188" s="6">
        <v>131.2</v>
      </c>
      <c r="O188" s="6">
        <v>152.8</v>
      </c>
      <c r="P188" s="6">
        <v>138.6</v>
      </c>
      <c r="Q188" s="6">
        <v>155.1</v>
      </c>
      <c r="R188" s="6">
        <v>149.2</v>
      </c>
      <c r="S188" s="6">
        <v>143</v>
      </c>
      <c r="T188" s="6">
        <v>148.3</v>
      </c>
      <c r="V188" s="6">
        <v>142.6</v>
      </c>
      <c r="W188" s="6">
        <v>139.9</v>
      </c>
      <c r="X188" s="6">
        <v>136.7</v>
      </c>
      <c r="Y188" s="6">
        <v>124.6</v>
      </c>
      <c r="Z188" s="6">
        <v>135.1</v>
      </c>
      <c r="AA188" s="6">
        <v>142.7</v>
      </c>
      <c r="AB188" s="6">
        <v>129.3</v>
      </c>
      <c r="AC188" s="6">
        <v>133.3</v>
      </c>
      <c r="AD188" s="6">
        <v>138.7</v>
      </c>
      <c r="AE188" s="6" t="str">
        <f t="shared" si="2"/>
        <v>Rural|2018|March</v>
      </c>
    </row>
    <row r="189" spans="1:31">
      <c r="A189" s="6" t="s">
        <v>51</v>
      </c>
      <c r="B189" s="6">
        <v>2018</v>
      </c>
      <c r="C189" s="6" t="s">
        <v>54</v>
      </c>
      <c r="D189" s="6">
        <v>135</v>
      </c>
      <c r="E189" s="6">
        <v>143.1</v>
      </c>
      <c r="F189" s="6">
        <v>135.5</v>
      </c>
      <c r="G189" s="6">
        <v>139.9</v>
      </c>
      <c r="H189" s="6">
        <v>116.5</v>
      </c>
      <c r="I189" s="6">
        <v>138.5</v>
      </c>
      <c r="J189" s="6">
        <v>128</v>
      </c>
      <c r="K189" s="6">
        <v>115.5</v>
      </c>
      <c r="L189" s="6">
        <v>114.2</v>
      </c>
      <c r="M189" s="6">
        <v>140.7</v>
      </c>
      <c r="N189" s="6">
        <v>126.2</v>
      </c>
      <c r="O189" s="6">
        <v>147.6</v>
      </c>
      <c r="P189" s="6">
        <v>134.8</v>
      </c>
      <c r="Q189" s="6">
        <v>159.7</v>
      </c>
      <c r="R189" s="6">
        <v>136.7</v>
      </c>
      <c r="S189" s="6">
        <v>126.7</v>
      </c>
      <c r="T189" s="6">
        <v>135.2</v>
      </c>
      <c r="U189" s="6">
        <v>142</v>
      </c>
      <c r="V189" s="6">
        <v>126.4</v>
      </c>
      <c r="W189" s="6">
        <v>130.8</v>
      </c>
      <c r="X189" s="6">
        <v>130.5</v>
      </c>
      <c r="Y189" s="6">
        <v>117.8</v>
      </c>
      <c r="Z189" s="6">
        <v>126.8</v>
      </c>
      <c r="AA189" s="6">
        <v>137.8</v>
      </c>
      <c r="AB189" s="6">
        <v>126.7</v>
      </c>
      <c r="AC189" s="6">
        <v>127.1</v>
      </c>
      <c r="AD189" s="6">
        <v>134</v>
      </c>
      <c r="AE189" s="6" t="str">
        <f t="shared" si="2"/>
        <v>Urban|2018|March</v>
      </c>
    </row>
    <row r="190" spans="1:31">
      <c r="A190" s="6" t="s">
        <v>52</v>
      </c>
      <c r="B190" s="6">
        <v>2018</v>
      </c>
      <c r="C190" s="6" t="s">
        <v>54</v>
      </c>
      <c r="D190" s="6">
        <v>136.2</v>
      </c>
      <c r="E190" s="6">
        <v>143.6</v>
      </c>
      <c r="F190" s="6">
        <v>138.3</v>
      </c>
      <c r="G190" s="6">
        <v>141.2</v>
      </c>
      <c r="H190" s="6">
        <v>120.7</v>
      </c>
      <c r="I190" s="6">
        <v>146.2</v>
      </c>
      <c r="J190" s="6">
        <v>134.6</v>
      </c>
      <c r="K190" s="6">
        <v>124.6</v>
      </c>
      <c r="L190" s="6">
        <v>116.1</v>
      </c>
      <c r="M190" s="6">
        <v>137.8</v>
      </c>
      <c r="N190" s="6">
        <v>129.1</v>
      </c>
      <c r="O190" s="6">
        <v>150.4</v>
      </c>
      <c r="P190" s="6">
        <v>137.2</v>
      </c>
      <c r="Q190" s="6">
        <v>156.3</v>
      </c>
      <c r="R190" s="6">
        <v>144.3</v>
      </c>
      <c r="S190" s="6">
        <v>136.2</v>
      </c>
      <c r="T190" s="6">
        <v>143.1</v>
      </c>
      <c r="U190" s="6">
        <v>142</v>
      </c>
      <c r="V190" s="6">
        <v>136.5</v>
      </c>
      <c r="W190" s="6">
        <v>135.6</v>
      </c>
      <c r="X190" s="6">
        <v>134.3</v>
      </c>
      <c r="Y190" s="6">
        <v>121</v>
      </c>
      <c r="Z190" s="6">
        <v>130.4</v>
      </c>
      <c r="AA190" s="6">
        <v>139.8</v>
      </c>
      <c r="AB190" s="6">
        <v>128.2</v>
      </c>
      <c r="AC190" s="6">
        <v>130.3</v>
      </c>
      <c r="AD190" s="6">
        <v>136.5</v>
      </c>
      <c r="AE190" s="6" t="str">
        <f t="shared" si="2"/>
        <v>Rural+Urban|2018|March</v>
      </c>
    </row>
    <row r="191" spans="1:31">
      <c r="A191" s="6" t="s">
        <v>49</v>
      </c>
      <c r="B191" s="6">
        <v>2018</v>
      </c>
      <c r="C191" s="6" t="s">
        <v>55</v>
      </c>
      <c r="D191" s="6">
        <v>137.1</v>
      </c>
      <c r="E191" s="6">
        <v>144.5</v>
      </c>
      <c r="F191" s="6">
        <v>135.9</v>
      </c>
      <c r="G191" s="6">
        <v>142.4</v>
      </c>
      <c r="H191" s="6">
        <v>123.5</v>
      </c>
      <c r="I191" s="6">
        <v>156.4</v>
      </c>
      <c r="J191" s="6">
        <v>135.1</v>
      </c>
      <c r="K191" s="6">
        <v>128.4</v>
      </c>
      <c r="L191" s="6">
        <v>115.2</v>
      </c>
      <c r="M191" s="6">
        <v>137.2</v>
      </c>
      <c r="N191" s="6">
        <v>131.9</v>
      </c>
      <c r="O191" s="6">
        <v>153.8</v>
      </c>
      <c r="P191" s="6">
        <v>138.6</v>
      </c>
      <c r="Q191" s="6">
        <v>156.1</v>
      </c>
      <c r="R191" s="6">
        <v>150.1</v>
      </c>
      <c r="S191" s="6">
        <v>143.3</v>
      </c>
      <c r="T191" s="6">
        <v>149.1</v>
      </c>
      <c r="V191" s="6">
        <v>143.8</v>
      </c>
      <c r="W191" s="6">
        <v>140.9</v>
      </c>
      <c r="X191" s="6">
        <v>137.6</v>
      </c>
      <c r="Y191" s="6">
        <v>125.3</v>
      </c>
      <c r="Z191" s="6">
        <v>136</v>
      </c>
      <c r="AA191" s="6">
        <v>143.7</v>
      </c>
      <c r="AB191" s="6">
        <v>130.4</v>
      </c>
      <c r="AC191" s="6">
        <v>134.2</v>
      </c>
      <c r="AD191" s="6">
        <v>139.1</v>
      </c>
      <c r="AE191" s="6" t="str">
        <f t="shared" si="2"/>
        <v>Rural|2018|April</v>
      </c>
    </row>
    <row r="192" spans="1:31">
      <c r="A192" s="6" t="s">
        <v>51</v>
      </c>
      <c r="B192" s="6">
        <v>2018</v>
      </c>
      <c r="C192" s="6" t="s">
        <v>55</v>
      </c>
      <c r="D192" s="6">
        <v>135</v>
      </c>
      <c r="E192" s="6">
        <v>144.3</v>
      </c>
      <c r="F192" s="6">
        <v>130.8</v>
      </c>
      <c r="G192" s="6">
        <v>140.3</v>
      </c>
      <c r="H192" s="6">
        <v>116.6</v>
      </c>
      <c r="I192" s="6">
        <v>150.1</v>
      </c>
      <c r="J192" s="6">
        <v>127.6</v>
      </c>
      <c r="K192" s="6">
        <v>114</v>
      </c>
      <c r="L192" s="6">
        <v>110.6</v>
      </c>
      <c r="M192" s="6">
        <v>140.2</v>
      </c>
      <c r="N192" s="6">
        <v>126.5</v>
      </c>
      <c r="O192" s="6">
        <v>148.3</v>
      </c>
      <c r="P192" s="6">
        <v>135.7</v>
      </c>
      <c r="Q192" s="6">
        <v>159.2</v>
      </c>
      <c r="R192" s="6">
        <v>137.8</v>
      </c>
      <c r="S192" s="6">
        <v>127.4</v>
      </c>
      <c r="T192" s="6">
        <v>136.2</v>
      </c>
      <c r="U192" s="6">
        <v>142.9</v>
      </c>
      <c r="V192" s="6">
        <v>124.6</v>
      </c>
      <c r="W192" s="6">
        <v>131.8</v>
      </c>
      <c r="X192" s="6">
        <v>131.3</v>
      </c>
      <c r="Y192" s="6">
        <v>118.9</v>
      </c>
      <c r="Z192" s="6">
        <v>127.6</v>
      </c>
      <c r="AA192" s="6">
        <v>139.7</v>
      </c>
      <c r="AB192" s="6">
        <v>127.6</v>
      </c>
      <c r="AC192" s="6">
        <v>128.2</v>
      </c>
      <c r="AD192" s="6">
        <v>134.8</v>
      </c>
      <c r="AE192" s="6" t="str">
        <f t="shared" si="2"/>
        <v>Urban|2018|April</v>
      </c>
    </row>
    <row r="193" spans="1:31">
      <c r="A193" s="6" t="s">
        <v>52</v>
      </c>
      <c r="B193" s="6">
        <v>2018</v>
      </c>
      <c r="C193" s="6" t="s">
        <v>55</v>
      </c>
      <c r="D193" s="6">
        <v>136.4</v>
      </c>
      <c r="E193" s="6">
        <v>144.4</v>
      </c>
      <c r="F193" s="6">
        <v>133.9</v>
      </c>
      <c r="G193" s="6">
        <v>141.6</v>
      </c>
      <c r="H193" s="6">
        <v>121</v>
      </c>
      <c r="I193" s="6">
        <v>153.5</v>
      </c>
      <c r="J193" s="6">
        <v>132.6</v>
      </c>
      <c r="K193" s="6">
        <v>123.5</v>
      </c>
      <c r="L193" s="6">
        <v>113.7</v>
      </c>
      <c r="M193" s="6">
        <v>138.2</v>
      </c>
      <c r="N193" s="6">
        <v>129.6</v>
      </c>
      <c r="O193" s="6">
        <v>151.2</v>
      </c>
      <c r="P193" s="6">
        <v>137.5</v>
      </c>
      <c r="Q193" s="6">
        <v>156.9</v>
      </c>
      <c r="R193" s="6">
        <v>145.3</v>
      </c>
      <c r="S193" s="6">
        <v>136.7</v>
      </c>
      <c r="T193" s="6">
        <v>144</v>
      </c>
      <c r="U193" s="6">
        <v>142.9</v>
      </c>
      <c r="V193" s="6">
        <v>136.5</v>
      </c>
      <c r="W193" s="6">
        <v>136.6</v>
      </c>
      <c r="X193" s="6">
        <v>135.2</v>
      </c>
      <c r="Y193" s="6">
        <v>121.9</v>
      </c>
      <c r="Z193" s="6">
        <v>131.3</v>
      </c>
      <c r="AA193" s="6">
        <v>141.4</v>
      </c>
      <c r="AB193" s="6">
        <v>129.2</v>
      </c>
      <c r="AC193" s="6">
        <v>131.3</v>
      </c>
      <c r="AD193" s="6">
        <v>137.1</v>
      </c>
      <c r="AE193" s="6" t="str">
        <f t="shared" si="2"/>
        <v>Rural+Urban|2018|April</v>
      </c>
    </row>
    <row r="194" spans="1:31">
      <c r="A194" s="6" t="s">
        <v>49</v>
      </c>
      <c r="B194" s="6">
        <v>2018</v>
      </c>
      <c r="C194" s="6" t="s">
        <v>56</v>
      </c>
      <c r="D194" s="6">
        <v>137.4</v>
      </c>
      <c r="E194" s="6">
        <v>145.7</v>
      </c>
      <c r="F194" s="6">
        <v>135.5</v>
      </c>
      <c r="G194" s="6">
        <v>142.9</v>
      </c>
      <c r="H194" s="6">
        <v>123.6</v>
      </c>
      <c r="I194" s="6">
        <v>157.5</v>
      </c>
      <c r="J194" s="6">
        <v>137.8</v>
      </c>
      <c r="K194" s="6">
        <v>127.2</v>
      </c>
      <c r="L194" s="6">
        <v>111.8</v>
      </c>
      <c r="M194" s="6">
        <v>137.4</v>
      </c>
      <c r="N194" s="6">
        <v>132.2</v>
      </c>
      <c r="O194" s="6">
        <v>154.3</v>
      </c>
      <c r="P194" s="6">
        <v>139.1</v>
      </c>
      <c r="Q194" s="6">
        <v>157</v>
      </c>
      <c r="R194" s="6">
        <v>150.8</v>
      </c>
      <c r="S194" s="6">
        <v>144.1</v>
      </c>
      <c r="T194" s="6">
        <v>149.8</v>
      </c>
      <c r="V194" s="6">
        <v>144.3</v>
      </c>
      <c r="W194" s="6">
        <v>141.8</v>
      </c>
      <c r="X194" s="6">
        <v>138.4</v>
      </c>
      <c r="Y194" s="6">
        <v>126.4</v>
      </c>
      <c r="Z194" s="6">
        <v>136.8</v>
      </c>
      <c r="AA194" s="6">
        <v>144.4</v>
      </c>
      <c r="AB194" s="6">
        <v>131.2</v>
      </c>
      <c r="AC194" s="6">
        <v>135.1</v>
      </c>
      <c r="AD194" s="6">
        <v>139.8</v>
      </c>
      <c r="AE194" s="6" t="str">
        <f t="shared" ref="AE194:AE257" si="3">A194&amp;"|"&amp;B194&amp;"|"&amp;C194</f>
        <v>Rural|2018|May</v>
      </c>
    </row>
    <row r="195" spans="1:31">
      <c r="A195" s="6" t="s">
        <v>51</v>
      </c>
      <c r="B195" s="6">
        <v>2018</v>
      </c>
      <c r="C195" s="6" t="s">
        <v>56</v>
      </c>
      <c r="D195" s="6">
        <v>135</v>
      </c>
      <c r="E195" s="6">
        <v>148.2</v>
      </c>
      <c r="F195" s="6">
        <v>130.5</v>
      </c>
      <c r="G195" s="6">
        <v>140.7</v>
      </c>
      <c r="H195" s="6">
        <v>116.4</v>
      </c>
      <c r="I195" s="6">
        <v>151.3</v>
      </c>
      <c r="J195" s="6">
        <v>131.4</v>
      </c>
      <c r="K195" s="6">
        <v>112.8</v>
      </c>
      <c r="L195" s="6">
        <v>105.3</v>
      </c>
      <c r="M195" s="6">
        <v>139.6</v>
      </c>
      <c r="N195" s="6">
        <v>126.6</v>
      </c>
      <c r="O195" s="6">
        <v>148.7</v>
      </c>
      <c r="P195" s="6">
        <v>136.4</v>
      </c>
      <c r="Q195" s="6">
        <v>160.3</v>
      </c>
      <c r="R195" s="6">
        <v>138.6</v>
      </c>
      <c r="S195" s="6">
        <v>127.9</v>
      </c>
      <c r="T195" s="6">
        <v>137</v>
      </c>
      <c r="U195" s="6">
        <v>143.2</v>
      </c>
      <c r="V195" s="6">
        <v>124.7</v>
      </c>
      <c r="W195" s="6">
        <v>132.5</v>
      </c>
      <c r="X195" s="6">
        <v>132</v>
      </c>
      <c r="Y195" s="6">
        <v>119.8</v>
      </c>
      <c r="Z195" s="6">
        <v>128</v>
      </c>
      <c r="AA195" s="6">
        <v>140.4</v>
      </c>
      <c r="AB195" s="6">
        <v>128.1</v>
      </c>
      <c r="AC195" s="6">
        <v>128.9</v>
      </c>
      <c r="AD195" s="6">
        <v>135.4</v>
      </c>
      <c r="AE195" s="6" t="str">
        <f t="shared" si="3"/>
        <v>Urban|2018|May</v>
      </c>
    </row>
    <row r="196" spans="1:31">
      <c r="A196" s="6" t="s">
        <v>52</v>
      </c>
      <c r="B196" s="6">
        <v>2018</v>
      </c>
      <c r="C196" s="6" t="s">
        <v>56</v>
      </c>
      <c r="D196" s="6">
        <v>136.6</v>
      </c>
      <c r="E196" s="6">
        <v>146.6</v>
      </c>
      <c r="F196" s="6">
        <v>133.6</v>
      </c>
      <c r="G196" s="6">
        <v>142.1</v>
      </c>
      <c r="H196" s="6">
        <v>121</v>
      </c>
      <c r="I196" s="6">
        <v>154.6</v>
      </c>
      <c r="J196" s="6">
        <v>135.6</v>
      </c>
      <c r="K196" s="6">
        <v>122.3</v>
      </c>
      <c r="L196" s="6">
        <v>109.6</v>
      </c>
      <c r="M196" s="6">
        <v>138.1</v>
      </c>
      <c r="N196" s="6">
        <v>129.9</v>
      </c>
      <c r="O196" s="6">
        <v>151.7</v>
      </c>
      <c r="P196" s="6">
        <v>138.1</v>
      </c>
      <c r="Q196" s="6">
        <v>157.9</v>
      </c>
      <c r="R196" s="6">
        <v>146</v>
      </c>
      <c r="S196" s="6">
        <v>137.4</v>
      </c>
      <c r="T196" s="6">
        <v>144.7</v>
      </c>
      <c r="U196" s="6">
        <v>143.2</v>
      </c>
      <c r="V196" s="6">
        <v>136.9</v>
      </c>
      <c r="W196" s="6">
        <v>137.4</v>
      </c>
      <c r="X196" s="6">
        <v>136</v>
      </c>
      <c r="Y196" s="6">
        <v>122.9</v>
      </c>
      <c r="Z196" s="6">
        <v>131.8</v>
      </c>
      <c r="AA196" s="6">
        <v>142.1</v>
      </c>
      <c r="AB196" s="6">
        <v>129.9</v>
      </c>
      <c r="AC196" s="6">
        <v>132.1</v>
      </c>
      <c r="AD196" s="6">
        <v>137.8</v>
      </c>
      <c r="AE196" s="6" t="str">
        <f t="shared" si="3"/>
        <v>Rural+Urban|2018|May</v>
      </c>
    </row>
    <row r="197" spans="1:31">
      <c r="A197" s="6" t="s">
        <v>49</v>
      </c>
      <c r="B197" s="6">
        <v>2018</v>
      </c>
      <c r="C197" s="6" t="s">
        <v>57</v>
      </c>
      <c r="D197" s="6">
        <v>137.6</v>
      </c>
      <c r="E197" s="6">
        <v>148.1</v>
      </c>
      <c r="F197" s="6">
        <v>136.7</v>
      </c>
      <c r="G197" s="6">
        <v>143.2</v>
      </c>
      <c r="H197" s="6">
        <v>124</v>
      </c>
      <c r="I197" s="6">
        <v>154.1</v>
      </c>
      <c r="J197" s="6">
        <v>143.5</v>
      </c>
      <c r="K197" s="6">
        <v>126</v>
      </c>
      <c r="L197" s="6">
        <v>112.4</v>
      </c>
      <c r="M197" s="6">
        <v>137.6</v>
      </c>
      <c r="N197" s="6">
        <v>132.8</v>
      </c>
      <c r="O197" s="6">
        <v>154.3</v>
      </c>
      <c r="P197" s="6">
        <v>140</v>
      </c>
      <c r="Q197" s="6">
        <v>157.3</v>
      </c>
      <c r="R197" s="6">
        <v>151.3</v>
      </c>
      <c r="S197" s="6">
        <v>144.7</v>
      </c>
      <c r="T197" s="6">
        <v>150.3</v>
      </c>
      <c r="V197" s="6">
        <v>145.1</v>
      </c>
      <c r="W197" s="6">
        <v>142.2</v>
      </c>
      <c r="X197" s="6">
        <v>138.4</v>
      </c>
      <c r="Y197" s="6">
        <v>127.4</v>
      </c>
      <c r="Z197" s="6">
        <v>137.8</v>
      </c>
      <c r="AA197" s="6">
        <v>145.1</v>
      </c>
      <c r="AB197" s="6">
        <v>131.4</v>
      </c>
      <c r="AC197" s="6">
        <v>135.6</v>
      </c>
      <c r="AD197" s="6">
        <v>140.5</v>
      </c>
      <c r="AE197" s="6" t="str">
        <f t="shared" si="3"/>
        <v>Rural|2018|June</v>
      </c>
    </row>
    <row r="198" spans="1:31">
      <c r="A198" s="6" t="s">
        <v>51</v>
      </c>
      <c r="B198" s="6">
        <v>2018</v>
      </c>
      <c r="C198" s="6" t="s">
        <v>57</v>
      </c>
      <c r="D198" s="6">
        <v>135.3</v>
      </c>
      <c r="E198" s="6">
        <v>149.7</v>
      </c>
      <c r="F198" s="6">
        <v>133.9</v>
      </c>
      <c r="G198" s="6">
        <v>140.8</v>
      </c>
      <c r="H198" s="6">
        <v>116.6</v>
      </c>
      <c r="I198" s="6">
        <v>152.2</v>
      </c>
      <c r="J198" s="6">
        <v>144</v>
      </c>
      <c r="K198" s="6">
        <v>112.3</v>
      </c>
      <c r="L198" s="6">
        <v>108.4</v>
      </c>
      <c r="M198" s="6">
        <v>140</v>
      </c>
      <c r="N198" s="6">
        <v>126.7</v>
      </c>
      <c r="O198" s="6">
        <v>149</v>
      </c>
      <c r="P198" s="6">
        <v>138.4</v>
      </c>
      <c r="Q198" s="6">
        <v>161</v>
      </c>
      <c r="R198" s="6">
        <v>138.9</v>
      </c>
      <c r="S198" s="6">
        <v>128.7</v>
      </c>
      <c r="T198" s="6">
        <v>137.4</v>
      </c>
      <c r="U198" s="6">
        <v>142.5</v>
      </c>
      <c r="V198" s="6">
        <v>126.5</v>
      </c>
      <c r="W198" s="6">
        <v>133.1</v>
      </c>
      <c r="X198" s="6">
        <v>132.6</v>
      </c>
      <c r="Y198" s="6">
        <v>120.4</v>
      </c>
      <c r="Z198" s="6">
        <v>128.5</v>
      </c>
      <c r="AA198" s="6">
        <v>141.2</v>
      </c>
      <c r="AB198" s="6">
        <v>128.2</v>
      </c>
      <c r="AC198" s="6">
        <v>129.5</v>
      </c>
      <c r="AD198" s="6">
        <v>136.2</v>
      </c>
      <c r="AE198" s="6" t="str">
        <f t="shared" si="3"/>
        <v>Urban|2018|June</v>
      </c>
    </row>
    <row r="199" spans="1:31">
      <c r="A199" s="6" t="s">
        <v>52</v>
      </c>
      <c r="B199" s="6">
        <v>2018</v>
      </c>
      <c r="C199" s="6" t="s">
        <v>57</v>
      </c>
      <c r="D199" s="6">
        <v>136.9</v>
      </c>
      <c r="E199" s="6">
        <v>148.7</v>
      </c>
      <c r="F199" s="6">
        <v>135.6</v>
      </c>
      <c r="G199" s="6">
        <v>142.3</v>
      </c>
      <c r="H199" s="6">
        <v>121.3</v>
      </c>
      <c r="I199" s="6">
        <v>153.2</v>
      </c>
      <c r="J199" s="6">
        <v>143.7</v>
      </c>
      <c r="K199" s="6">
        <v>121.4</v>
      </c>
      <c r="L199" s="6">
        <v>111.1</v>
      </c>
      <c r="M199" s="6">
        <v>138.4</v>
      </c>
      <c r="N199" s="6">
        <v>130.3</v>
      </c>
      <c r="O199" s="6">
        <v>151.8</v>
      </c>
      <c r="P199" s="6">
        <v>139.4</v>
      </c>
      <c r="Q199" s="6">
        <v>158.3</v>
      </c>
      <c r="R199" s="6">
        <v>146.4</v>
      </c>
      <c r="S199" s="6">
        <v>138.1</v>
      </c>
      <c r="T199" s="6">
        <v>145.2</v>
      </c>
      <c r="U199" s="6">
        <v>142.5</v>
      </c>
      <c r="V199" s="6">
        <v>138.1</v>
      </c>
      <c r="W199" s="6">
        <v>137.9</v>
      </c>
      <c r="X199" s="6">
        <v>136.2</v>
      </c>
      <c r="Y199" s="6">
        <v>123.7</v>
      </c>
      <c r="Z199" s="6">
        <v>132.6</v>
      </c>
      <c r="AA199" s="6">
        <v>142.8</v>
      </c>
      <c r="AB199" s="6">
        <v>130.1</v>
      </c>
      <c r="AC199" s="6">
        <v>132.6</v>
      </c>
      <c r="AD199" s="6">
        <v>138.5</v>
      </c>
      <c r="AE199" s="6" t="str">
        <f t="shared" si="3"/>
        <v>Rural+Urban|2018|June</v>
      </c>
    </row>
    <row r="200" spans="1:31">
      <c r="A200" s="6" t="s">
        <v>49</v>
      </c>
      <c r="B200" s="6">
        <v>2018</v>
      </c>
      <c r="C200" s="6" t="s">
        <v>58</v>
      </c>
      <c r="D200" s="6">
        <v>138.4</v>
      </c>
      <c r="E200" s="6">
        <v>149.3</v>
      </c>
      <c r="F200" s="6">
        <v>139.3</v>
      </c>
      <c r="G200" s="6">
        <v>143.4</v>
      </c>
      <c r="H200" s="6">
        <v>124.1</v>
      </c>
      <c r="I200" s="6">
        <v>153.3</v>
      </c>
      <c r="J200" s="6">
        <v>154.2</v>
      </c>
      <c r="K200" s="6">
        <v>126.4</v>
      </c>
      <c r="L200" s="6">
        <v>114.3</v>
      </c>
      <c r="M200" s="6">
        <v>138.2</v>
      </c>
      <c r="N200" s="6">
        <v>132.8</v>
      </c>
      <c r="O200" s="6">
        <v>154.8</v>
      </c>
      <c r="P200" s="6">
        <v>142</v>
      </c>
      <c r="Q200" s="6">
        <v>156.1</v>
      </c>
      <c r="R200" s="6">
        <v>151.5</v>
      </c>
      <c r="S200" s="6">
        <v>145.1</v>
      </c>
      <c r="T200" s="6">
        <v>150.6</v>
      </c>
      <c r="V200" s="6">
        <v>146.8</v>
      </c>
      <c r="W200" s="6">
        <v>143.1</v>
      </c>
      <c r="X200" s="6">
        <v>139</v>
      </c>
      <c r="Y200" s="6">
        <v>127.5</v>
      </c>
      <c r="Z200" s="6">
        <v>138.4</v>
      </c>
      <c r="AA200" s="6">
        <v>145.8</v>
      </c>
      <c r="AB200" s="6">
        <v>131.4</v>
      </c>
      <c r="AC200" s="6">
        <v>136</v>
      </c>
      <c r="AD200" s="6">
        <v>141.8</v>
      </c>
      <c r="AE200" s="6" t="str">
        <f t="shared" si="3"/>
        <v>Rural|2018|July</v>
      </c>
    </row>
    <row r="201" spans="1:31">
      <c r="A201" s="6" t="s">
        <v>51</v>
      </c>
      <c r="B201" s="6">
        <v>2018</v>
      </c>
      <c r="C201" s="6" t="s">
        <v>58</v>
      </c>
      <c r="D201" s="6">
        <v>135.6</v>
      </c>
      <c r="E201" s="6">
        <v>148.6</v>
      </c>
      <c r="F201" s="6">
        <v>139.1</v>
      </c>
      <c r="G201" s="6">
        <v>141</v>
      </c>
      <c r="H201" s="6">
        <v>116.7</v>
      </c>
      <c r="I201" s="6">
        <v>149.7</v>
      </c>
      <c r="J201" s="6">
        <v>159.2</v>
      </c>
      <c r="K201" s="6">
        <v>112.6</v>
      </c>
      <c r="L201" s="6">
        <v>111.8</v>
      </c>
      <c r="M201" s="6">
        <v>140.3</v>
      </c>
      <c r="N201" s="6">
        <v>126.8</v>
      </c>
      <c r="O201" s="6">
        <v>149.4</v>
      </c>
      <c r="P201" s="6">
        <v>140.3</v>
      </c>
      <c r="Q201" s="6">
        <v>161.4</v>
      </c>
      <c r="R201" s="6">
        <v>139.6</v>
      </c>
      <c r="S201" s="6">
        <v>128.9</v>
      </c>
      <c r="T201" s="6">
        <v>137.9</v>
      </c>
      <c r="U201" s="6">
        <v>143.6</v>
      </c>
      <c r="V201" s="6">
        <v>128.1</v>
      </c>
      <c r="W201" s="6">
        <v>133.6</v>
      </c>
      <c r="X201" s="6">
        <v>133.6</v>
      </c>
      <c r="Y201" s="6">
        <v>120.1</v>
      </c>
      <c r="Z201" s="6">
        <v>129</v>
      </c>
      <c r="AA201" s="6">
        <v>144</v>
      </c>
      <c r="AB201" s="6">
        <v>128.2</v>
      </c>
      <c r="AC201" s="6">
        <v>130.2</v>
      </c>
      <c r="AD201" s="6">
        <v>137.5</v>
      </c>
      <c r="AE201" s="6" t="str">
        <f t="shared" si="3"/>
        <v>Urban|2018|July</v>
      </c>
    </row>
    <row r="202" spans="1:31">
      <c r="A202" s="6" t="s">
        <v>52</v>
      </c>
      <c r="B202" s="6">
        <v>2018</v>
      </c>
      <c r="C202" s="6" t="s">
        <v>58</v>
      </c>
      <c r="D202" s="6">
        <v>137.5</v>
      </c>
      <c r="E202" s="6">
        <v>149.1</v>
      </c>
      <c r="F202" s="6">
        <v>139.2</v>
      </c>
      <c r="G202" s="6">
        <v>142.5</v>
      </c>
      <c r="H202" s="6">
        <v>121.4</v>
      </c>
      <c r="I202" s="6">
        <v>151.6</v>
      </c>
      <c r="J202" s="6">
        <v>155.9</v>
      </c>
      <c r="K202" s="6">
        <v>121.7</v>
      </c>
      <c r="L202" s="6">
        <v>113.5</v>
      </c>
      <c r="M202" s="6">
        <v>138.9</v>
      </c>
      <c r="N202" s="6">
        <v>130.3</v>
      </c>
      <c r="O202" s="6">
        <v>152.3</v>
      </c>
      <c r="P202" s="6">
        <v>141.4</v>
      </c>
      <c r="Q202" s="6">
        <v>157.5</v>
      </c>
      <c r="R202" s="6">
        <v>146.8</v>
      </c>
      <c r="S202" s="6">
        <v>138.4</v>
      </c>
      <c r="T202" s="6">
        <v>145.6</v>
      </c>
      <c r="U202" s="6">
        <v>143.6</v>
      </c>
      <c r="V202" s="6">
        <v>139.7</v>
      </c>
      <c r="W202" s="6">
        <v>138.6</v>
      </c>
      <c r="X202" s="6">
        <v>137</v>
      </c>
      <c r="Y202" s="6">
        <v>123.6</v>
      </c>
      <c r="Z202" s="6">
        <v>133.1</v>
      </c>
      <c r="AA202" s="6">
        <v>144.7</v>
      </c>
      <c r="AB202" s="6">
        <v>130.1</v>
      </c>
      <c r="AC202" s="6">
        <v>133.2</v>
      </c>
      <c r="AD202" s="6">
        <v>139.8</v>
      </c>
      <c r="AE202" s="6" t="str">
        <f t="shared" si="3"/>
        <v>Rural+Urban|2018|July</v>
      </c>
    </row>
    <row r="203" spans="1:31">
      <c r="A203" s="6" t="s">
        <v>49</v>
      </c>
      <c r="B203" s="6">
        <v>2018</v>
      </c>
      <c r="C203" s="6" t="s">
        <v>59</v>
      </c>
      <c r="D203" s="6">
        <v>139.2</v>
      </c>
      <c r="E203" s="6">
        <v>148.8</v>
      </c>
      <c r="F203" s="6">
        <v>139.1</v>
      </c>
      <c r="G203" s="6">
        <v>143.5</v>
      </c>
      <c r="H203" s="6">
        <v>125</v>
      </c>
      <c r="I203" s="6">
        <v>154.4</v>
      </c>
      <c r="J203" s="6">
        <v>156.3</v>
      </c>
      <c r="K203" s="6">
        <v>126.8</v>
      </c>
      <c r="L203" s="6">
        <v>115.4</v>
      </c>
      <c r="M203" s="6">
        <v>138.6</v>
      </c>
      <c r="N203" s="6">
        <v>133.8</v>
      </c>
      <c r="O203" s="6">
        <v>155.2</v>
      </c>
      <c r="P203" s="6">
        <v>142.7</v>
      </c>
      <c r="Q203" s="6">
        <v>156.4</v>
      </c>
      <c r="R203" s="6">
        <v>152.1</v>
      </c>
      <c r="S203" s="6">
        <v>145.8</v>
      </c>
      <c r="T203" s="6">
        <v>151.3</v>
      </c>
      <c r="V203" s="6">
        <v>147.7</v>
      </c>
      <c r="W203" s="6">
        <v>143.8</v>
      </c>
      <c r="X203" s="6">
        <v>139.4</v>
      </c>
      <c r="Y203" s="6">
        <v>128.3</v>
      </c>
      <c r="Z203" s="6">
        <v>138.6</v>
      </c>
      <c r="AA203" s="6">
        <v>146.9</v>
      </c>
      <c r="AB203" s="6">
        <v>131.3</v>
      </c>
      <c r="AC203" s="6">
        <v>136.6</v>
      </c>
      <c r="AD203" s="6">
        <v>142.5</v>
      </c>
      <c r="AE203" s="6" t="str">
        <f t="shared" si="3"/>
        <v>Rural|2018|August</v>
      </c>
    </row>
    <row r="204" spans="1:31">
      <c r="A204" s="6" t="s">
        <v>51</v>
      </c>
      <c r="B204" s="6">
        <v>2018</v>
      </c>
      <c r="C204" s="6" t="s">
        <v>59</v>
      </c>
      <c r="D204" s="6">
        <v>136.5</v>
      </c>
      <c r="E204" s="6">
        <v>146.4</v>
      </c>
      <c r="F204" s="6">
        <v>136.6</v>
      </c>
      <c r="G204" s="6">
        <v>141.2</v>
      </c>
      <c r="H204" s="6">
        <v>117.4</v>
      </c>
      <c r="I204" s="6">
        <v>146.3</v>
      </c>
      <c r="J204" s="6">
        <v>157.3</v>
      </c>
      <c r="K204" s="6">
        <v>113.6</v>
      </c>
      <c r="L204" s="6">
        <v>113.3</v>
      </c>
      <c r="M204" s="6">
        <v>141.1</v>
      </c>
      <c r="N204" s="6">
        <v>127.4</v>
      </c>
      <c r="O204" s="6">
        <v>150.4</v>
      </c>
      <c r="P204" s="6">
        <v>140.1</v>
      </c>
      <c r="Q204" s="6">
        <v>162.1</v>
      </c>
      <c r="R204" s="6">
        <v>140</v>
      </c>
      <c r="S204" s="6">
        <v>129</v>
      </c>
      <c r="T204" s="6">
        <v>138.3</v>
      </c>
      <c r="U204" s="6">
        <v>144.6</v>
      </c>
      <c r="V204" s="6">
        <v>129.8</v>
      </c>
      <c r="W204" s="6">
        <v>134.4</v>
      </c>
      <c r="X204" s="6">
        <v>134.9</v>
      </c>
      <c r="Y204" s="6">
        <v>120.7</v>
      </c>
      <c r="Z204" s="6">
        <v>129.8</v>
      </c>
      <c r="AA204" s="6">
        <v>145.3</v>
      </c>
      <c r="AB204" s="6">
        <v>128.3</v>
      </c>
      <c r="AC204" s="6">
        <v>131</v>
      </c>
      <c r="AD204" s="6">
        <v>138</v>
      </c>
      <c r="AE204" s="6" t="str">
        <f t="shared" si="3"/>
        <v>Urban|2018|August</v>
      </c>
    </row>
    <row r="205" spans="1:31">
      <c r="A205" s="6" t="s">
        <v>52</v>
      </c>
      <c r="B205" s="6">
        <v>2018</v>
      </c>
      <c r="C205" s="6" t="s">
        <v>59</v>
      </c>
      <c r="D205" s="6">
        <v>138.3</v>
      </c>
      <c r="E205" s="6">
        <v>148</v>
      </c>
      <c r="F205" s="6">
        <v>138.1</v>
      </c>
      <c r="G205" s="6">
        <v>142.6</v>
      </c>
      <c r="H205" s="6">
        <v>122.2</v>
      </c>
      <c r="I205" s="6">
        <v>150.6</v>
      </c>
      <c r="J205" s="6">
        <v>156.6</v>
      </c>
      <c r="K205" s="6">
        <v>122.4</v>
      </c>
      <c r="L205" s="6">
        <v>114.7</v>
      </c>
      <c r="M205" s="6">
        <v>139.4</v>
      </c>
      <c r="N205" s="6">
        <v>131.1</v>
      </c>
      <c r="O205" s="6">
        <v>153</v>
      </c>
      <c r="P205" s="6">
        <v>141.7</v>
      </c>
      <c r="Q205" s="6">
        <v>157.9</v>
      </c>
      <c r="R205" s="6">
        <v>147.3</v>
      </c>
      <c r="S205" s="6">
        <v>138.8</v>
      </c>
      <c r="T205" s="6">
        <v>146.1</v>
      </c>
      <c r="U205" s="6">
        <v>144.6</v>
      </c>
      <c r="V205" s="6">
        <v>140.9</v>
      </c>
      <c r="W205" s="6">
        <v>139.4</v>
      </c>
      <c r="X205" s="6">
        <v>137.7</v>
      </c>
      <c r="Y205" s="6">
        <v>124.3</v>
      </c>
      <c r="Z205" s="6">
        <v>133.6</v>
      </c>
      <c r="AA205" s="6">
        <v>146</v>
      </c>
      <c r="AB205" s="6">
        <v>130.1</v>
      </c>
      <c r="AC205" s="6">
        <v>133.9</v>
      </c>
      <c r="AD205" s="6">
        <v>140.4</v>
      </c>
      <c r="AE205" s="6" t="str">
        <f t="shared" si="3"/>
        <v>Rural+Urban|2018|August</v>
      </c>
    </row>
    <row r="206" spans="1:31">
      <c r="A206" s="6" t="s">
        <v>49</v>
      </c>
      <c r="B206" s="6">
        <v>2018</v>
      </c>
      <c r="C206" s="6" t="s">
        <v>60</v>
      </c>
      <c r="D206" s="6">
        <v>139.4</v>
      </c>
      <c r="E206" s="6">
        <v>147.2</v>
      </c>
      <c r="F206" s="6">
        <v>136.6</v>
      </c>
      <c r="G206" s="6">
        <v>143.7</v>
      </c>
      <c r="H206" s="6">
        <v>124.6</v>
      </c>
      <c r="I206" s="6">
        <v>150.1</v>
      </c>
      <c r="J206" s="6">
        <v>149.4</v>
      </c>
      <c r="K206" s="6">
        <v>125.4</v>
      </c>
      <c r="L206" s="6">
        <v>114.4</v>
      </c>
      <c r="M206" s="6">
        <v>138.7</v>
      </c>
      <c r="N206" s="6">
        <v>133.1</v>
      </c>
      <c r="O206" s="6">
        <v>155.9</v>
      </c>
      <c r="P206" s="6">
        <v>141.3</v>
      </c>
      <c r="Q206" s="6">
        <v>157.7</v>
      </c>
      <c r="R206" s="6">
        <v>152.1</v>
      </c>
      <c r="S206" s="6">
        <v>146.1</v>
      </c>
      <c r="T206" s="6">
        <v>151.3</v>
      </c>
      <c r="V206" s="6">
        <v>149</v>
      </c>
      <c r="W206" s="6">
        <v>144</v>
      </c>
      <c r="X206" s="6">
        <v>140</v>
      </c>
      <c r="Y206" s="6">
        <v>129.9</v>
      </c>
      <c r="Z206" s="6">
        <v>140</v>
      </c>
      <c r="AA206" s="6">
        <v>147.6</v>
      </c>
      <c r="AB206" s="6">
        <v>132</v>
      </c>
      <c r="AC206" s="6">
        <v>137.4</v>
      </c>
      <c r="AD206" s="6">
        <v>142.1</v>
      </c>
      <c r="AE206" s="6" t="str">
        <f t="shared" si="3"/>
        <v>Rural|2018|September</v>
      </c>
    </row>
    <row r="207" spans="1:31">
      <c r="A207" s="6" t="s">
        <v>51</v>
      </c>
      <c r="B207" s="6">
        <v>2018</v>
      </c>
      <c r="C207" s="6" t="s">
        <v>60</v>
      </c>
      <c r="D207" s="6">
        <v>137</v>
      </c>
      <c r="E207" s="6">
        <v>143.1</v>
      </c>
      <c r="F207" s="6">
        <v>132.8</v>
      </c>
      <c r="G207" s="6">
        <v>141.5</v>
      </c>
      <c r="H207" s="6">
        <v>117.8</v>
      </c>
      <c r="I207" s="6">
        <v>140</v>
      </c>
      <c r="J207" s="6">
        <v>151.3</v>
      </c>
      <c r="K207" s="6">
        <v>113.5</v>
      </c>
      <c r="L207" s="6">
        <v>112.3</v>
      </c>
      <c r="M207" s="6">
        <v>141.2</v>
      </c>
      <c r="N207" s="6">
        <v>127.7</v>
      </c>
      <c r="O207" s="6">
        <v>151.3</v>
      </c>
      <c r="P207" s="6">
        <v>138.9</v>
      </c>
      <c r="Q207" s="6">
        <v>163.3</v>
      </c>
      <c r="R207" s="6">
        <v>140.8</v>
      </c>
      <c r="S207" s="6">
        <v>129.3</v>
      </c>
      <c r="T207" s="6">
        <v>139.1</v>
      </c>
      <c r="U207" s="6">
        <v>145.3</v>
      </c>
      <c r="V207" s="6">
        <v>131.2</v>
      </c>
      <c r="W207" s="6">
        <v>134.9</v>
      </c>
      <c r="X207" s="6">
        <v>135.7</v>
      </c>
      <c r="Y207" s="6">
        <v>122.5</v>
      </c>
      <c r="Z207" s="6">
        <v>130.2</v>
      </c>
      <c r="AA207" s="6">
        <v>145.2</v>
      </c>
      <c r="AB207" s="6">
        <v>129.3</v>
      </c>
      <c r="AC207" s="6">
        <v>131.9</v>
      </c>
      <c r="AD207" s="6">
        <v>138.1</v>
      </c>
      <c r="AE207" s="6" t="str">
        <f t="shared" si="3"/>
        <v>Urban|2018|September</v>
      </c>
    </row>
    <row r="208" spans="1:31">
      <c r="A208" s="6" t="s">
        <v>52</v>
      </c>
      <c r="B208" s="6">
        <v>2018</v>
      </c>
      <c r="C208" s="6" t="s">
        <v>60</v>
      </c>
      <c r="D208" s="6">
        <v>138.6</v>
      </c>
      <c r="E208" s="6">
        <v>145.8</v>
      </c>
      <c r="F208" s="6">
        <v>135.1</v>
      </c>
      <c r="G208" s="6">
        <v>142.9</v>
      </c>
      <c r="H208" s="6">
        <v>122.1</v>
      </c>
      <c r="I208" s="6">
        <v>145.4</v>
      </c>
      <c r="J208" s="6">
        <v>150</v>
      </c>
      <c r="K208" s="6">
        <v>121.4</v>
      </c>
      <c r="L208" s="6">
        <v>113.7</v>
      </c>
      <c r="M208" s="6">
        <v>139.5</v>
      </c>
      <c r="N208" s="6">
        <v>130.8</v>
      </c>
      <c r="O208" s="6">
        <v>153.8</v>
      </c>
      <c r="P208" s="6">
        <v>140.4</v>
      </c>
      <c r="Q208" s="6">
        <v>159.2</v>
      </c>
      <c r="R208" s="6">
        <v>147.7</v>
      </c>
      <c r="S208" s="6">
        <v>139.1</v>
      </c>
      <c r="T208" s="6">
        <v>146.5</v>
      </c>
      <c r="U208" s="6">
        <v>145.3</v>
      </c>
      <c r="V208" s="6">
        <v>142.3</v>
      </c>
      <c r="W208" s="6">
        <v>139.7</v>
      </c>
      <c r="X208" s="6">
        <v>138.4</v>
      </c>
      <c r="Y208" s="6">
        <v>126</v>
      </c>
      <c r="Z208" s="6">
        <v>134.5</v>
      </c>
      <c r="AA208" s="6">
        <v>146.2</v>
      </c>
      <c r="AB208" s="6">
        <v>130.9</v>
      </c>
      <c r="AC208" s="6">
        <v>134.7</v>
      </c>
      <c r="AD208" s="6">
        <v>140.2</v>
      </c>
      <c r="AE208" s="6" t="str">
        <f t="shared" si="3"/>
        <v>Rural+Urban|2018|September</v>
      </c>
    </row>
    <row r="209" spans="1:31">
      <c r="A209" s="6" t="s">
        <v>49</v>
      </c>
      <c r="B209" s="6">
        <v>2018</v>
      </c>
      <c r="C209" s="6" t="s">
        <v>61</v>
      </c>
      <c r="D209" s="6">
        <v>139.3</v>
      </c>
      <c r="E209" s="6">
        <v>147.6</v>
      </c>
      <c r="F209" s="6">
        <v>134.6</v>
      </c>
      <c r="G209" s="6">
        <v>141.9</v>
      </c>
      <c r="H209" s="6">
        <v>123.5</v>
      </c>
      <c r="I209" s="6">
        <v>144.5</v>
      </c>
      <c r="J209" s="6">
        <v>147.6</v>
      </c>
      <c r="K209" s="6">
        <v>121.4</v>
      </c>
      <c r="L209" s="6">
        <v>112.3</v>
      </c>
      <c r="M209" s="6">
        <v>139.5</v>
      </c>
      <c r="N209" s="6">
        <v>134.6</v>
      </c>
      <c r="O209" s="6">
        <v>155.2</v>
      </c>
      <c r="P209" s="6">
        <v>140.2</v>
      </c>
      <c r="Q209" s="6">
        <v>159.6</v>
      </c>
      <c r="R209" s="6">
        <v>150.7</v>
      </c>
      <c r="S209" s="6">
        <v>144.5</v>
      </c>
      <c r="T209" s="6">
        <v>149.8</v>
      </c>
      <c r="V209" s="6">
        <v>149.7</v>
      </c>
      <c r="W209" s="6">
        <v>147.5</v>
      </c>
      <c r="X209" s="6">
        <v>144.8</v>
      </c>
      <c r="Y209" s="6">
        <v>130.8</v>
      </c>
      <c r="Z209" s="6">
        <v>140.1</v>
      </c>
      <c r="AA209" s="6">
        <v>148</v>
      </c>
      <c r="AB209" s="6">
        <v>134.4</v>
      </c>
      <c r="AC209" s="6">
        <v>139.8</v>
      </c>
      <c r="AD209" s="6">
        <v>142.2</v>
      </c>
      <c r="AE209" s="6" t="str">
        <f t="shared" si="3"/>
        <v>Rural|2018|October</v>
      </c>
    </row>
    <row r="210" spans="1:31">
      <c r="A210" s="6" t="s">
        <v>51</v>
      </c>
      <c r="B210" s="6">
        <v>2018</v>
      </c>
      <c r="C210" s="6" t="s">
        <v>61</v>
      </c>
      <c r="D210" s="6">
        <v>137.6</v>
      </c>
      <c r="E210" s="6">
        <v>144.9</v>
      </c>
      <c r="F210" s="6">
        <v>133.5</v>
      </c>
      <c r="G210" s="6">
        <v>141.5</v>
      </c>
      <c r="H210" s="6">
        <v>118</v>
      </c>
      <c r="I210" s="6">
        <v>139.5</v>
      </c>
      <c r="J210" s="6">
        <v>153</v>
      </c>
      <c r="K210" s="6">
        <v>113.2</v>
      </c>
      <c r="L210" s="6">
        <v>112.8</v>
      </c>
      <c r="M210" s="6">
        <v>141.1</v>
      </c>
      <c r="N210" s="6">
        <v>127.6</v>
      </c>
      <c r="O210" s="6">
        <v>152</v>
      </c>
      <c r="P210" s="6">
        <v>139.4</v>
      </c>
      <c r="Q210" s="6">
        <v>164</v>
      </c>
      <c r="R210" s="6">
        <v>141.5</v>
      </c>
      <c r="S210" s="6">
        <v>129.8</v>
      </c>
      <c r="T210" s="6">
        <v>139.7</v>
      </c>
      <c r="U210" s="6">
        <v>146.3</v>
      </c>
      <c r="V210" s="6">
        <v>133.4</v>
      </c>
      <c r="W210" s="6">
        <v>135.1</v>
      </c>
      <c r="X210" s="6">
        <v>136.2</v>
      </c>
      <c r="Y210" s="6">
        <v>123.3</v>
      </c>
      <c r="Z210" s="6">
        <v>130.7</v>
      </c>
      <c r="AA210" s="6">
        <v>145.5</v>
      </c>
      <c r="AB210" s="6">
        <v>130.4</v>
      </c>
      <c r="AC210" s="6">
        <v>132.5</v>
      </c>
      <c r="AD210" s="6">
        <v>138.9</v>
      </c>
      <c r="AE210" s="6" t="str">
        <f t="shared" si="3"/>
        <v>Urban|2018|October</v>
      </c>
    </row>
    <row r="211" spans="1:31">
      <c r="A211" s="6" t="s">
        <v>52</v>
      </c>
      <c r="B211" s="6">
        <v>2018</v>
      </c>
      <c r="C211" s="6" t="s">
        <v>61</v>
      </c>
      <c r="D211" s="6">
        <v>137.4</v>
      </c>
      <c r="E211" s="6">
        <v>149.5</v>
      </c>
      <c r="F211" s="6">
        <v>137.3</v>
      </c>
      <c r="G211" s="6">
        <v>141.9</v>
      </c>
      <c r="H211" s="6">
        <v>121.1</v>
      </c>
      <c r="I211" s="6">
        <v>142.5</v>
      </c>
      <c r="J211" s="6">
        <v>146.7</v>
      </c>
      <c r="K211" s="6">
        <v>119.1</v>
      </c>
      <c r="L211" s="6">
        <v>111.9</v>
      </c>
      <c r="M211" s="6">
        <v>141</v>
      </c>
      <c r="N211" s="6">
        <v>133.6</v>
      </c>
      <c r="O211" s="6">
        <v>154.5</v>
      </c>
      <c r="P211" s="6">
        <v>139.7</v>
      </c>
      <c r="Q211" s="6">
        <v>162.6</v>
      </c>
      <c r="R211" s="6">
        <v>148</v>
      </c>
      <c r="S211" s="6">
        <v>139.2</v>
      </c>
      <c r="T211" s="6">
        <v>146.8</v>
      </c>
      <c r="U211" s="6">
        <v>146.9</v>
      </c>
      <c r="V211" s="6">
        <v>145.3</v>
      </c>
      <c r="W211" s="6">
        <v>142.2</v>
      </c>
      <c r="X211" s="6">
        <v>142.1</v>
      </c>
      <c r="Y211" s="6">
        <v>125.5</v>
      </c>
      <c r="Z211" s="6">
        <v>136.5</v>
      </c>
      <c r="AA211" s="6">
        <v>147.8</v>
      </c>
      <c r="AB211" s="6">
        <v>132</v>
      </c>
      <c r="AC211" s="6">
        <v>136.3</v>
      </c>
      <c r="AD211" s="6">
        <v>140.8</v>
      </c>
      <c r="AE211" s="6" t="str">
        <f t="shared" si="3"/>
        <v>Rural+Urban|2018|October</v>
      </c>
    </row>
    <row r="212" spans="1:31">
      <c r="A212" s="6" t="s">
        <v>49</v>
      </c>
      <c r="B212" s="6">
        <v>2018</v>
      </c>
      <c r="C212" s="6" t="s">
        <v>62</v>
      </c>
      <c r="D212" s="6">
        <v>137.1</v>
      </c>
      <c r="E212" s="6">
        <v>150.8</v>
      </c>
      <c r="F212" s="6">
        <v>136.7</v>
      </c>
      <c r="G212" s="6">
        <v>141.9</v>
      </c>
      <c r="H212" s="6">
        <v>122.8</v>
      </c>
      <c r="I212" s="6">
        <v>143.9</v>
      </c>
      <c r="J212" s="6">
        <v>147.5</v>
      </c>
      <c r="K212" s="6">
        <v>121</v>
      </c>
      <c r="L212" s="6">
        <v>111.6</v>
      </c>
      <c r="M212" s="6">
        <v>140.6</v>
      </c>
      <c r="N212" s="6">
        <v>137.5</v>
      </c>
      <c r="O212" s="6">
        <v>156.1</v>
      </c>
      <c r="P212" s="6">
        <v>140</v>
      </c>
      <c r="Q212" s="6">
        <v>161.9</v>
      </c>
      <c r="R212" s="6">
        <v>151.7</v>
      </c>
      <c r="S212" s="6">
        <v>145.5</v>
      </c>
      <c r="T212" s="6">
        <v>150.8</v>
      </c>
      <c r="V212" s="6">
        <v>150.3</v>
      </c>
      <c r="W212" s="6">
        <v>148</v>
      </c>
      <c r="X212" s="6">
        <v>145.4</v>
      </c>
      <c r="Y212" s="6">
        <v>130.3</v>
      </c>
      <c r="Z212" s="6">
        <v>143.1</v>
      </c>
      <c r="AA212" s="6">
        <v>150.2</v>
      </c>
      <c r="AB212" s="6">
        <v>133.1</v>
      </c>
      <c r="AC212" s="6">
        <v>140.1</v>
      </c>
      <c r="AD212" s="6">
        <v>142.4</v>
      </c>
      <c r="AE212" s="6" t="str">
        <f t="shared" si="3"/>
        <v>Rural|2018|November</v>
      </c>
    </row>
    <row r="213" spans="1:31">
      <c r="A213" s="6" t="s">
        <v>51</v>
      </c>
      <c r="B213" s="6">
        <v>2018</v>
      </c>
      <c r="C213" s="6" t="s">
        <v>62</v>
      </c>
      <c r="D213" s="6">
        <v>138.1</v>
      </c>
      <c r="E213" s="6">
        <v>146.3</v>
      </c>
      <c r="F213" s="6">
        <v>137.8</v>
      </c>
      <c r="G213" s="6">
        <v>141.6</v>
      </c>
      <c r="H213" s="6">
        <v>118.1</v>
      </c>
      <c r="I213" s="6">
        <v>141.5</v>
      </c>
      <c r="J213" s="6">
        <v>145.2</v>
      </c>
      <c r="K213" s="6">
        <v>115.3</v>
      </c>
      <c r="L213" s="6">
        <v>112.5</v>
      </c>
      <c r="M213" s="6">
        <v>141.4</v>
      </c>
      <c r="N213" s="6">
        <v>128</v>
      </c>
      <c r="O213" s="6">
        <v>152.6</v>
      </c>
      <c r="P213" s="6">
        <v>139.1</v>
      </c>
      <c r="Q213" s="6">
        <v>164.4</v>
      </c>
      <c r="R213" s="6">
        <v>142.4</v>
      </c>
      <c r="S213" s="6">
        <v>130.2</v>
      </c>
      <c r="T213" s="6">
        <v>140.5</v>
      </c>
      <c r="U213" s="6">
        <v>146.9</v>
      </c>
      <c r="V213" s="6">
        <v>136.7</v>
      </c>
      <c r="W213" s="6">
        <v>135.8</v>
      </c>
      <c r="X213" s="6">
        <v>136.8</v>
      </c>
      <c r="Y213" s="6">
        <v>121.2</v>
      </c>
      <c r="Z213" s="6">
        <v>131.3</v>
      </c>
      <c r="AA213" s="6">
        <v>146.1</v>
      </c>
      <c r="AB213" s="6">
        <v>130.5</v>
      </c>
      <c r="AC213" s="6">
        <v>132.2</v>
      </c>
      <c r="AD213" s="6">
        <v>139</v>
      </c>
      <c r="AE213" s="6" t="str">
        <f t="shared" si="3"/>
        <v>Urban|2018|November</v>
      </c>
    </row>
    <row r="214" spans="1:31">
      <c r="A214" s="6" t="s">
        <v>52</v>
      </c>
      <c r="B214" s="6">
        <v>2018</v>
      </c>
      <c r="C214" s="6" t="s">
        <v>62</v>
      </c>
      <c r="D214" s="6">
        <v>137.4</v>
      </c>
      <c r="E214" s="6">
        <v>149.2</v>
      </c>
      <c r="F214" s="6">
        <v>137.1</v>
      </c>
      <c r="G214" s="6">
        <v>141.8</v>
      </c>
      <c r="H214" s="6">
        <v>121.1</v>
      </c>
      <c r="I214" s="6">
        <v>142.8</v>
      </c>
      <c r="J214" s="6">
        <v>146.7</v>
      </c>
      <c r="K214" s="6">
        <v>119.1</v>
      </c>
      <c r="L214" s="6">
        <v>111.9</v>
      </c>
      <c r="M214" s="6">
        <v>140.9</v>
      </c>
      <c r="N214" s="6">
        <v>133.5</v>
      </c>
      <c r="O214" s="6">
        <v>154.5</v>
      </c>
      <c r="P214" s="6">
        <v>139.7</v>
      </c>
      <c r="Q214" s="6">
        <v>162.6</v>
      </c>
      <c r="R214" s="6">
        <v>148</v>
      </c>
      <c r="S214" s="6">
        <v>139.1</v>
      </c>
      <c r="T214" s="6">
        <v>146.7</v>
      </c>
      <c r="U214" s="6">
        <v>146.9</v>
      </c>
      <c r="V214" s="6">
        <v>145.1</v>
      </c>
      <c r="W214" s="6">
        <v>142.2</v>
      </c>
      <c r="X214" s="6">
        <v>142.1</v>
      </c>
      <c r="Y214" s="6">
        <v>125.5</v>
      </c>
      <c r="Z214" s="6">
        <v>136.5</v>
      </c>
      <c r="AA214" s="6">
        <v>147.8</v>
      </c>
      <c r="AB214" s="6">
        <v>132</v>
      </c>
      <c r="AC214" s="6">
        <v>136.3</v>
      </c>
      <c r="AD214" s="6">
        <v>140.8</v>
      </c>
      <c r="AE214" s="6" t="str">
        <f t="shared" si="3"/>
        <v>Rural+Urban|2018|November</v>
      </c>
    </row>
    <row r="215" spans="1:31">
      <c r="A215" s="6" t="s">
        <v>49</v>
      </c>
      <c r="B215" s="6">
        <v>2018</v>
      </c>
      <c r="C215" s="6" t="s">
        <v>63</v>
      </c>
      <c r="D215" s="6">
        <v>137.1</v>
      </c>
      <c r="E215" s="6">
        <v>151.9</v>
      </c>
      <c r="F215" s="6">
        <v>137.4</v>
      </c>
      <c r="G215" s="6">
        <v>142.4</v>
      </c>
      <c r="H215" s="6">
        <v>124.2</v>
      </c>
      <c r="I215" s="6">
        <v>140.2</v>
      </c>
      <c r="J215" s="6">
        <v>136.6</v>
      </c>
      <c r="K215" s="6">
        <v>120.9</v>
      </c>
      <c r="L215" s="6">
        <v>109.9</v>
      </c>
      <c r="M215" s="6">
        <v>140.2</v>
      </c>
      <c r="N215" s="6">
        <v>137.8</v>
      </c>
      <c r="O215" s="6">
        <v>156</v>
      </c>
      <c r="P215" s="6">
        <v>138.5</v>
      </c>
      <c r="Q215" s="6">
        <v>162.4</v>
      </c>
      <c r="R215" s="6">
        <v>151.6</v>
      </c>
      <c r="S215" s="6">
        <v>145.9</v>
      </c>
      <c r="T215" s="6">
        <v>150.8</v>
      </c>
      <c r="V215" s="6">
        <v>149</v>
      </c>
      <c r="W215" s="6">
        <v>149.5</v>
      </c>
      <c r="X215" s="6">
        <v>149.6</v>
      </c>
      <c r="Y215" s="6">
        <v>128.9</v>
      </c>
      <c r="Z215" s="6">
        <v>143.3</v>
      </c>
      <c r="AA215" s="6">
        <v>155.1</v>
      </c>
      <c r="AB215" s="6">
        <v>133.2</v>
      </c>
      <c r="AC215" s="6">
        <v>141.6</v>
      </c>
      <c r="AD215" s="6">
        <v>141.9</v>
      </c>
      <c r="AE215" s="6" t="str">
        <f t="shared" si="3"/>
        <v>Rural|2018|December</v>
      </c>
    </row>
    <row r="216" spans="1:31">
      <c r="A216" s="6" t="s">
        <v>51</v>
      </c>
      <c r="B216" s="6">
        <v>2018</v>
      </c>
      <c r="C216" s="6" t="s">
        <v>63</v>
      </c>
      <c r="D216" s="6">
        <v>138.5</v>
      </c>
      <c r="E216" s="6">
        <v>147.8</v>
      </c>
      <c r="F216" s="6">
        <v>141.1</v>
      </c>
      <c r="G216" s="6">
        <v>141.6</v>
      </c>
      <c r="H216" s="6">
        <v>118.1</v>
      </c>
      <c r="I216" s="6">
        <v>138.5</v>
      </c>
      <c r="J216" s="6">
        <v>132.4</v>
      </c>
      <c r="K216" s="6">
        <v>117.5</v>
      </c>
      <c r="L216" s="6">
        <v>111</v>
      </c>
      <c r="M216" s="6">
        <v>141.5</v>
      </c>
      <c r="N216" s="6">
        <v>128.1</v>
      </c>
      <c r="O216" s="6">
        <v>152.9</v>
      </c>
      <c r="P216" s="6">
        <v>137.6</v>
      </c>
      <c r="Q216" s="6">
        <v>164.6</v>
      </c>
      <c r="R216" s="6">
        <v>142.7</v>
      </c>
      <c r="S216" s="6">
        <v>130.3</v>
      </c>
      <c r="T216" s="6">
        <v>140.8</v>
      </c>
      <c r="U216" s="6">
        <v>146.5</v>
      </c>
      <c r="V216" s="6">
        <v>132.4</v>
      </c>
      <c r="W216" s="6">
        <v>136.2</v>
      </c>
      <c r="X216" s="6">
        <v>137.3</v>
      </c>
      <c r="Y216" s="6">
        <v>118.8</v>
      </c>
      <c r="Z216" s="6">
        <v>131.7</v>
      </c>
      <c r="AA216" s="6">
        <v>146.5</v>
      </c>
      <c r="AB216" s="6">
        <v>130.8</v>
      </c>
      <c r="AC216" s="6">
        <v>131.7</v>
      </c>
      <c r="AD216" s="6">
        <v>138</v>
      </c>
      <c r="AE216" s="6" t="str">
        <f t="shared" si="3"/>
        <v>Urban|2018|December</v>
      </c>
    </row>
    <row r="217" spans="1:31">
      <c r="A217" s="6" t="s">
        <v>52</v>
      </c>
      <c r="B217" s="6">
        <v>2018</v>
      </c>
      <c r="C217" s="6" t="s">
        <v>63</v>
      </c>
      <c r="D217" s="6">
        <v>137.5</v>
      </c>
      <c r="E217" s="6">
        <v>150.5</v>
      </c>
      <c r="F217" s="6">
        <v>138.8</v>
      </c>
      <c r="G217" s="6">
        <v>142.1</v>
      </c>
      <c r="H217" s="6">
        <v>122</v>
      </c>
      <c r="I217" s="6">
        <v>139.4</v>
      </c>
      <c r="J217" s="6">
        <v>135.2</v>
      </c>
      <c r="K217" s="6">
        <v>119.8</v>
      </c>
      <c r="L217" s="6">
        <v>110.3</v>
      </c>
      <c r="M217" s="6">
        <v>140.6</v>
      </c>
      <c r="N217" s="6">
        <v>133.8</v>
      </c>
      <c r="O217" s="6">
        <v>154.6</v>
      </c>
      <c r="P217" s="6">
        <v>138.2</v>
      </c>
      <c r="Q217" s="6">
        <v>163</v>
      </c>
      <c r="R217" s="6">
        <v>148.1</v>
      </c>
      <c r="S217" s="6">
        <v>139.4</v>
      </c>
      <c r="T217" s="6">
        <v>146.8</v>
      </c>
      <c r="U217" s="6">
        <v>146.5</v>
      </c>
      <c r="V217" s="6">
        <v>142.7</v>
      </c>
      <c r="W217" s="6">
        <v>143.2</v>
      </c>
      <c r="X217" s="6">
        <v>144.9</v>
      </c>
      <c r="Y217" s="6">
        <v>123.6</v>
      </c>
      <c r="Z217" s="6">
        <v>136.8</v>
      </c>
      <c r="AA217" s="6">
        <v>150.1</v>
      </c>
      <c r="AB217" s="6">
        <v>132.2</v>
      </c>
      <c r="AC217" s="6">
        <v>136.8</v>
      </c>
      <c r="AD217" s="6">
        <v>140.1</v>
      </c>
      <c r="AE217" s="6" t="str">
        <f t="shared" si="3"/>
        <v>Rural+Urban|2018|December</v>
      </c>
    </row>
    <row r="218" spans="1:31">
      <c r="A218" s="6" t="s">
        <v>49</v>
      </c>
      <c r="B218" s="6">
        <v>2019</v>
      </c>
      <c r="C218" s="6" t="s">
        <v>50</v>
      </c>
      <c r="D218" s="6">
        <v>136.6</v>
      </c>
      <c r="E218" s="6">
        <v>152.5</v>
      </c>
      <c r="F218" s="6">
        <v>138.2</v>
      </c>
      <c r="G218" s="6">
        <v>142.4</v>
      </c>
      <c r="H218" s="6">
        <v>123.9</v>
      </c>
      <c r="I218" s="6">
        <v>135.5</v>
      </c>
      <c r="J218" s="6">
        <v>131.7</v>
      </c>
      <c r="K218" s="6">
        <v>121.3</v>
      </c>
      <c r="L218" s="6">
        <v>108.4</v>
      </c>
      <c r="M218" s="6">
        <v>138.9</v>
      </c>
      <c r="N218" s="6">
        <v>137</v>
      </c>
      <c r="O218" s="6">
        <v>155.8</v>
      </c>
      <c r="P218" s="6">
        <v>137.4</v>
      </c>
      <c r="Q218" s="6">
        <v>162.7</v>
      </c>
      <c r="R218" s="6">
        <v>150.6</v>
      </c>
      <c r="S218" s="6">
        <v>145.1</v>
      </c>
      <c r="T218" s="6">
        <v>149.9</v>
      </c>
      <c r="V218" s="6">
        <v>146.2</v>
      </c>
      <c r="W218" s="6">
        <v>150.1</v>
      </c>
      <c r="X218" s="6">
        <v>149.6</v>
      </c>
      <c r="Y218" s="6">
        <v>128.6</v>
      </c>
      <c r="Z218" s="6">
        <v>142.9</v>
      </c>
      <c r="AA218" s="6">
        <v>155.2</v>
      </c>
      <c r="AB218" s="6">
        <v>133.5</v>
      </c>
      <c r="AC218" s="6">
        <v>141.7</v>
      </c>
      <c r="AD218" s="6">
        <v>141</v>
      </c>
      <c r="AE218" s="6" t="str">
        <f t="shared" si="3"/>
        <v>Rural|2019|January</v>
      </c>
    </row>
    <row r="219" spans="1:31">
      <c r="A219" s="6" t="s">
        <v>51</v>
      </c>
      <c r="B219" s="6">
        <v>2019</v>
      </c>
      <c r="C219" s="6" t="s">
        <v>50</v>
      </c>
      <c r="D219" s="6">
        <v>138.3</v>
      </c>
      <c r="E219" s="6">
        <v>149.4</v>
      </c>
      <c r="F219" s="6">
        <v>143.5</v>
      </c>
      <c r="G219" s="6">
        <v>141.7</v>
      </c>
      <c r="H219" s="6">
        <v>118.1</v>
      </c>
      <c r="I219" s="6">
        <v>135.2</v>
      </c>
      <c r="J219" s="6">
        <v>130.5</v>
      </c>
      <c r="K219" s="6">
        <v>118.2</v>
      </c>
      <c r="L219" s="6">
        <v>110.4</v>
      </c>
      <c r="M219" s="6">
        <v>140.4</v>
      </c>
      <c r="N219" s="6">
        <v>128.1</v>
      </c>
      <c r="O219" s="6">
        <v>153.2</v>
      </c>
      <c r="P219" s="6">
        <v>137.3</v>
      </c>
      <c r="Q219" s="6">
        <v>164.7</v>
      </c>
      <c r="R219" s="6">
        <v>143</v>
      </c>
      <c r="S219" s="6">
        <v>130.4</v>
      </c>
      <c r="T219" s="6">
        <v>141.1</v>
      </c>
      <c r="U219" s="6">
        <v>147.7</v>
      </c>
      <c r="V219" s="6">
        <v>128.6</v>
      </c>
      <c r="W219" s="6">
        <v>136.3</v>
      </c>
      <c r="X219" s="6">
        <v>137.8</v>
      </c>
      <c r="Y219" s="6">
        <v>118.6</v>
      </c>
      <c r="Z219" s="6">
        <v>131.9</v>
      </c>
      <c r="AA219" s="6">
        <v>146.6</v>
      </c>
      <c r="AB219" s="6">
        <v>131.7</v>
      </c>
      <c r="AC219" s="6">
        <v>131.8</v>
      </c>
      <c r="AD219" s="6">
        <v>138</v>
      </c>
      <c r="AE219" s="6" t="str">
        <f t="shared" si="3"/>
        <v>Urban|2019|January</v>
      </c>
    </row>
    <row r="220" spans="1:31">
      <c r="A220" s="6" t="s">
        <v>52</v>
      </c>
      <c r="B220" s="6">
        <v>2019</v>
      </c>
      <c r="C220" s="6" t="s">
        <v>50</v>
      </c>
      <c r="D220" s="6">
        <v>137.1</v>
      </c>
      <c r="E220" s="6">
        <v>151.4</v>
      </c>
      <c r="F220" s="6">
        <v>140.2</v>
      </c>
      <c r="G220" s="6">
        <v>142.1</v>
      </c>
      <c r="H220" s="6">
        <v>121.8</v>
      </c>
      <c r="I220" s="6">
        <v>135.4</v>
      </c>
      <c r="J220" s="6">
        <v>131.3</v>
      </c>
      <c r="K220" s="6">
        <v>120.3</v>
      </c>
      <c r="L220" s="6">
        <v>109.1</v>
      </c>
      <c r="M220" s="6">
        <v>139.4</v>
      </c>
      <c r="N220" s="6">
        <v>133.3</v>
      </c>
      <c r="O220" s="6">
        <v>154.6</v>
      </c>
      <c r="P220" s="6">
        <v>137.4</v>
      </c>
      <c r="Q220" s="6">
        <v>163.2</v>
      </c>
      <c r="R220" s="6">
        <v>147.6</v>
      </c>
      <c r="S220" s="6">
        <v>139</v>
      </c>
      <c r="T220" s="6">
        <v>146.4</v>
      </c>
      <c r="U220" s="6">
        <v>147.7</v>
      </c>
      <c r="V220" s="6">
        <v>139.5</v>
      </c>
      <c r="W220" s="6">
        <v>143.6</v>
      </c>
      <c r="X220" s="6">
        <v>145.1</v>
      </c>
      <c r="Y220" s="6">
        <v>123.3</v>
      </c>
      <c r="Z220" s="6">
        <v>136.7</v>
      </c>
      <c r="AA220" s="6">
        <v>150.2</v>
      </c>
      <c r="AB220" s="6">
        <v>132.8</v>
      </c>
      <c r="AC220" s="6">
        <v>136.9</v>
      </c>
      <c r="AD220" s="6">
        <v>139.6</v>
      </c>
      <c r="AE220" s="6" t="str">
        <f t="shared" si="3"/>
        <v>Rural+Urban|2019|January</v>
      </c>
    </row>
    <row r="221" spans="1:31">
      <c r="A221" s="6" t="s">
        <v>49</v>
      </c>
      <c r="B221" s="6">
        <v>2019</v>
      </c>
      <c r="C221" s="6" t="s">
        <v>53</v>
      </c>
      <c r="D221" s="6">
        <v>136.8</v>
      </c>
      <c r="E221" s="6">
        <v>153</v>
      </c>
      <c r="F221" s="6">
        <v>139.1</v>
      </c>
      <c r="G221" s="6">
        <v>142.5</v>
      </c>
      <c r="H221" s="6">
        <v>124.1</v>
      </c>
      <c r="I221" s="6">
        <v>135.8</v>
      </c>
      <c r="J221" s="6">
        <v>128.7</v>
      </c>
      <c r="K221" s="6">
        <v>121.5</v>
      </c>
      <c r="L221" s="6">
        <v>108.3</v>
      </c>
      <c r="M221" s="6">
        <v>139.2</v>
      </c>
      <c r="N221" s="6">
        <v>137.4</v>
      </c>
      <c r="O221" s="6">
        <v>156.2</v>
      </c>
      <c r="P221" s="6">
        <v>137.2</v>
      </c>
      <c r="Q221" s="6">
        <v>162.8</v>
      </c>
      <c r="R221" s="6">
        <v>150.5</v>
      </c>
      <c r="S221" s="6">
        <v>146.1</v>
      </c>
      <c r="T221" s="6">
        <v>149.9</v>
      </c>
      <c r="V221" s="6">
        <v>145.3</v>
      </c>
      <c r="W221" s="6">
        <v>150.1</v>
      </c>
      <c r="X221" s="6">
        <v>149.9</v>
      </c>
      <c r="Y221" s="6">
        <v>129.2</v>
      </c>
      <c r="Z221" s="6">
        <v>143.4</v>
      </c>
      <c r="AA221" s="6">
        <v>155.5</v>
      </c>
      <c r="AB221" s="6">
        <v>134.9</v>
      </c>
      <c r="AC221" s="6">
        <v>142.2</v>
      </c>
      <c r="AD221" s="6">
        <v>141</v>
      </c>
      <c r="AE221" s="6" t="str">
        <f t="shared" si="3"/>
        <v>Rural|2019|February</v>
      </c>
    </row>
    <row r="222" spans="1:31">
      <c r="A222" s="6" t="s">
        <v>51</v>
      </c>
      <c r="B222" s="6">
        <v>2019</v>
      </c>
      <c r="C222" s="6" t="s">
        <v>53</v>
      </c>
      <c r="D222" s="6">
        <v>139.4</v>
      </c>
      <c r="E222" s="6">
        <v>150.1</v>
      </c>
      <c r="F222" s="6">
        <v>145.3</v>
      </c>
      <c r="G222" s="6">
        <v>141.7</v>
      </c>
      <c r="H222" s="6">
        <v>118.4</v>
      </c>
      <c r="I222" s="6">
        <v>137</v>
      </c>
      <c r="J222" s="6">
        <v>131.6</v>
      </c>
      <c r="K222" s="6">
        <v>119.9</v>
      </c>
      <c r="L222" s="6">
        <v>110.4</v>
      </c>
      <c r="M222" s="6">
        <v>140.8</v>
      </c>
      <c r="N222" s="6">
        <v>128.3</v>
      </c>
      <c r="O222" s="6">
        <v>153.5</v>
      </c>
      <c r="P222" s="6">
        <v>138</v>
      </c>
      <c r="Q222" s="6">
        <v>164.9</v>
      </c>
      <c r="R222" s="6">
        <v>143.3</v>
      </c>
      <c r="S222" s="6">
        <v>130.8</v>
      </c>
      <c r="T222" s="6">
        <v>141.4</v>
      </c>
      <c r="U222" s="6">
        <v>148.5</v>
      </c>
      <c r="V222" s="6">
        <v>127.1</v>
      </c>
      <c r="W222" s="6">
        <v>136.6</v>
      </c>
      <c r="X222" s="6">
        <v>138.5</v>
      </c>
      <c r="Y222" s="6">
        <v>119.2</v>
      </c>
      <c r="Z222" s="6">
        <v>132.2</v>
      </c>
      <c r="AA222" s="6">
        <v>146.6</v>
      </c>
      <c r="AB222" s="6">
        <v>133</v>
      </c>
      <c r="AC222" s="6">
        <v>132.4</v>
      </c>
      <c r="AD222" s="6">
        <v>138.6</v>
      </c>
      <c r="AE222" s="6" t="str">
        <f t="shared" si="3"/>
        <v>Urban|2019|February</v>
      </c>
    </row>
    <row r="223" spans="1:31">
      <c r="A223" s="6" t="s">
        <v>52</v>
      </c>
      <c r="B223" s="6">
        <v>2019</v>
      </c>
      <c r="C223" s="6" t="s">
        <v>53</v>
      </c>
      <c r="D223" s="6">
        <v>137.6</v>
      </c>
      <c r="E223" s="6">
        <v>152</v>
      </c>
      <c r="F223" s="6">
        <v>141.5</v>
      </c>
      <c r="G223" s="6">
        <v>142.2</v>
      </c>
      <c r="H223" s="6">
        <v>122</v>
      </c>
      <c r="I223" s="6">
        <v>136.4</v>
      </c>
      <c r="J223" s="6">
        <v>129.7</v>
      </c>
      <c r="K223" s="6">
        <v>121</v>
      </c>
      <c r="L223" s="6">
        <v>109</v>
      </c>
      <c r="M223" s="6">
        <v>139.7</v>
      </c>
      <c r="N223" s="6">
        <v>133.6</v>
      </c>
      <c r="O223" s="6">
        <v>154.9</v>
      </c>
      <c r="P223" s="6">
        <v>137.5</v>
      </c>
      <c r="Q223" s="6">
        <v>163.4</v>
      </c>
      <c r="R223" s="6">
        <v>147.7</v>
      </c>
      <c r="S223" s="6">
        <v>139.7</v>
      </c>
      <c r="T223" s="6">
        <v>146.5</v>
      </c>
      <c r="U223" s="6">
        <v>148.5</v>
      </c>
      <c r="V223" s="6">
        <v>138.4</v>
      </c>
      <c r="W223" s="6">
        <v>143.7</v>
      </c>
      <c r="X223" s="6">
        <v>145.6</v>
      </c>
      <c r="Y223" s="6">
        <v>123.9</v>
      </c>
      <c r="Z223" s="6">
        <v>137.1</v>
      </c>
      <c r="AA223" s="6">
        <v>150.3</v>
      </c>
      <c r="AB223" s="6">
        <v>134.1</v>
      </c>
      <c r="AC223" s="6">
        <v>137.4</v>
      </c>
      <c r="AD223" s="6">
        <v>139.9</v>
      </c>
      <c r="AE223" s="6" t="str">
        <f t="shared" si="3"/>
        <v>Rural+Urban|2019|February</v>
      </c>
    </row>
    <row r="224" spans="1:31">
      <c r="A224" s="6" t="s">
        <v>49</v>
      </c>
      <c r="B224" s="6">
        <v>2019</v>
      </c>
      <c r="C224" s="6" t="s">
        <v>54</v>
      </c>
      <c r="D224" s="6">
        <v>136.9</v>
      </c>
      <c r="E224" s="6">
        <v>154.1</v>
      </c>
      <c r="F224" s="6">
        <v>138.7</v>
      </c>
      <c r="G224" s="6">
        <v>142.5</v>
      </c>
      <c r="H224" s="6">
        <v>124.1</v>
      </c>
      <c r="I224" s="6">
        <v>136.1</v>
      </c>
      <c r="J224" s="6">
        <v>128.2</v>
      </c>
      <c r="K224" s="6">
        <v>122.3</v>
      </c>
      <c r="L224" s="6">
        <v>108.3</v>
      </c>
      <c r="M224" s="6">
        <v>138.9</v>
      </c>
      <c r="N224" s="6">
        <v>137.4</v>
      </c>
      <c r="O224" s="6">
        <v>156.4</v>
      </c>
      <c r="P224" s="6">
        <v>137.3</v>
      </c>
      <c r="Q224" s="6">
        <v>162.9</v>
      </c>
      <c r="R224" s="6">
        <v>150.8</v>
      </c>
      <c r="S224" s="6">
        <v>146.1</v>
      </c>
      <c r="T224" s="6">
        <v>150.1</v>
      </c>
      <c r="V224" s="6">
        <v>146.4</v>
      </c>
      <c r="W224" s="6">
        <v>150</v>
      </c>
      <c r="X224" s="6">
        <v>150.4</v>
      </c>
      <c r="Y224" s="6">
        <v>129.9</v>
      </c>
      <c r="Z224" s="6">
        <v>143.8</v>
      </c>
      <c r="AA224" s="6">
        <v>155.5</v>
      </c>
      <c r="AB224" s="6">
        <v>134</v>
      </c>
      <c r="AC224" s="6">
        <v>142.4</v>
      </c>
      <c r="AD224" s="6">
        <v>141.2</v>
      </c>
      <c r="AE224" s="6" t="str">
        <f t="shared" si="3"/>
        <v>Rural|2019|March</v>
      </c>
    </row>
    <row r="225" spans="1:31">
      <c r="A225" s="6" t="s">
        <v>51</v>
      </c>
      <c r="B225" s="6">
        <v>2019</v>
      </c>
      <c r="C225" s="6" t="s">
        <v>54</v>
      </c>
      <c r="D225" s="6">
        <v>139.7</v>
      </c>
      <c r="E225" s="6">
        <v>151.1</v>
      </c>
      <c r="F225" s="6">
        <v>142.9</v>
      </c>
      <c r="G225" s="6">
        <v>141.9</v>
      </c>
      <c r="H225" s="6">
        <v>118.4</v>
      </c>
      <c r="I225" s="6">
        <v>139.4</v>
      </c>
      <c r="J225" s="6">
        <v>141.2</v>
      </c>
      <c r="K225" s="6">
        <v>120.7</v>
      </c>
      <c r="L225" s="6">
        <v>110.4</v>
      </c>
      <c r="M225" s="6">
        <v>140.7</v>
      </c>
      <c r="N225" s="6">
        <v>128.5</v>
      </c>
      <c r="O225" s="6">
        <v>153.9</v>
      </c>
      <c r="P225" s="6">
        <v>139.6</v>
      </c>
      <c r="Q225" s="6">
        <v>165.3</v>
      </c>
      <c r="R225" s="6">
        <v>143.5</v>
      </c>
      <c r="S225" s="6">
        <v>131.2</v>
      </c>
      <c r="T225" s="6">
        <v>141.6</v>
      </c>
      <c r="U225" s="6">
        <v>149</v>
      </c>
      <c r="V225" s="6">
        <v>128.8</v>
      </c>
      <c r="W225" s="6">
        <v>136.8</v>
      </c>
      <c r="X225" s="6">
        <v>139.2</v>
      </c>
      <c r="Y225" s="6">
        <v>119.9</v>
      </c>
      <c r="Z225" s="6">
        <v>133</v>
      </c>
      <c r="AA225" s="6">
        <v>146.7</v>
      </c>
      <c r="AB225" s="6">
        <v>132.5</v>
      </c>
      <c r="AC225" s="6">
        <v>132.8</v>
      </c>
      <c r="AD225" s="6">
        <v>139.5</v>
      </c>
      <c r="AE225" s="6" t="str">
        <f t="shared" si="3"/>
        <v>Urban|2019|March</v>
      </c>
    </row>
    <row r="226" spans="1:31">
      <c r="A226" s="6" t="s">
        <v>52</v>
      </c>
      <c r="B226" s="6">
        <v>2019</v>
      </c>
      <c r="C226" s="6" t="s">
        <v>54</v>
      </c>
      <c r="D226" s="6">
        <v>137.8</v>
      </c>
      <c r="E226" s="6">
        <v>153</v>
      </c>
      <c r="F226" s="6">
        <v>140.3</v>
      </c>
      <c r="G226" s="6">
        <v>142.3</v>
      </c>
      <c r="H226" s="6">
        <v>122</v>
      </c>
      <c r="I226" s="6">
        <v>137.6</v>
      </c>
      <c r="J226" s="6">
        <v>132.6</v>
      </c>
      <c r="K226" s="6">
        <v>121.8</v>
      </c>
      <c r="L226" s="6">
        <v>109</v>
      </c>
      <c r="M226" s="6">
        <v>139.5</v>
      </c>
      <c r="N226" s="6">
        <v>133.7</v>
      </c>
      <c r="O226" s="6">
        <v>155.2</v>
      </c>
      <c r="P226" s="6">
        <v>138.1</v>
      </c>
      <c r="Q226" s="6">
        <v>163.5</v>
      </c>
      <c r="R226" s="6">
        <v>147.9</v>
      </c>
      <c r="S226" s="6">
        <v>139.9</v>
      </c>
      <c r="T226" s="6">
        <v>146.7</v>
      </c>
      <c r="U226" s="6">
        <v>149</v>
      </c>
      <c r="V226" s="6">
        <v>139.7</v>
      </c>
      <c r="W226" s="6">
        <v>143.8</v>
      </c>
      <c r="X226" s="6">
        <v>146.2</v>
      </c>
      <c r="Y226" s="6">
        <v>124.6</v>
      </c>
      <c r="Z226" s="6">
        <v>137.7</v>
      </c>
      <c r="AA226" s="6">
        <v>150.3</v>
      </c>
      <c r="AB226" s="6">
        <v>133.4</v>
      </c>
      <c r="AC226" s="6">
        <v>137.7</v>
      </c>
      <c r="AD226" s="6">
        <v>140.4</v>
      </c>
      <c r="AE226" s="6" t="str">
        <f t="shared" si="3"/>
        <v>Rural+Urban|2019|March</v>
      </c>
    </row>
    <row r="227" spans="1:31">
      <c r="A227" s="6" t="s">
        <v>49</v>
      </c>
      <c r="B227" s="6">
        <v>2019</v>
      </c>
      <c r="C227" s="6" t="s">
        <v>56</v>
      </c>
      <c r="D227" s="6">
        <v>137.4</v>
      </c>
      <c r="E227" s="6">
        <v>159.5</v>
      </c>
      <c r="F227" s="6">
        <v>134.5</v>
      </c>
      <c r="G227" s="6">
        <v>142.6</v>
      </c>
      <c r="H227" s="6">
        <v>124</v>
      </c>
      <c r="I227" s="6">
        <v>143.7</v>
      </c>
      <c r="J227" s="6">
        <v>133.4</v>
      </c>
      <c r="K227" s="6">
        <v>125.1</v>
      </c>
      <c r="L227" s="6">
        <v>109.3</v>
      </c>
      <c r="M227" s="6">
        <v>139.3</v>
      </c>
      <c r="N227" s="6">
        <v>137.7</v>
      </c>
      <c r="O227" s="6">
        <v>156.4</v>
      </c>
      <c r="P227" s="6">
        <v>139.2</v>
      </c>
      <c r="Q227" s="6">
        <v>163.3</v>
      </c>
      <c r="R227" s="6">
        <v>151.3</v>
      </c>
      <c r="S227" s="6">
        <v>146.6</v>
      </c>
      <c r="T227" s="6">
        <v>150.7</v>
      </c>
      <c r="V227" s="6">
        <v>146.9</v>
      </c>
      <c r="W227" s="6">
        <v>149.5</v>
      </c>
      <c r="X227" s="6">
        <v>151.3</v>
      </c>
      <c r="Y227" s="6">
        <v>130.2</v>
      </c>
      <c r="Z227" s="6">
        <v>145.9</v>
      </c>
      <c r="AA227" s="6">
        <v>156.7</v>
      </c>
      <c r="AB227" s="6">
        <v>133.9</v>
      </c>
      <c r="AC227" s="6">
        <v>142.9</v>
      </c>
      <c r="AD227" s="6">
        <v>142.4</v>
      </c>
      <c r="AE227" s="6" t="str">
        <f t="shared" si="3"/>
        <v>Rural|2019|May</v>
      </c>
    </row>
    <row r="228" spans="1:31">
      <c r="A228" s="6" t="s">
        <v>51</v>
      </c>
      <c r="B228" s="6">
        <v>2019</v>
      </c>
      <c r="C228" s="6" t="s">
        <v>56</v>
      </c>
      <c r="D228" s="6">
        <v>140.4</v>
      </c>
      <c r="E228" s="6">
        <v>156.7</v>
      </c>
      <c r="F228" s="6">
        <v>138.3</v>
      </c>
      <c r="G228" s="6">
        <v>142.4</v>
      </c>
      <c r="H228" s="6">
        <v>118.6</v>
      </c>
      <c r="I228" s="6">
        <v>149.7</v>
      </c>
      <c r="J228" s="6">
        <v>161.6</v>
      </c>
      <c r="K228" s="6">
        <v>124.4</v>
      </c>
      <c r="L228" s="6">
        <v>111.2</v>
      </c>
      <c r="M228" s="6">
        <v>141</v>
      </c>
      <c r="N228" s="6">
        <v>128.9</v>
      </c>
      <c r="O228" s="6">
        <v>154.5</v>
      </c>
      <c r="P228" s="6">
        <v>143.8</v>
      </c>
      <c r="Q228" s="6">
        <v>166.2</v>
      </c>
      <c r="R228" s="6">
        <v>144</v>
      </c>
      <c r="S228" s="6">
        <v>131.7</v>
      </c>
      <c r="T228" s="6">
        <v>142.2</v>
      </c>
      <c r="U228" s="6">
        <v>150.1</v>
      </c>
      <c r="V228" s="6">
        <v>129.4</v>
      </c>
      <c r="W228" s="6">
        <v>137.2</v>
      </c>
      <c r="X228" s="6">
        <v>139.8</v>
      </c>
      <c r="Y228" s="6">
        <v>120.1</v>
      </c>
      <c r="Z228" s="6">
        <v>134</v>
      </c>
      <c r="AA228" s="6">
        <v>148</v>
      </c>
      <c r="AB228" s="6">
        <v>132.6</v>
      </c>
      <c r="AC228" s="6">
        <v>133.3</v>
      </c>
      <c r="AD228" s="6">
        <v>141.5</v>
      </c>
      <c r="AE228" s="6" t="str">
        <f t="shared" si="3"/>
        <v>Urban|2019|May</v>
      </c>
    </row>
    <row r="229" spans="1:31">
      <c r="A229" s="6" t="s">
        <v>52</v>
      </c>
      <c r="B229" s="6">
        <v>2019</v>
      </c>
      <c r="C229" s="6" t="s">
        <v>56</v>
      </c>
      <c r="D229" s="6">
        <v>138.3</v>
      </c>
      <c r="E229" s="6">
        <v>158.5</v>
      </c>
      <c r="F229" s="6">
        <v>136</v>
      </c>
      <c r="G229" s="6">
        <v>142.5</v>
      </c>
      <c r="H229" s="6">
        <v>122</v>
      </c>
      <c r="I229" s="6">
        <v>146.5</v>
      </c>
      <c r="J229" s="6">
        <v>143</v>
      </c>
      <c r="K229" s="6">
        <v>124.9</v>
      </c>
      <c r="L229" s="6">
        <v>109.9</v>
      </c>
      <c r="M229" s="6">
        <v>139.9</v>
      </c>
      <c r="N229" s="6">
        <v>134</v>
      </c>
      <c r="O229" s="6">
        <v>155.5</v>
      </c>
      <c r="P229" s="6">
        <v>140.9</v>
      </c>
      <c r="Q229" s="6">
        <v>164.1</v>
      </c>
      <c r="R229" s="6">
        <v>148.4</v>
      </c>
      <c r="S229" s="6">
        <v>140.4</v>
      </c>
      <c r="T229" s="6">
        <v>147.3</v>
      </c>
      <c r="U229" s="6">
        <v>150.1</v>
      </c>
      <c r="V229" s="6">
        <v>140.3</v>
      </c>
      <c r="W229" s="6">
        <v>143.7</v>
      </c>
      <c r="X229" s="6">
        <v>146.9</v>
      </c>
      <c r="Y229" s="6">
        <v>124.9</v>
      </c>
      <c r="Z229" s="6">
        <v>139.2</v>
      </c>
      <c r="AA229" s="6">
        <v>151.6</v>
      </c>
      <c r="AB229" s="6">
        <v>133.4</v>
      </c>
      <c r="AC229" s="6">
        <v>138.2</v>
      </c>
      <c r="AD229" s="6">
        <v>142</v>
      </c>
      <c r="AE229" s="6" t="str">
        <f t="shared" si="3"/>
        <v>Rural+Urban|2019|May</v>
      </c>
    </row>
    <row r="230" spans="1:31">
      <c r="A230" s="6" t="s">
        <v>49</v>
      </c>
      <c r="B230" s="6">
        <v>2019</v>
      </c>
      <c r="C230" s="6" t="s">
        <v>57</v>
      </c>
      <c r="D230" s="6">
        <v>137.8</v>
      </c>
      <c r="E230" s="6">
        <v>163.5</v>
      </c>
      <c r="F230" s="6">
        <v>136.2</v>
      </c>
      <c r="G230" s="6">
        <v>143.2</v>
      </c>
      <c r="H230" s="6">
        <v>124.3</v>
      </c>
      <c r="I230" s="6">
        <v>143.3</v>
      </c>
      <c r="J230" s="6">
        <v>140.6</v>
      </c>
      <c r="K230" s="6">
        <v>128.7</v>
      </c>
      <c r="L230" s="6">
        <v>110.6</v>
      </c>
      <c r="M230" s="6">
        <v>140.4</v>
      </c>
      <c r="N230" s="6">
        <v>138</v>
      </c>
      <c r="O230" s="6">
        <v>156.6</v>
      </c>
      <c r="P230" s="6">
        <v>141</v>
      </c>
      <c r="Q230" s="6">
        <v>164.2</v>
      </c>
      <c r="R230" s="6">
        <v>151.4</v>
      </c>
      <c r="S230" s="6">
        <v>146.5</v>
      </c>
      <c r="T230" s="6">
        <v>150.7</v>
      </c>
      <c r="V230" s="6">
        <v>147.8</v>
      </c>
      <c r="W230" s="6">
        <v>149.6</v>
      </c>
      <c r="X230" s="6">
        <v>151.7</v>
      </c>
      <c r="Y230" s="6">
        <v>130.2</v>
      </c>
      <c r="Z230" s="6">
        <v>146.4</v>
      </c>
      <c r="AA230" s="6">
        <v>157.7</v>
      </c>
      <c r="AB230" s="6">
        <v>134.8</v>
      </c>
      <c r="AC230" s="6">
        <v>143.3</v>
      </c>
      <c r="AD230" s="6">
        <v>143.6</v>
      </c>
      <c r="AE230" s="6" t="str">
        <f t="shared" si="3"/>
        <v>Rural|2019|June</v>
      </c>
    </row>
    <row r="231" spans="1:31">
      <c r="A231" s="6" t="s">
        <v>51</v>
      </c>
      <c r="B231" s="6">
        <v>2019</v>
      </c>
      <c r="C231" s="6" t="s">
        <v>57</v>
      </c>
      <c r="D231" s="6">
        <v>140.7</v>
      </c>
      <c r="E231" s="6">
        <v>159.6</v>
      </c>
      <c r="F231" s="6">
        <v>140.4</v>
      </c>
      <c r="G231" s="6">
        <v>143.4</v>
      </c>
      <c r="H231" s="6">
        <v>118.6</v>
      </c>
      <c r="I231" s="6">
        <v>150.9</v>
      </c>
      <c r="J231" s="6">
        <v>169.8</v>
      </c>
      <c r="K231" s="6">
        <v>127.4</v>
      </c>
      <c r="L231" s="6">
        <v>111.8</v>
      </c>
      <c r="M231" s="6">
        <v>141</v>
      </c>
      <c r="N231" s="6">
        <v>129</v>
      </c>
      <c r="O231" s="6">
        <v>155.1</v>
      </c>
      <c r="P231" s="6">
        <v>145.6</v>
      </c>
      <c r="Q231" s="6">
        <v>166.7</v>
      </c>
      <c r="R231" s="6">
        <v>144.3</v>
      </c>
      <c r="S231" s="6">
        <v>131.7</v>
      </c>
      <c r="T231" s="6">
        <v>142.4</v>
      </c>
      <c r="U231" s="6">
        <v>149.4</v>
      </c>
      <c r="V231" s="6">
        <v>130.5</v>
      </c>
      <c r="W231" s="6">
        <v>137.4</v>
      </c>
      <c r="X231" s="6">
        <v>140.3</v>
      </c>
      <c r="Y231" s="6">
        <v>119.6</v>
      </c>
      <c r="Z231" s="6">
        <v>134.3</v>
      </c>
      <c r="AA231" s="6">
        <v>148.9</v>
      </c>
      <c r="AB231" s="6">
        <v>133.7</v>
      </c>
      <c r="AC231" s="6">
        <v>133.6</v>
      </c>
      <c r="AD231" s="6">
        <v>142.1</v>
      </c>
      <c r="AE231" s="6" t="str">
        <f t="shared" si="3"/>
        <v>Urban|2019|June</v>
      </c>
    </row>
    <row r="232" spans="1:31">
      <c r="A232" s="6" t="s">
        <v>52</v>
      </c>
      <c r="B232" s="6">
        <v>2019</v>
      </c>
      <c r="C232" s="6" t="s">
        <v>57</v>
      </c>
      <c r="D232" s="6">
        <v>138.7</v>
      </c>
      <c r="E232" s="6">
        <v>162.1</v>
      </c>
      <c r="F232" s="6">
        <v>137.8</v>
      </c>
      <c r="G232" s="6">
        <v>143.3</v>
      </c>
      <c r="H232" s="6">
        <v>122.2</v>
      </c>
      <c r="I232" s="6">
        <v>146.8</v>
      </c>
      <c r="J232" s="6">
        <v>150.5</v>
      </c>
      <c r="K232" s="6">
        <v>128.3</v>
      </c>
      <c r="L232" s="6">
        <v>111</v>
      </c>
      <c r="M232" s="6">
        <v>140.6</v>
      </c>
      <c r="N232" s="6">
        <v>134.2</v>
      </c>
      <c r="O232" s="6">
        <v>155.9</v>
      </c>
      <c r="P232" s="6">
        <v>142.7</v>
      </c>
      <c r="Q232" s="6">
        <v>164.9</v>
      </c>
      <c r="R232" s="6">
        <v>148.6</v>
      </c>
      <c r="S232" s="6">
        <v>140.4</v>
      </c>
      <c r="T232" s="6">
        <v>147.4</v>
      </c>
      <c r="U232" s="6">
        <v>149.4</v>
      </c>
      <c r="V232" s="6">
        <v>141.2</v>
      </c>
      <c r="W232" s="6">
        <v>143.8</v>
      </c>
      <c r="X232" s="6">
        <v>147.4</v>
      </c>
      <c r="Y232" s="6">
        <v>124.6</v>
      </c>
      <c r="Z232" s="6">
        <v>139.6</v>
      </c>
      <c r="AA232" s="6">
        <v>152.5</v>
      </c>
      <c r="AB232" s="6">
        <v>134.3</v>
      </c>
      <c r="AC232" s="6">
        <v>138.6</v>
      </c>
      <c r="AD232" s="6">
        <v>142.9</v>
      </c>
      <c r="AE232" s="6" t="str">
        <f t="shared" si="3"/>
        <v>Rural+Urban|2019|June</v>
      </c>
    </row>
    <row r="233" spans="1:31">
      <c r="A233" s="6" t="s">
        <v>49</v>
      </c>
      <c r="B233" s="6">
        <v>2019</v>
      </c>
      <c r="C233" s="6" t="s">
        <v>58</v>
      </c>
      <c r="D233" s="6">
        <v>138.4</v>
      </c>
      <c r="E233" s="6">
        <v>164</v>
      </c>
      <c r="F233" s="6">
        <v>138.4</v>
      </c>
      <c r="G233" s="6">
        <v>143.9</v>
      </c>
      <c r="H233" s="6">
        <v>124.4</v>
      </c>
      <c r="I233" s="6">
        <v>146.4</v>
      </c>
      <c r="J233" s="6">
        <v>150.1</v>
      </c>
      <c r="K233" s="6">
        <v>130.6</v>
      </c>
      <c r="L233" s="6">
        <v>110.8</v>
      </c>
      <c r="M233" s="6">
        <v>141.7</v>
      </c>
      <c r="N233" s="6">
        <v>138.5</v>
      </c>
      <c r="O233" s="6">
        <v>156.7</v>
      </c>
      <c r="P233" s="6">
        <v>143</v>
      </c>
      <c r="Q233" s="6">
        <v>164.5</v>
      </c>
      <c r="R233" s="6">
        <v>151.6</v>
      </c>
      <c r="S233" s="6">
        <v>146.6</v>
      </c>
      <c r="T233" s="6">
        <v>150.9</v>
      </c>
      <c r="V233" s="6">
        <v>146.8</v>
      </c>
      <c r="W233" s="6">
        <v>150</v>
      </c>
      <c r="X233" s="6">
        <v>152.2</v>
      </c>
      <c r="Y233" s="6">
        <v>131.2</v>
      </c>
      <c r="Z233" s="6">
        <v>147.5</v>
      </c>
      <c r="AA233" s="6">
        <v>159.1</v>
      </c>
      <c r="AB233" s="6">
        <v>136.1</v>
      </c>
      <c r="AC233" s="6">
        <v>144.2</v>
      </c>
      <c r="AD233" s="6">
        <v>144.9</v>
      </c>
      <c r="AE233" s="6" t="str">
        <f t="shared" si="3"/>
        <v>Rural|2019|July</v>
      </c>
    </row>
    <row r="234" spans="1:31">
      <c r="A234" s="6" t="s">
        <v>51</v>
      </c>
      <c r="B234" s="6">
        <v>2019</v>
      </c>
      <c r="C234" s="6" t="s">
        <v>58</v>
      </c>
      <c r="D234" s="6">
        <v>141.4</v>
      </c>
      <c r="E234" s="6">
        <v>160.2</v>
      </c>
      <c r="F234" s="6">
        <v>142.5</v>
      </c>
      <c r="G234" s="6">
        <v>144.1</v>
      </c>
      <c r="H234" s="6">
        <v>119.3</v>
      </c>
      <c r="I234" s="6">
        <v>154.7</v>
      </c>
      <c r="J234" s="6">
        <v>180.1</v>
      </c>
      <c r="K234" s="6">
        <v>128.9</v>
      </c>
      <c r="L234" s="6">
        <v>111.8</v>
      </c>
      <c r="M234" s="6">
        <v>141.6</v>
      </c>
      <c r="N234" s="6">
        <v>129.5</v>
      </c>
      <c r="O234" s="6">
        <v>155.6</v>
      </c>
      <c r="P234" s="6">
        <v>147.7</v>
      </c>
      <c r="Q234" s="6">
        <v>167.2</v>
      </c>
      <c r="R234" s="6">
        <v>144.7</v>
      </c>
      <c r="S234" s="6">
        <v>131.9</v>
      </c>
      <c r="T234" s="6">
        <v>142.7</v>
      </c>
      <c r="U234" s="6">
        <v>150.6</v>
      </c>
      <c r="V234" s="6">
        <v>127</v>
      </c>
      <c r="W234" s="6">
        <v>137.7</v>
      </c>
      <c r="X234" s="6">
        <v>140.8</v>
      </c>
      <c r="Y234" s="6">
        <v>120.6</v>
      </c>
      <c r="Z234" s="6">
        <v>135</v>
      </c>
      <c r="AA234" s="6">
        <v>150.4</v>
      </c>
      <c r="AB234" s="6">
        <v>135.1</v>
      </c>
      <c r="AC234" s="6">
        <v>134.5</v>
      </c>
      <c r="AD234" s="6">
        <v>143.3</v>
      </c>
      <c r="AE234" s="6" t="str">
        <f t="shared" si="3"/>
        <v>Urban|2019|July</v>
      </c>
    </row>
    <row r="235" spans="1:31">
      <c r="A235" s="6" t="s">
        <v>52</v>
      </c>
      <c r="B235" s="6">
        <v>2019</v>
      </c>
      <c r="C235" s="6" t="s">
        <v>58</v>
      </c>
      <c r="D235" s="6">
        <v>139.3</v>
      </c>
      <c r="E235" s="6">
        <v>162.7</v>
      </c>
      <c r="F235" s="6">
        <v>140</v>
      </c>
      <c r="G235" s="6">
        <v>144</v>
      </c>
      <c r="H235" s="6">
        <v>122.5</v>
      </c>
      <c r="I235" s="6">
        <v>150.3</v>
      </c>
      <c r="J235" s="6">
        <v>160.3</v>
      </c>
      <c r="K235" s="6">
        <v>130</v>
      </c>
      <c r="L235" s="6">
        <v>111.1</v>
      </c>
      <c r="M235" s="6">
        <v>141.7</v>
      </c>
      <c r="N235" s="6">
        <v>134.7</v>
      </c>
      <c r="O235" s="6">
        <v>156.2</v>
      </c>
      <c r="P235" s="6">
        <v>144.7</v>
      </c>
      <c r="Q235" s="6">
        <v>165.2</v>
      </c>
      <c r="R235" s="6">
        <v>148.9</v>
      </c>
      <c r="S235" s="6">
        <v>140.5</v>
      </c>
      <c r="T235" s="6">
        <v>147.6</v>
      </c>
      <c r="U235" s="6">
        <v>150.6</v>
      </c>
      <c r="V235" s="6">
        <v>139.3</v>
      </c>
      <c r="W235" s="6">
        <v>144.2</v>
      </c>
      <c r="X235" s="6">
        <v>147.9</v>
      </c>
      <c r="Y235" s="6">
        <v>125.6</v>
      </c>
      <c r="Z235" s="6">
        <v>140.5</v>
      </c>
      <c r="AA235" s="6">
        <v>154</v>
      </c>
      <c r="AB235" s="6">
        <v>135.7</v>
      </c>
      <c r="AC235" s="6">
        <v>139.5</v>
      </c>
      <c r="AD235" s="6">
        <v>144.2</v>
      </c>
      <c r="AE235" s="6" t="str">
        <f t="shared" si="3"/>
        <v>Rural+Urban|2019|July</v>
      </c>
    </row>
    <row r="236" spans="1:31">
      <c r="A236" s="6" t="s">
        <v>49</v>
      </c>
      <c r="B236" s="6">
        <v>2019</v>
      </c>
      <c r="C236" s="6" t="s">
        <v>59</v>
      </c>
      <c r="D236" s="6">
        <v>139.2</v>
      </c>
      <c r="E236" s="6">
        <v>161.9</v>
      </c>
      <c r="F236" s="6">
        <v>137.1</v>
      </c>
      <c r="G236" s="6">
        <v>144.6</v>
      </c>
      <c r="H236" s="6">
        <v>124.7</v>
      </c>
      <c r="I236" s="6">
        <v>145.5</v>
      </c>
      <c r="J236" s="6">
        <v>156.2</v>
      </c>
      <c r="K236" s="6">
        <v>131.5</v>
      </c>
      <c r="L236" s="6">
        <v>111.7</v>
      </c>
      <c r="M236" s="6">
        <v>142.7</v>
      </c>
      <c r="N236" s="6">
        <v>138.5</v>
      </c>
      <c r="O236" s="6">
        <v>156.9</v>
      </c>
      <c r="P236" s="6">
        <v>144</v>
      </c>
      <c r="Q236" s="6">
        <v>165.1</v>
      </c>
      <c r="R236" s="6">
        <v>151.8</v>
      </c>
      <c r="S236" s="6">
        <v>146.6</v>
      </c>
      <c r="T236" s="6">
        <v>151.1</v>
      </c>
      <c r="V236" s="6">
        <v>146.4</v>
      </c>
      <c r="W236" s="6">
        <v>150.2</v>
      </c>
      <c r="X236" s="6">
        <v>152.7</v>
      </c>
      <c r="Y236" s="6">
        <v>131.4</v>
      </c>
      <c r="Z236" s="6">
        <v>148</v>
      </c>
      <c r="AA236" s="6">
        <v>159.7</v>
      </c>
      <c r="AB236" s="6">
        <v>138.8</v>
      </c>
      <c r="AC236" s="6">
        <v>144.9</v>
      </c>
      <c r="AD236" s="6">
        <v>145.7</v>
      </c>
      <c r="AE236" s="6" t="str">
        <f t="shared" si="3"/>
        <v>Rural|2019|August</v>
      </c>
    </row>
    <row r="237" spans="1:31">
      <c r="A237" s="6" t="s">
        <v>51</v>
      </c>
      <c r="B237" s="6">
        <v>2019</v>
      </c>
      <c r="C237" s="6" t="s">
        <v>59</v>
      </c>
      <c r="D237" s="6">
        <v>142.1</v>
      </c>
      <c r="E237" s="6">
        <v>158.3</v>
      </c>
      <c r="F237" s="6">
        <v>140.8</v>
      </c>
      <c r="G237" s="6">
        <v>144.9</v>
      </c>
      <c r="H237" s="6">
        <v>119.9</v>
      </c>
      <c r="I237" s="6">
        <v>153.9</v>
      </c>
      <c r="J237" s="6">
        <v>189.1</v>
      </c>
      <c r="K237" s="6">
        <v>129.8</v>
      </c>
      <c r="L237" s="6">
        <v>112.7</v>
      </c>
      <c r="M237" s="6">
        <v>142.5</v>
      </c>
      <c r="N237" s="6">
        <v>129.8</v>
      </c>
      <c r="O237" s="6">
        <v>156.2</v>
      </c>
      <c r="P237" s="6">
        <v>149.1</v>
      </c>
      <c r="Q237" s="6">
        <v>167.9</v>
      </c>
      <c r="R237" s="6">
        <v>145</v>
      </c>
      <c r="S237" s="6">
        <v>132.2</v>
      </c>
      <c r="T237" s="6">
        <v>143</v>
      </c>
      <c r="U237" s="6">
        <v>151.6</v>
      </c>
      <c r="V237" s="6">
        <v>125.5</v>
      </c>
      <c r="W237" s="6">
        <v>138.1</v>
      </c>
      <c r="X237" s="6">
        <v>141.5</v>
      </c>
      <c r="Y237" s="6">
        <v>120.8</v>
      </c>
      <c r="Z237" s="6">
        <v>135.4</v>
      </c>
      <c r="AA237" s="6">
        <v>151.5</v>
      </c>
      <c r="AB237" s="6">
        <v>137.8</v>
      </c>
      <c r="AC237" s="6">
        <v>135.3</v>
      </c>
      <c r="AD237" s="6">
        <v>144.2</v>
      </c>
      <c r="AE237" s="6" t="str">
        <f t="shared" si="3"/>
        <v>Urban|2019|August</v>
      </c>
    </row>
    <row r="238" spans="1:31">
      <c r="A238" s="6" t="s">
        <v>52</v>
      </c>
      <c r="B238" s="6">
        <v>2019</v>
      </c>
      <c r="C238" s="6" t="s">
        <v>59</v>
      </c>
      <c r="D238" s="6">
        <v>140.1</v>
      </c>
      <c r="E238" s="6">
        <v>160.6</v>
      </c>
      <c r="F238" s="6">
        <v>138.5</v>
      </c>
      <c r="G238" s="6">
        <v>144.7</v>
      </c>
      <c r="H238" s="6">
        <v>122.9</v>
      </c>
      <c r="I238" s="6">
        <v>149.4</v>
      </c>
      <c r="J238" s="6">
        <v>167.4</v>
      </c>
      <c r="K238" s="6">
        <v>130.9</v>
      </c>
      <c r="L238" s="6">
        <v>112</v>
      </c>
      <c r="M238" s="6">
        <v>142.6</v>
      </c>
      <c r="N238" s="6">
        <v>134.9</v>
      </c>
      <c r="O238" s="6">
        <v>156.6</v>
      </c>
      <c r="P238" s="6">
        <v>145.9</v>
      </c>
      <c r="Q238" s="6">
        <v>165.8</v>
      </c>
      <c r="R238" s="6">
        <v>149.1</v>
      </c>
      <c r="S238" s="6">
        <v>140.6</v>
      </c>
      <c r="T238" s="6">
        <v>147.9</v>
      </c>
      <c r="U238" s="6">
        <v>151.6</v>
      </c>
      <c r="V238" s="6">
        <v>138.5</v>
      </c>
      <c r="W238" s="6">
        <v>144.5</v>
      </c>
      <c r="X238" s="6">
        <v>148.5</v>
      </c>
      <c r="Y238" s="6">
        <v>125.8</v>
      </c>
      <c r="Z238" s="6">
        <v>140.9</v>
      </c>
      <c r="AA238" s="6">
        <v>154.9</v>
      </c>
      <c r="AB238" s="6">
        <v>138.4</v>
      </c>
      <c r="AC238" s="6">
        <v>140.2</v>
      </c>
      <c r="AD238" s="6">
        <v>145</v>
      </c>
      <c r="AE238" s="6" t="str">
        <f t="shared" si="3"/>
        <v>Rural+Urban|2019|August</v>
      </c>
    </row>
    <row r="239" spans="1:31">
      <c r="A239" s="6" t="s">
        <v>49</v>
      </c>
      <c r="B239" s="6">
        <v>2019</v>
      </c>
      <c r="C239" s="6" t="s">
        <v>60</v>
      </c>
      <c r="D239" s="6">
        <v>140.1</v>
      </c>
      <c r="E239" s="6">
        <v>161.9</v>
      </c>
      <c r="F239" s="6">
        <v>138.3</v>
      </c>
      <c r="G239" s="6">
        <v>145.7</v>
      </c>
      <c r="H239" s="6">
        <v>125.1</v>
      </c>
      <c r="I239" s="6">
        <v>143.8</v>
      </c>
      <c r="J239" s="6">
        <v>163.4</v>
      </c>
      <c r="K239" s="6">
        <v>132.2</v>
      </c>
      <c r="L239" s="6">
        <v>112.8</v>
      </c>
      <c r="M239" s="6">
        <v>144.2</v>
      </c>
      <c r="N239" s="6">
        <v>138.5</v>
      </c>
      <c r="O239" s="6">
        <v>157.2</v>
      </c>
      <c r="P239" s="6">
        <v>145.5</v>
      </c>
      <c r="Q239" s="6">
        <v>165.7</v>
      </c>
      <c r="R239" s="6">
        <v>151.7</v>
      </c>
      <c r="S239" s="6">
        <v>146.6</v>
      </c>
      <c r="T239" s="6">
        <v>151</v>
      </c>
      <c r="V239" s="6">
        <v>146.9</v>
      </c>
      <c r="W239" s="6">
        <v>150.3</v>
      </c>
      <c r="X239" s="6">
        <v>153.4</v>
      </c>
      <c r="Y239" s="6">
        <v>131.6</v>
      </c>
      <c r="Z239" s="6">
        <v>148.3</v>
      </c>
      <c r="AA239" s="6">
        <v>160.2</v>
      </c>
      <c r="AB239" s="6">
        <v>140.2</v>
      </c>
      <c r="AC239" s="6">
        <v>145.4</v>
      </c>
      <c r="AD239" s="6">
        <v>146.7</v>
      </c>
      <c r="AE239" s="6" t="str">
        <f t="shared" si="3"/>
        <v>Rural|2019|September</v>
      </c>
    </row>
    <row r="240" spans="1:31">
      <c r="A240" s="6" t="s">
        <v>51</v>
      </c>
      <c r="B240" s="6">
        <v>2019</v>
      </c>
      <c r="C240" s="6" t="s">
        <v>60</v>
      </c>
      <c r="D240" s="6">
        <v>142.7</v>
      </c>
      <c r="E240" s="6">
        <v>158.7</v>
      </c>
      <c r="F240" s="6">
        <v>141.6</v>
      </c>
      <c r="G240" s="6">
        <v>144.9</v>
      </c>
      <c r="H240" s="6">
        <v>120.8</v>
      </c>
      <c r="I240" s="6">
        <v>149.8</v>
      </c>
      <c r="J240" s="6">
        <v>192.4</v>
      </c>
      <c r="K240" s="6">
        <v>130.3</v>
      </c>
      <c r="L240" s="6">
        <v>114</v>
      </c>
      <c r="M240" s="6">
        <v>143.8</v>
      </c>
      <c r="N240" s="6">
        <v>130</v>
      </c>
      <c r="O240" s="6">
        <v>156.4</v>
      </c>
      <c r="P240" s="6">
        <v>149.5</v>
      </c>
      <c r="Q240" s="6">
        <v>168.6</v>
      </c>
      <c r="R240" s="6">
        <v>145.3</v>
      </c>
      <c r="S240" s="6">
        <v>132.2</v>
      </c>
      <c r="T240" s="6">
        <v>143.3</v>
      </c>
      <c r="U240" s="6">
        <v>152.2</v>
      </c>
      <c r="V240" s="6">
        <v>126.6</v>
      </c>
      <c r="W240" s="6">
        <v>138.3</v>
      </c>
      <c r="X240" s="6">
        <v>141.9</v>
      </c>
      <c r="Y240" s="6">
        <v>121.2</v>
      </c>
      <c r="Z240" s="6">
        <v>135.9</v>
      </c>
      <c r="AA240" s="6">
        <v>151.6</v>
      </c>
      <c r="AB240" s="6">
        <v>139</v>
      </c>
      <c r="AC240" s="6">
        <v>135.7</v>
      </c>
      <c r="AD240" s="6">
        <v>144.7</v>
      </c>
      <c r="AE240" s="6" t="str">
        <f t="shared" si="3"/>
        <v>Urban|2019|September</v>
      </c>
    </row>
    <row r="241" spans="1:31">
      <c r="A241" s="6" t="s">
        <v>52</v>
      </c>
      <c r="B241" s="6">
        <v>2019</v>
      </c>
      <c r="C241" s="6" t="s">
        <v>60</v>
      </c>
      <c r="D241" s="6">
        <v>140.9</v>
      </c>
      <c r="E241" s="6">
        <v>160.8</v>
      </c>
      <c r="F241" s="6">
        <v>139.6</v>
      </c>
      <c r="G241" s="6">
        <v>145.4</v>
      </c>
      <c r="H241" s="6">
        <v>123.5</v>
      </c>
      <c r="I241" s="6">
        <v>146.6</v>
      </c>
      <c r="J241" s="6">
        <v>173.2</v>
      </c>
      <c r="K241" s="6">
        <v>131.6</v>
      </c>
      <c r="L241" s="6">
        <v>113.2</v>
      </c>
      <c r="M241" s="6">
        <v>144.1</v>
      </c>
      <c r="N241" s="6">
        <v>135</v>
      </c>
      <c r="O241" s="6">
        <v>156.8</v>
      </c>
      <c r="P241" s="6">
        <v>147</v>
      </c>
      <c r="Q241" s="6">
        <v>166.5</v>
      </c>
      <c r="R241" s="6">
        <v>149.2</v>
      </c>
      <c r="S241" s="6">
        <v>140.6</v>
      </c>
      <c r="T241" s="6">
        <v>147.9</v>
      </c>
      <c r="U241" s="6">
        <v>152.2</v>
      </c>
      <c r="V241" s="6">
        <v>139.2</v>
      </c>
      <c r="W241" s="6">
        <v>144.6</v>
      </c>
      <c r="X241" s="6">
        <v>149</v>
      </c>
      <c r="Y241" s="6">
        <v>126.1</v>
      </c>
      <c r="Z241" s="6">
        <v>141.3</v>
      </c>
      <c r="AA241" s="6">
        <v>155.2</v>
      </c>
      <c r="AB241" s="6">
        <v>139.7</v>
      </c>
      <c r="AC241" s="6">
        <v>140.7</v>
      </c>
      <c r="AD241" s="6">
        <v>145.8</v>
      </c>
      <c r="AE241" s="6" t="str">
        <f t="shared" si="3"/>
        <v>Rural+Urban|2019|September</v>
      </c>
    </row>
    <row r="242" spans="1:31">
      <c r="A242" s="6" t="s">
        <v>49</v>
      </c>
      <c r="B242" s="6">
        <v>2019</v>
      </c>
      <c r="C242" s="6" t="s">
        <v>61</v>
      </c>
      <c r="D242" s="6">
        <v>141</v>
      </c>
      <c r="E242" s="6">
        <v>161.6</v>
      </c>
      <c r="F242" s="6">
        <v>141.2</v>
      </c>
      <c r="G242" s="6">
        <v>146.5</v>
      </c>
      <c r="H242" s="6">
        <v>125.6</v>
      </c>
      <c r="I242" s="6">
        <v>145.7</v>
      </c>
      <c r="J242" s="6">
        <v>178.8</v>
      </c>
      <c r="K242" s="6">
        <v>133.1</v>
      </c>
      <c r="L242" s="6">
        <v>113.6</v>
      </c>
      <c r="M242" s="6">
        <v>145.5</v>
      </c>
      <c r="N242" s="6">
        <v>138.6</v>
      </c>
      <c r="O242" s="6">
        <v>157.4</v>
      </c>
      <c r="P242" s="6">
        <v>148.3</v>
      </c>
      <c r="Q242" s="6">
        <v>166.3</v>
      </c>
      <c r="R242" s="6">
        <v>151.7</v>
      </c>
      <c r="S242" s="6">
        <v>146.7</v>
      </c>
      <c r="T242" s="6">
        <v>151</v>
      </c>
      <c r="V242" s="6">
        <v>147.7</v>
      </c>
      <c r="W242" s="6">
        <v>150.6</v>
      </c>
      <c r="X242" s="6">
        <v>153.7</v>
      </c>
      <c r="Y242" s="6">
        <v>131.7</v>
      </c>
      <c r="Z242" s="6">
        <v>148.7</v>
      </c>
      <c r="AA242" s="6">
        <v>160.7</v>
      </c>
      <c r="AB242" s="6">
        <v>140.3</v>
      </c>
      <c r="AC242" s="6">
        <v>145.7</v>
      </c>
      <c r="AD242" s="6">
        <v>148.3</v>
      </c>
      <c r="AE242" s="6" t="str">
        <f t="shared" si="3"/>
        <v>Rural|2019|October</v>
      </c>
    </row>
    <row r="243" spans="1:31">
      <c r="A243" s="6" t="s">
        <v>51</v>
      </c>
      <c r="B243" s="6">
        <v>2019</v>
      </c>
      <c r="C243" s="6" t="s">
        <v>61</v>
      </c>
      <c r="D243" s="6">
        <v>143.5</v>
      </c>
      <c r="E243" s="6">
        <v>159.8</v>
      </c>
      <c r="F243" s="6">
        <v>144.7</v>
      </c>
      <c r="G243" s="6">
        <v>145.6</v>
      </c>
      <c r="H243" s="6">
        <v>121.1</v>
      </c>
      <c r="I243" s="6">
        <v>150.6</v>
      </c>
      <c r="J243" s="6">
        <v>207.2</v>
      </c>
      <c r="K243" s="6">
        <v>131.2</v>
      </c>
      <c r="L243" s="6">
        <v>114.8</v>
      </c>
      <c r="M243" s="6">
        <v>145.2</v>
      </c>
      <c r="N243" s="6">
        <v>130.2</v>
      </c>
      <c r="O243" s="6">
        <v>156.8</v>
      </c>
      <c r="P243" s="6">
        <v>151.9</v>
      </c>
      <c r="Q243" s="6">
        <v>169.3</v>
      </c>
      <c r="R243" s="6">
        <v>145.9</v>
      </c>
      <c r="S243" s="6">
        <v>132.4</v>
      </c>
      <c r="T243" s="6">
        <v>143.9</v>
      </c>
      <c r="U243" s="6">
        <v>153</v>
      </c>
      <c r="V243" s="6">
        <v>128.9</v>
      </c>
      <c r="W243" s="6">
        <v>138.7</v>
      </c>
      <c r="X243" s="6">
        <v>142.4</v>
      </c>
      <c r="Y243" s="6">
        <v>121.5</v>
      </c>
      <c r="Z243" s="6">
        <v>136.2</v>
      </c>
      <c r="AA243" s="6">
        <v>151.7</v>
      </c>
      <c r="AB243" s="6">
        <v>139.5</v>
      </c>
      <c r="AC243" s="6">
        <v>136</v>
      </c>
      <c r="AD243" s="6">
        <v>146</v>
      </c>
      <c r="AE243" s="6" t="str">
        <f t="shared" si="3"/>
        <v>Urban|2019|October</v>
      </c>
    </row>
    <row r="244" spans="1:31">
      <c r="A244" s="6" t="s">
        <v>52</v>
      </c>
      <c r="B244" s="6">
        <v>2019</v>
      </c>
      <c r="C244" s="6" t="s">
        <v>61</v>
      </c>
      <c r="D244" s="6">
        <v>141.8</v>
      </c>
      <c r="E244" s="6">
        <v>161</v>
      </c>
      <c r="F244" s="6">
        <v>142.6</v>
      </c>
      <c r="G244" s="6">
        <v>146.2</v>
      </c>
      <c r="H244" s="6">
        <v>123.9</v>
      </c>
      <c r="I244" s="6">
        <v>148</v>
      </c>
      <c r="J244" s="6">
        <v>188.4</v>
      </c>
      <c r="K244" s="6">
        <v>132.5</v>
      </c>
      <c r="L244" s="6">
        <v>114</v>
      </c>
      <c r="M244" s="6">
        <v>145.4</v>
      </c>
      <c r="N244" s="6">
        <v>135.1</v>
      </c>
      <c r="O244" s="6">
        <v>157.1</v>
      </c>
      <c r="P244" s="6">
        <v>149.6</v>
      </c>
      <c r="Q244" s="6">
        <v>167.1</v>
      </c>
      <c r="R244" s="6">
        <v>149.4</v>
      </c>
      <c r="S244" s="6">
        <v>140.8</v>
      </c>
      <c r="T244" s="6">
        <v>148.2</v>
      </c>
      <c r="U244" s="6">
        <v>153</v>
      </c>
      <c r="V244" s="6">
        <v>140.6</v>
      </c>
      <c r="W244" s="6">
        <v>145</v>
      </c>
      <c r="X244" s="6">
        <v>149.4</v>
      </c>
      <c r="Y244" s="6">
        <v>126.3</v>
      </c>
      <c r="Z244" s="6">
        <v>141.7</v>
      </c>
      <c r="AA244" s="6">
        <v>155.4</v>
      </c>
      <c r="AB244" s="6">
        <v>140</v>
      </c>
      <c r="AC244" s="6">
        <v>141</v>
      </c>
      <c r="AD244" s="6">
        <v>147.2</v>
      </c>
      <c r="AE244" s="6" t="str">
        <f t="shared" si="3"/>
        <v>Rural+Urban|2019|October</v>
      </c>
    </row>
    <row r="245" spans="1:31">
      <c r="A245" s="6" t="s">
        <v>49</v>
      </c>
      <c r="B245" s="6">
        <v>2019</v>
      </c>
      <c r="C245" s="6" t="s">
        <v>62</v>
      </c>
      <c r="D245" s="6">
        <v>141.8</v>
      </c>
      <c r="E245" s="6">
        <v>163.7</v>
      </c>
      <c r="F245" s="6">
        <v>143.8</v>
      </c>
      <c r="G245" s="6">
        <v>147.1</v>
      </c>
      <c r="H245" s="6">
        <v>126</v>
      </c>
      <c r="I245" s="6">
        <v>146.2</v>
      </c>
      <c r="J245" s="6">
        <v>191.4</v>
      </c>
      <c r="K245" s="6">
        <v>136.2</v>
      </c>
      <c r="L245" s="6">
        <v>113.8</v>
      </c>
      <c r="M245" s="6">
        <v>147.3</v>
      </c>
      <c r="N245" s="6">
        <v>138.7</v>
      </c>
      <c r="O245" s="6">
        <v>157.7</v>
      </c>
      <c r="P245" s="6">
        <v>150.9</v>
      </c>
      <c r="Q245" s="6">
        <v>167.2</v>
      </c>
      <c r="R245" s="6">
        <v>152.3</v>
      </c>
      <c r="S245" s="6">
        <v>147</v>
      </c>
      <c r="T245" s="6">
        <v>151.5</v>
      </c>
      <c r="V245" s="6">
        <v>148.4</v>
      </c>
      <c r="W245" s="6">
        <v>150.9</v>
      </c>
      <c r="X245" s="6">
        <v>154.3</v>
      </c>
      <c r="Y245" s="6">
        <v>132.1</v>
      </c>
      <c r="Z245" s="6">
        <v>149.1</v>
      </c>
      <c r="AA245" s="6">
        <v>160.8</v>
      </c>
      <c r="AB245" s="6">
        <v>140.6</v>
      </c>
      <c r="AC245" s="6">
        <v>146.1</v>
      </c>
      <c r="AD245" s="6">
        <v>149.9</v>
      </c>
      <c r="AE245" s="6" t="str">
        <f t="shared" si="3"/>
        <v>Rural|2019|November</v>
      </c>
    </row>
    <row r="246" spans="1:31">
      <c r="A246" s="6" t="s">
        <v>51</v>
      </c>
      <c r="B246" s="6">
        <v>2019</v>
      </c>
      <c r="C246" s="6" t="s">
        <v>62</v>
      </c>
      <c r="D246" s="6">
        <v>144.1</v>
      </c>
      <c r="E246" s="6">
        <v>162.4</v>
      </c>
      <c r="F246" s="6">
        <v>148.4</v>
      </c>
      <c r="G246" s="6">
        <v>145.9</v>
      </c>
      <c r="H246" s="6">
        <v>121.5</v>
      </c>
      <c r="I246" s="6">
        <v>148.8</v>
      </c>
      <c r="J246" s="6">
        <v>215.7</v>
      </c>
      <c r="K246" s="6">
        <v>134.6</v>
      </c>
      <c r="L246" s="6">
        <v>115</v>
      </c>
      <c r="M246" s="6">
        <v>146.3</v>
      </c>
      <c r="N246" s="6">
        <v>130.5</v>
      </c>
      <c r="O246" s="6">
        <v>157.2</v>
      </c>
      <c r="P246" s="6">
        <v>153.6</v>
      </c>
      <c r="Q246" s="6">
        <v>169.9</v>
      </c>
      <c r="R246" s="6">
        <v>146.3</v>
      </c>
      <c r="S246" s="6">
        <v>132.6</v>
      </c>
      <c r="T246" s="6">
        <v>144.2</v>
      </c>
      <c r="U246" s="6">
        <v>153.5</v>
      </c>
      <c r="V246" s="6">
        <v>132.2</v>
      </c>
      <c r="W246" s="6">
        <v>139.1</v>
      </c>
      <c r="X246" s="6">
        <v>142.8</v>
      </c>
      <c r="Y246" s="6">
        <v>121.7</v>
      </c>
      <c r="Z246" s="6">
        <v>136.7</v>
      </c>
      <c r="AA246" s="6">
        <v>151.8</v>
      </c>
      <c r="AB246" s="6">
        <v>139.8</v>
      </c>
      <c r="AC246" s="6">
        <v>136.3</v>
      </c>
      <c r="AD246" s="6">
        <v>147</v>
      </c>
      <c r="AE246" s="6" t="str">
        <f t="shared" si="3"/>
        <v>Urban|2019|November</v>
      </c>
    </row>
    <row r="247" spans="1:31">
      <c r="A247" s="6" t="s">
        <v>52</v>
      </c>
      <c r="B247" s="6">
        <v>2019</v>
      </c>
      <c r="C247" s="6" t="s">
        <v>62</v>
      </c>
      <c r="D247" s="6">
        <v>142.5</v>
      </c>
      <c r="E247" s="6">
        <v>163.2</v>
      </c>
      <c r="F247" s="6">
        <v>145.6</v>
      </c>
      <c r="G247" s="6">
        <v>146.7</v>
      </c>
      <c r="H247" s="6">
        <v>124.3</v>
      </c>
      <c r="I247" s="6">
        <v>147.4</v>
      </c>
      <c r="J247" s="6">
        <v>199.6</v>
      </c>
      <c r="K247" s="6">
        <v>135.7</v>
      </c>
      <c r="L247" s="6">
        <v>114.2</v>
      </c>
      <c r="M247" s="6">
        <v>147</v>
      </c>
      <c r="N247" s="6">
        <v>135.3</v>
      </c>
      <c r="O247" s="6">
        <v>157.5</v>
      </c>
      <c r="P247" s="6">
        <v>151.9</v>
      </c>
      <c r="Q247" s="6">
        <v>167.9</v>
      </c>
      <c r="R247" s="6">
        <v>149.9</v>
      </c>
      <c r="S247" s="6">
        <v>141</v>
      </c>
      <c r="T247" s="6">
        <v>148.6</v>
      </c>
      <c r="U247" s="6">
        <v>153.5</v>
      </c>
      <c r="V247" s="6">
        <v>142.3</v>
      </c>
      <c r="W247" s="6">
        <v>145.3</v>
      </c>
      <c r="X247" s="6">
        <v>149.9</v>
      </c>
      <c r="Y247" s="6">
        <v>126.6</v>
      </c>
      <c r="Z247" s="6">
        <v>142.1</v>
      </c>
      <c r="AA247" s="6">
        <v>155.5</v>
      </c>
      <c r="AB247" s="6">
        <v>140.3</v>
      </c>
      <c r="AC247" s="6">
        <v>141.3</v>
      </c>
      <c r="AD247" s="6">
        <v>148.6</v>
      </c>
      <c r="AE247" s="6" t="str">
        <f t="shared" si="3"/>
        <v>Rural+Urban|2019|November</v>
      </c>
    </row>
    <row r="248" spans="1:31">
      <c r="A248" s="6" t="s">
        <v>49</v>
      </c>
      <c r="B248" s="6">
        <v>2019</v>
      </c>
      <c r="C248" s="6" t="s">
        <v>63</v>
      </c>
      <c r="D248" s="6">
        <v>142.8</v>
      </c>
      <c r="E248" s="6">
        <v>165.3</v>
      </c>
      <c r="F248" s="6">
        <v>149.5</v>
      </c>
      <c r="G248" s="6">
        <v>148.7</v>
      </c>
      <c r="H248" s="6">
        <v>127.5</v>
      </c>
      <c r="I248" s="6">
        <v>144.3</v>
      </c>
      <c r="J248" s="6">
        <v>209.5</v>
      </c>
      <c r="K248" s="6">
        <v>138.8</v>
      </c>
      <c r="L248" s="6">
        <v>113.6</v>
      </c>
      <c r="M248" s="6">
        <v>149.1</v>
      </c>
      <c r="N248" s="6">
        <v>139.3</v>
      </c>
      <c r="O248" s="6">
        <v>158.3</v>
      </c>
      <c r="P248" s="6">
        <v>154.3</v>
      </c>
      <c r="Q248" s="6">
        <v>167.8</v>
      </c>
      <c r="R248" s="6">
        <v>152.6</v>
      </c>
      <c r="S248" s="6">
        <v>147.3</v>
      </c>
      <c r="T248" s="6">
        <v>151.9</v>
      </c>
      <c r="V248" s="6">
        <v>149.9</v>
      </c>
      <c r="W248" s="6">
        <v>151.2</v>
      </c>
      <c r="X248" s="6">
        <v>154.8</v>
      </c>
      <c r="Y248" s="6">
        <v>135</v>
      </c>
      <c r="Z248" s="6">
        <v>149.5</v>
      </c>
      <c r="AA248" s="6">
        <v>161.1</v>
      </c>
      <c r="AB248" s="6">
        <v>140.6</v>
      </c>
      <c r="AC248" s="6">
        <v>147.1</v>
      </c>
      <c r="AD248" s="6">
        <v>152.3</v>
      </c>
      <c r="AE248" s="6" t="str">
        <f t="shared" si="3"/>
        <v>Rural|2019|December</v>
      </c>
    </row>
    <row r="249" spans="1:31">
      <c r="A249" s="6" t="s">
        <v>51</v>
      </c>
      <c r="B249" s="6">
        <v>2019</v>
      </c>
      <c r="C249" s="6" t="s">
        <v>63</v>
      </c>
      <c r="D249" s="6">
        <v>144.9</v>
      </c>
      <c r="E249" s="6">
        <v>164.5</v>
      </c>
      <c r="F249" s="6">
        <v>153.7</v>
      </c>
      <c r="G249" s="6">
        <v>147.5</v>
      </c>
      <c r="H249" s="6">
        <v>122.7</v>
      </c>
      <c r="I249" s="6">
        <v>147.2</v>
      </c>
      <c r="J249" s="6">
        <v>231.5</v>
      </c>
      <c r="K249" s="6">
        <v>137.2</v>
      </c>
      <c r="L249" s="6">
        <v>114.7</v>
      </c>
      <c r="M249" s="6">
        <v>148</v>
      </c>
      <c r="N249" s="6">
        <v>130.8</v>
      </c>
      <c r="O249" s="6">
        <v>157.7</v>
      </c>
      <c r="P249" s="6">
        <v>156.3</v>
      </c>
      <c r="Q249" s="6">
        <v>170.4</v>
      </c>
      <c r="R249" s="6">
        <v>146.8</v>
      </c>
      <c r="S249" s="6">
        <v>132.8</v>
      </c>
      <c r="T249" s="6">
        <v>144.6</v>
      </c>
      <c r="U249" s="6">
        <v>152.8</v>
      </c>
      <c r="V249" s="6">
        <v>133.6</v>
      </c>
      <c r="W249" s="6">
        <v>139.8</v>
      </c>
      <c r="X249" s="6">
        <v>143.2</v>
      </c>
      <c r="Y249" s="6">
        <v>125.2</v>
      </c>
      <c r="Z249" s="6">
        <v>136.8</v>
      </c>
      <c r="AA249" s="6">
        <v>151.9</v>
      </c>
      <c r="AB249" s="6">
        <v>140.2</v>
      </c>
      <c r="AC249" s="6">
        <v>137.7</v>
      </c>
      <c r="AD249" s="6">
        <v>148.3</v>
      </c>
      <c r="AE249" s="6" t="str">
        <f t="shared" si="3"/>
        <v>Urban|2019|December</v>
      </c>
    </row>
    <row r="250" spans="1:31">
      <c r="A250" s="6" t="s">
        <v>52</v>
      </c>
      <c r="B250" s="6">
        <v>2019</v>
      </c>
      <c r="C250" s="6" t="s">
        <v>63</v>
      </c>
      <c r="D250" s="6">
        <v>143.5</v>
      </c>
      <c r="E250" s="6">
        <v>165</v>
      </c>
      <c r="F250" s="6">
        <v>151.1</v>
      </c>
      <c r="G250" s="6">
        <v>148.3</v>
      </c>
      <c r="H250" s="6">
        <v>125.7</v>
      </c>
      <c r="I250" s="6">
        <v>145.7</v>
      </c>
      <c r="J250" s="6">
        <v>217</v>
      </c>
      <c r="K250" s="6">
        <v>138.3</v>
      </c>
      <c r="L250" s="6">
        <v>114</v>
      </c>
      <c r="M250" s="6">
        <v>148.7</v>
      </c>
      <c r="N250" s="6">
        <v>135.8</v>
      </c>
      <c r="O250" s="6">
        <v>158</v>
      </c>
      <c r="P250" s="6">
        <v>155</v>
      </c>
      <c r="Q250" s="6">
        <v>168.5</v>
      </c>
      <c r="R250" s="6">
        <v>150.3</v>
      </c>
      <c r="S250" s="6">
        <v>141.3</v>
      </c>
      <c r="T250" s="6">
        <v>149</v>
      </c>
      <c r="U250" s="6">
        <v>152.8</v>
      </c>
      <c r="V250" s="6">
        <v>143.7</v>
      </c>
      <c r="W250" s="6">
        <v>145.8</v>
      </c>
      <c r="X250" s="6">
        <v>150.4</v>
      </c>
      <c r="Y250" s="6">
        <v>129.8</v>
      </c>
      <c r="Z250" s="6">
        <v>142.3</v>
      </c>
      <c r="AA250" s="6">
        <v>155.7</v>
      </c>
      <c r="AB250" s="6">
        <v>140.4</v>
      </c>
      <c r="AC250" s="6">
        <v>142.5</v>
      </c>
      <c r="AD250" s="6">
        <v>150.4</v>
      </c>
      <c r="AE250" s="6" t="str">
        <f t="shared" si="3"/>
        <v>Rural+Urban|2019|December</v>
      </c>
    </row>
    <row r="251" spans="1:31">
      <c r="A251" s="6" t="s">
        <v>49</v>
      </c>
      <c r="B251" s="6">
        <v>2020</v>
      </c>
      <c r="C251" s="6" t="s">
        <v>50</v>
      </c>
      <c r="D251" s="6">
        <v>143.7</v>
      </c>
      <c r="E251" s="6">
        <v>167.3</v>
      </c>
      <c r="F251" s="6">
        <v>153.5</v>
      </c>
      <c r="G251" s="6">
        <v>150.5</v>
      </c>
      <c r="H251" s="6">
        <v>132</v>
      </c>
      <c r="I251" s="6">
        <v>142.2</v>
      </c>
      <c r="J251" s="6">
        <v>191.5</v>
      </c>
      <c r="K251" s="6">
        <v>141.1</v>
      </c>
      <c r="L251" s="6">
        <v>113.8</v>
      </c>
      <c r="M251" s="6">
        <v>151.6</v>
      </c>
      <c r="N251" s="6">
        <v>139.7</v>
      </c>
      <c r="O251" s="6">
        <v>158.7</v>
      </c>
      <c r="P251" s="6">
        <v>153</v>
      </c>
      <c r="Q251" s="6">
        <v>168.6</v>
      </c>
      <c r="R251" s="6">
        <v>152.8</v>
      </c>
      <c r="S251" s="6">
        <v>147.4</v>
      </c>
      <c r="T251" s="6">
        <v>152.1</v>
      </c>
      <c r="V251" s="6">
        <v>150.4</v>
      </c>
      <c r="W251" s="6">
        <v>151.7</v>
      </c>
      <c r="X251" s="6">
        <v>155.7</v>
      </c>
      <c r="Y251" s="6">
        <v>136.3</v>
      </c>
      <c r="Z251" s="6">
        <v>150.1</v>
      </c>
      <c r="AA251" s="6">
        <v>161.7</v>
      </c>
      <c r="AB251" s="6">
        <v>142.5</v>
      </c>
      <c r="AC251" s="6">
        <v>148.1</v>
      </c>
      <c r="AD251" s="6">
        <v>151.9</v>
      </c>
      <c r="AE251" s="6" t="str">
        <f t="shared" si="3"/>
        <v>Rural|2020|January</v>
      </c>
    </row>
    <row r="252" spans="1:31">
      <c r="A252" s="6" t="s">
        <v>51</v>
      </c>
      <c r="B252" s="6">
        <v>2020</v>
      </c>
      <c r="C252" s="6" t="s">
        <v>50</v>
      </c>
      <c r="D252" s="6">
        <v>145.6</v>
      </c>
      <c r="E252" s="6">
        <v>167.6</v>
      </c>
      <c r="F252" s="6">
        <v>157</v>
      </c>
      <c r="G252" s="6">
        <v>149.3</v>
      </c>
      <c r="H252" s="6">
        <v>126.3</v>
      </c>
      <c r="I252" s="6">
        <v>144.4</v>
      </c>
      <c r="J252" s="6">
        <v>207.8</v>
      </c>
      <c r="K252" s="6">
        <v>139.1</v>
      </c>
      <c r="L252" s="6">
        <v>114.8</v>
      </c>
      <c r="M252" s="6">
        <v>149.5</v>
      </c>
      <c r="N252" s="6">
        <v>131.1</v>
      </c>
      <c r="O252" s="6">
        <v>158.5</v>
      </c>
      <c r="P252" s="6">
        <v>154.4</v>
      </c>
      <c r="Q252" s="6">
        <v>170.8</v>
      </c>
      <c r="R252" s="6">
        <v>147</v>
      </c>
      <c r="S252" s="6">
        <v>133.2</v>
      </c>
      <c r="T252" s="6">
        <v>144.9</v>
      </c>
      <c r="U252" s="6">
        <v>153.9</v>
      </c>
      <c r="V252" s="6">
        <v>135.1</v>
      </c>
      <c r="W252" s="6">
        <v>140.1</v>
      </c>
      <c r="X252" s="6">
        <v>143.8</v>
      </c>
      <c r="Y252" s="6">
        <v>126.1</v>
      </c>
      <c r="Z252" s="6">
        <v>137.2</v>
      </c>
      <c r="AA252" s="6">
        <v>152.1</v>
      </c>
      <c r="AB252" s="6">
        <v>142.1</v>
      </c>
      <c r="AC252" s="6">
        <v>138.4</v>
      </c>
      <c r="AD252" s="6">
        <v>148.2</v>
      </c>
      <c r="AE252" s="6" t="str">
        <f t="shared" si="3"/>
        <v>Urban|2020|January</v>
      </c>
    </row>
    <row r="253" spans="1:31">
      <c r="A253" s="6" t="s">
        <v>52</v>
      </c>
      <c r="B253" s="6">
        <v>2020</v>
      </c>
      <c r="C253" s="6" t="s">
        <v>50</v>
      </c>
      <c r="D253" s="6">
        <v>144.3</v>
      </c>
      <c r="E253" s="6">
        <v>167.4</v>
      </c>
      <c r="F253" s="6">
        <v>154.9</v>
      </c>
      <c r="G253" s="6">
        <v>150.1</v>
      </c>
      <c r="H253" s="6">
        <v>129.9</v>
      </c>
      <c r="I253" s="6">
        <v>143.2</v>
      </c>
      <c r="J253" s="6">
        <v>197</v>
      </c>
      <c r="K253" s="6">
        <v>140.4</v>
      </c>
      <c r="L253" s="6">
        <v>114.1</v>
      </c>
      <c r="M253" s="6">
        <v>150.9</v>
      </c>
      <c r="N253" s="6">
        <v>136.1</v>
      </c>
      <c r="O253" s="6">
        <v>158.6</v>
      </c>
      <c r="P253" s="6">
        <v>153.5</v>
      </c>
      <c r="Q253" s="6">
        <v>169.2</v>
      </c>
      <c r="R253" s="6">
        <v>150.5</v>
      </c>
      <c r="S253" s="6">
        <v>141.5</v>
      </c>
      <c r="T253" s="6">
        <v>149.2</v>
      </c>
      <c r="U253" s="6">
        <v>153.9</v>
      </c>
      <c r="V253" s="6">
        <v>144.6</v>
      </c>
      <c r="W253" s="6">
        <v>146.2</v>
      </c>
      <c r="X253" s="6">
        <v>151.2</v>
      </c>
      <c r="Y253" s="6">
        <v>130.9</v>
      </c>
      <c r="Z253" s="6">
        <v>142.8</v>
      </c>
      <c r="AA253" s="6">
        <v>156.1</v>
      </c>
      <c r="AB253" s="6">
        <v>142.3</v>
      </c>
      <c r="AC253" s="6">
        <v>143.4</v>
      </c>
      <c r="AD253" s="6">
        <v>150.2</v>
      </c>
      <c r="AE253" s="6" t="str">
        <f t="shared" si="3"/>
        <v>Rural+Urban|2020|January</v>
      </c>
    </row>
    <row r="254" spans="1:31">
      <c r="A254" s="6" t="s">
        <v>49</v>
      </c>
      <c r="B254" s="6">
        <v>2020</v>
      </c>
      <c r="C254" s="6" t="s">
        <v>53</v>
      </c>
      <c r="D254" s="6">
        <v>144.2</v>
      </c>
      <c r="E254" s="6">
        <v>167.5</v>
      </c>
      <c r="F254" s="6">
        <v>150.9</v>
      </c>
      <c r="G254" s="6">
        <v>150.9</v>
      </c>
      <c r="H254" s="6">
        <v>133.7</v>
      </c>
      <c r="I254" s="6">
        <v>140.7</v>
      </c>
      <c r="J254" s="6">
        <v>165.1</v>
      </c>
      <c r="K254" s="6">
        <v>141.8</v>
      </c>
      <c r="L254" s="6">
        <v>113.1</v>
      </c>
      <c r="M254" s="6">
        <v>152.8</v>
      </c>
      <c r="N254" s="6">
        <v>140.1</v>
      </c>
      <c r="O254" s="6">
        <v>159.2</v>
      </c>
      <c r="P254" s="6">
        <v>149.8</v>
      </c>
      <c r="Q254" s="6">
        <v>169.4</v>
      </c>
      <c r="R254" s="6">
        <v>153</v>
      </c>
      <c r="S254" s="6">
        <v>147.5</v>
      </c>
      <c r="T254" s="6">
        <v>152.3</v>
      </c>
      <c r="V254" s="6">
        <v>152.3</v>
      </c>
      <c r="W254" s="6">
        <v>151.8</v>
      </c>
      <c r="X254" s="6">
        <v>156.2</v>
      </c>
      <c r="Y254" s="6">
        <v>136</v>
      </c>
      <c r="Z254" s="6">
        <v>150.4</v>
      </c>
      <c r="AA254" s="6">
        <v>161.9</v>
      </c>
      <c r="AB254" s="6">
        <v>143.4</v>
      </c>
      <c r="AC254" s="6">
        <v>148.4</v>
      </c>
      <c r="AD254" s="6">
        <v>150.4</v>
      </c>
      <c r="AE254" s="6" t="str">
        <f t="shared" si="3"/>
        <v>Rural|2020|February</v>
      </c>
    </row>
    <row r="255" spans="1:31">
      <c r="A255" s="6" t="s">
        <v>51</v>
      </c>
      <c r="B255" s="6">
        <v>2020</v>
      </c>
      <c r="C255" s="6" t="s">
        <v>53</v>
      </c>
      <c r="D255" s="6">
        <v>146.2</v>
      </c>
      <c r="E255" s="6">
        <v>167.6</v>
      </c>
      <c r="F255" s="6">
        <v>153.1</v>
      </c>
      <c r="G255" s="6">
        <v>150.7</v>
      </c>
      <c r="H255" s="6">
        <v>127.4</v>
      </c>
      <c r="I255" s="6">
        <v>143.1</v>
      </c>
      <c r="J255" s="6">
        <v>181.7</v>
      </c>
      <c r="K255" s="6">
        <v>139.6</v>
      </c>
      <c r="L255" s="6">
        <v>114.6</v>
      </c>
      <c r="M255" s="6">
        <v>150.4</v>
      </c>
      <c r="N255" s="6">
        <v>131.5</v>
      </c>
      <c r="O255" s="6">
        <v>159</v>
      </c>
      <c r="P255" s="6">
        <v>151.7</v>
      </c>
      <c r="Q255" s="6">
        <v>172</v>
      </c>
      <c r="R255" s="6">
        <v>147.3</v>
      </c>
      <c r="S255" s="6">
        <v>133.5</v>
      </c>
      <c r="T255" s="6">
        <v>145.2</v>
      </c>
      <c r="U255" s="6">
        <v>154.8</v>
      </c>
      <c r="V255" s="6">
        <v>138.9</v>
      </c>
      <c r="W255" s="6">
        <v>140.4</v>
      </c>
      <c r="X255" s="6">
        <v>144.4</v>
      </c>
      <c r="Y255" s="6">
        <v>125.2</v>
      </c>
      <c r="Z255" s="6">
        <v>137.7</v>
      </c>
      <c r="AA255" s="6">
        <v>152.2</v>
      </c>
      <c r="AB255" s="6">
        <v>143.5</v>
      </c>
      <c r="AC255" s="6">
        <v>138.4</v>
      </c>
      <c r="AD255" s="6">
        <v>147.7</v>
      </c>
      <c r="AE255" s="6" t="str">
        <f t="shared" si="3"/>
        <v>Urban|2020|February</v>
      </c>
    </row>
    <row r="256" spans="1:31">
      <c r="A256" s="6" t="s">
        <v>52</v>
      </c>
      <c r="B256" s="6">
        <v>2020</v>
      </c>
      <c r="C256" s="6" t="s">
        <v>53</v>
      </c>
      <c r="D256" s="6">
        <v>144.8</v>
      </c>
      <c r="E256" s="6">
        <v>167.5</v>
      </c>
      <c r="F256" s="6">
        <v>151.8</v>
      </c>
      <c r="G256" s="6">
        <v>150.8</v>
      </c>
      <c r="H256" s="6">
        <v>131.4</v>
      </c>
      <c r="I256" s="6">
        <v>141.8</v>
      </c>
      <c r="J256" s="6">
        <v>170.7</v>
      </c>
      <c r="K256" s="6">
        <v>141.1</v>
      </c>
      <c r="L256" s="6">
        <v>113.6</v>
      </c>
      <c r="M256" s="6">
        <v>152</v>
      </c>
      <c r="N256" s="6">
        <v>136.5</v>
      </c>
      <c r="O256" s="6">
        <v>159.1</v>
      </c>
      <c r="P256" s="6">
        <v>150.5</v>
      </c>
      <c r="Q256" s="6">
        <v>170.1</v>
      </c>
      <c r="R256" s="6">
        <v>150.8</v>
      </c>
      <c r="S256" s="6">
        <v>141.7</v>
      </c>
      <c r="T256" s="6">
        <v>149.5</v>
      </c>
      <c r="U256" s="6">
        <v>154.8</v>
      </c>
      <c r="V256" s="6">
        <v>147.2</v>
      </c>
      <c r="W256" s="6">
        <v>146.4</v>
      </c>
      <c r="X256" s="6">
        <v>151.7</v>
      </c>
      <c r="Y256" s="6">
        <v>130.3</v>
      </c>
      <c r="Z256" s="6">
        <v>143.2</v>
      </c>
      <c r="AA256" s="6">
        <v>156.2</v>
      </c>
      <c r="AB256" s="6">
        <v>143.4</v>
      </c>
      <c r="AC256" s="6">
        <v>143.6</v>
      </c>
      <c r="AD256" s="6">
        <v>149.1</v>
      </c>
      <c r="AE256" s="6" t="str">
        <f t="shared" si="3"/>
        <v>Rural+Urban|2020|February</v>
      </c>
    </row>
    <row r="257" spans="1:31">
      <c r="A257" s="6" t="s">
        <v>49</v>
      </c>
      <c r="B257" s="6">
        <v>2020</v>
      </c>
      <c r="C257" s="6" t="s">
        <v>54</v>
      </c>
      <c r="D257" s="6">
        <v>144.4</v>
      </c>
      <c r="E257" s="6">
        <v>166.8</v>
      </c>
      <c r="F257" s="6">
        <v>147.6</v>
      </c>
      <c r="G257" s="6">
        <v>151.7</v>
      </c>
      <c r="H257" s="6">
        <v>133.3</v>
      </c>
      <c r="I257" s="6">
        <v>141.8</v>
      </c>
      <c r="J257" s="6">
        <v>152.3</v>
      </c>
      <c r="K257" s="6">
        <v>141.8</v>
      </c>
      <c r="L257" s="6">
        <v>112.6</v>
      </c>
      <c r="M257" s="6">
        <v>154</v>
      </c>
      <c r="N257" s="6">
        <v>140.1</v>
      </c>
      <c r="O257" s="6">
        <v>160</v>
      </c>
      <c r="P257" s="6">
        <v>148.2</v>
      </c>
      <c r="Q257" s="6">
        <v>170.5</v>
      </c>
      <c r="R257" s="6">
        <v>153.4</v>
      </c>
      <c r="S257" s="6">
        <v>147.6</v>
      </c>
      <c r="T257" s="6">
        <v>152.5</v>
      </c>
      <c r="V257" s="6">
        <v>153.4</v>
      </c>
      <c r="W257" s="6">
        <v>151.5</v>
      </c>
      <c r="X257" s="6">
        <v>156.7</v>
      </c>
      <c r="Y257" s="6">
        <v>135.8</v>
      </c>
      <c r="Z257" s="6">
        <v>151.2</v>
      </c>
      <c r="AA257" s="6">
        <v>161.2</v>
      </c>
      <c r="AB257" s="6">
        <v>145.1</v>
      </c>
      <c r="AC257" s="6">
        <v>148.6</v>
      </c>
      <c r="AD257" s="6">
        <v>149.8</v>
      </c>
      <c r="AE257" s="6" t="str">
        <f t="shared" si="3"/>
        <v>Rural|2020|March</v>
      </c>
    </row>
    <row r="258" spans="1:31">
      <c r="A258" s="6" t="s">
        <v>51</v>
      </c>
      <c r="B258" s="6">
        <v>2020</v>
      </c>
      <c r="C258" s="6" t="s">
        <v>54</v>
      </c>
      <c r="D258" s="6">
        <v>146.5</v>
      </c>
      <c r="E258" s="6">
        <v>167.5</v>
      </c>
      <c r="F258" s="6">
        <v>148.9</v>
      </c>
      <c r="G258" s="6">
        <v>151.1</v>
      </c>
      <c r="H258" s="6">
        <v>127.5</v>
      </c>
      <c r="I258" s="6">
        <v>143.3</v>
      </c>
      <c r="J258" s="6">
        <v>167</v>
      </c>
      <c r="K258" s="6">
        <v>139.7</v>
      </c>
      <c r="L258" s="6">
        <v>114.4</v>
      </c>
      <c r="M258" s="6">
        <v>151.5</v>
      </c>
      <c r="N258" s="6">
        <v>131.9</v>
      </c>
      <c r="O258" s="6">
        <v>159.1</v>
      </c>
      <c r="P258" s="6">
        <v>150.1</v>
      </c>
      <c r="Q258" s="6">
        <v>173.3</v>
      </c>
      <c r="R258" s="6">
        <v>147.7</v>
      </c>
      <c r="S258" s="6">
        <v>133.8</v>
      </c>
      <c r="T258" s="6">
        <v>145.6</v>
      </c>
      <c r="U258" s="6">
        <v>154.5</v>
      </c>
      <c r="V258" s="6">
        <v>141.4</v>
      </c>
      <c r="W258" s="6">
        <v>140.8</v>
      </c>
      <c r="X258" s="6">
        <v>145</v>
      </c>
      <c r="Y258" s="6">
        <v>124.6</v>
      </c>
      <c r="Z258" s="6">
        <v>137.9</v>
      </c>
      <c r="AA258" s="6">
        <v>152.5</v>
      </c>
      <c r="AB258" s="6">
        <v>145.3</v>
      </c>
      <c r="AC258" s="6">
        <v>138.7</v>
      </c>
      <c r="AD258" s="6">
        <v>147.3</v>
      </c>
      <c r="AE258" s="6" t="str">
        <f t="shared" ref="AE258:AE321" si="4">A258&amp;"|"&amp;B258&amp;"|"&amp;C258</f>
        <v>Urban|2020|March</v>
      </c>
    </row>
    <row r="259" spans="1:31">
      <c r="A259" s="6" t="s">
        <v>52</v>
      </c>
      <c r="B259" s="6">
        <v>2020</v>
      </c>
      <c r="C259" s="6" t="s">
        <v>54</v>
      </c>
      <c r="D259" s="6">
        <v>145.1</v>
      </c>
      <c r="E259" s="6">
        <v>167</v>
      </c>
      <c r="F259" s="6">
        <v>148.1</v>
      </c>
      <c r="G259" s="6">
        <v>151.5</v>
      </c>
      <c r="H259" s="6">
        <v>131.2</v>
      </c>
      <c r="I259" s="6">
        <v>142.5</v>
      </c>
      <c r="J259" s="6">
        <v>157.3</v>
      </c>
      <c r="K259" s="6">
        <v>141.1</v>
      </c>
      <c r="L259" s="6">
        <v>113.2</v>
      </c>
      <c r="M259" s="6">
        <v>153.2</v>
      </c>
      <c r="N259" s="6">
        <v>136.7</v>
      </c>
      <c r="O259" s="6">
        <v>159.6</v>
      </c>
      <c r="P259" s="6">
        <v>148.9</v>
      </c>
      <c r="Q259" s="6">
        <v>171.2</v>
      </c>
      <c r="R259" s="6">
        <v>151.2</v>
      </c>
      <c r="S259" s="6">
        <v>141.9</v>
      </c>
      <c r="T259" s="6">
        <v>149.8</v>
      </c>
      <c r="U259" s="6">
        <v>154.5</v>
      </c>
      <c r="V259" s="6">
        <v>148.9</v>
      </c>
      <c r="W259" s="6">
        <v>146.4</v>
      </c>
      <c r="X259" s="6">
        <v>152.3</v>
      </c>
      <c r="Y259" s="6">
        <v>129.9</v>
      </c>
      <c r="Z259" s="6">
        <v>143.7</v>
      </c>
      <c r="AA259" s="6">
        <v>156.1</v>
      </c>
      <c r="AB259" s="6">
        <v>145.2</v>
      </c>
      <c r="AC259" s="6">
        <v>143.8</v>
      </c>
      <c r="AD259" s="6">
        <v>148.6</v>
      </c>
      <c r="AE259" s="6" t="str">
        <f t="shared" si="4"/>
        <v>Rural+Urban|2020|March</v>
      </c>
    </row>
    <row r="260" spans="1:31">
      <c r="A260" s="6" t="s">
        <v>49</v>
      </c>
      <c r="B260" s="6">
        <v>2020</v>
      </c>
      <c r="C260" s="6" t="s">
        <v>55</v>
      </c>
      <c r="D260" s="6">
        <v>147.2</v>
      </c>
      <c r="F260" s="6">
        <v>146.9</v>
      </c>
      <c r="G260" s="6">
        <v>155.6</v>
      </c>
      <c r="H260" s="6">
        <v>137.1</v>
      </c>
      <c r="I260" s="6">
        <v>147.3</v>
      </c>
      <c r="J260" s="6">
        <v>162.7</v>
      </c>
      <c r="K260" s="6">
        <v>150.2</v>
      </c>
      <c r="L260" s="6">
        <v>119.8</v>
      </c>
      <c r="M260" s="6">
        <v>158.7</v>
      </c>
      <c r="N260" s="6">
        <v>139.2</v>
      </c>
      <c r="P260" s="6">
        <v>150.1</v>
      </c>
      <c r="V260" s="6">
        <v>148.4</v>
      </c>
      <c r="X260" s="6">
        <v>154.3</v>
      </c>
      <c r="AE260" s="6" t="str">
        <f t="shared" si="4"/>
        <v>Rural|2020|April</v>
      </c>
    </row>
    <row r="261" spans="1:31">
      <c r="A261" s="6" t="s">
        <v>51</v>
      </c>
      <c r="B261" s="6">
        <v>2020</v>
      </c>
      <c r="C261" s="6" t="s">
        <v>55</v>
      </c>
      <c r="D261" s="6">
        <v>151.8</v>
      </c>
      <c r="F261" s="6">
        <v>151.9</v>
      </c>
      <c r="G261" s="6">
        <v>155.5</v>
      </c>
      <c r="H261" s="6">
        <v>131.6</v>
      </c>
      <c r="I261" s="6">
        <v>152.9</v>
      </c>
      <c r="J261" s="6">
        <v>180</v>
      </c>
      <c r="K261" s="6">
        <v>150.8</v>
      </c>
      <c r="L261" s="6">
        <v>121.2</v>
      </c>
      <c r="M261" s="6">
        <v>154</v>
      </c>
      <c r="N261" s="6">
        <v>133.5</v>
      </c>
      <c r="P261" s="6">
        <v>153.5</v>
      </c>
      <c r="U261" s="6">
        <v>155.6</v>
      </c>
      <c r="V261" s="6">
        <v>137.1</v>
      </c>
      <c r="X261" s="6">
        <v>144.8</v>
      </c>
      <c r="AE261" s="6" t="str">
        <f t="shared" si="4"/>
        <v>Urban|2020|April</v>
      </c>
    </row>
    <row r="262" spans="1:31">
      <c r="A262" s="6" t="s">
        <v>52</v>
      </c>
      <c r="B262" s="6">
        <v>2020</v>
      </c>
      <c r="C262" s="6" t="s">
        <v>55</v>
      </c>
      <c r="D262" s="6">
        <v>148.7</v>
      </c>
      <c r="F262" s="6">
        <v>148.8</v>
      </c>
      <c r="G262" s="6">
        <v>155.6</v>
      </c>
      <c r="H262" s="6">
        <v>135.1</v>
      </c>
      <c r="I262" s="6">
        <v>149.9</v>
      </c>
      <c r="J262" s="6">
        <v>168.6</v>
      </c>
      <c r="K262" s="6">
        <v>150.4</v>
      </c>
      <c r="L262" s="6">
        <v>120.3</v>
      </c>
      <c r="M262" s="6">
        <v>157.1</v>
      </c>
      <c r="N262" s="6">
        <v>136.8</v>
      </c>
      <c r="P262" s="6">
        <v>151.4</v>
      </c>
      <c r="U262" s="6">
        <v>155.6</v>
      </c>
      <c r="V262" s="6">
        <v>144.1</v>
      </c>
      <c r="X262" s="6">
        <v>150.7</v>
      </c>
      <c r="AE262" s="6" t="str">
        <f t="shared" si="4"/>
        <v>Rural+Urban|2020|April</v>
      </c>
    </row>
    <row r="263" spans="1:31">
      <c r="A263" s="6" t="s">
        <v>49</v>
      </c>
      <c r="B263" s="6">
        <v>2020</v>
      </c>
      <c r="C263" s="6" t="s">
        <v>56</v>
      </c>
      <c r="AE263" s="6" t="str">
        <f t="shared" si="4"/>
        <v>Rural|2020|May</v>
      </c>
    </row>
    <row r="264" spans="1:31">
      <c r="A264" s="6" t="s">
        <v>51</v>
      </c>
      <c r="B264" s="6">
        <v>2020</v>
      </c>
      <c r="C264" s="6" t="s">
        <v>56</v>
      </c>
      <c r="AE264" s="6" t="str">
        <f t="shared" si="4"/>
        <v>Urban|2020|May</v>
      </c>
    </row>
    <row r="265" spans="1:31">
      <c r="A265" s="6" t="s">
        <v>52</v>
      </c>
      <c r="B265" s="6">
        <v>2020</v>
      </c>
      <c r="C265" s="6" t="s">
        <v>56</v>
      </c>
      <c r="AE265" s="6" t="str">
        <f t="shared" si="4"/>
        <v>Rural+Urban|2020|May</v>
      </c>
    </row>
    <row r="266" spans="1:31">
      <c r="A266" s="6" t="s">
        <v>49</v>
      </c>
      <c r="B266" s="6">
        <v>2020</v>
      </c>
      <c r="C266" s="6" t="s">
        <v>57</v>
      </c>
      <c r="D266" s="6">
        <v>148.2</v>
      </c>
      <c r="E266" s="6">
        <v>190.3</v>
      </c>
      <c r="F266" s="6">
        <v>149.4</v>
      </c>
      <c r="G266" s="6">
        <v>153.3</v>
      </c>
      <c r="H266" s="6">
        <v>138.2</v>
      </c>
      <c r="I266" s="6">
        <v>143.2</v>
      </c>
      <c r="J266" s="6">
        <v>148.9</v>
      </c>
      <c r="K266" s="6">
        <v>150.3</v>
      </c>
      <c r="L266" s="6">
        <v>113.2</v>
      </c>
      <c r="M266" s="6">
        <v>159.8</v>
      </c>
      <c r="N266" s="6">
        <v>142.1</v>
      </c>
      <c r="O266" s="6">
        <v>161.8</v>
      </c>
      <c r="P266" s="6">
        <v>152.3</v>
      </c>
      <c r="Q266" s="6">
        <v>182.4</v>
      </c>
      <c r="R266" s="6">
        <v>154.7</v>
      </c>
      <c r="S266" s="6">
        <v>150</v>
      </c>
      <c r="T266" s="6">
        <v>154.1</v>
      </c>
      <c r="V266" s="6">
        <v>144.9</v>
      </c>
      <c r="W266" s="6">
        <v>151.7</v>
      </c>
      <c r="X266" s="6">
        <v>158.2</v>
      </c>
      <c r="Y266" s="6">
        <v>141.4</v>
      </c>
      <c r="Z266" s="6">
        <v>153.2</v>
      </c>
      <c r="AA266" s="6">
        <v>161.8</v>
      </c>
      <c r="AB266" s="6">
        <v>151.2</v>
      </c>
      <c r="AC266" s="6">
        <v>151.7</v>
      </c>
      <c r="AD266" s="6">
        <v>152.7</v>
      </c>
      <c r="AE266" s="6" t="str">
        <f t="shared" si="4"/>
        <v>Rural|2020|June</v>
      </c>
    </row>
    <row r="267" spans="1:31">
      <c r="A267" s="6" t="s">
        <v>51</v>
      </c>
      <c r="B267" s="6">
        <v>2020</v>
      </c>
      <c r="C267" s="6" t="s">
        <v>57</v>
      </c>
      <c r="D267" s="6">
        <v>152.7</v>
      </c>
      <c r="E267" s="6">
        <v>197</v>
      </c>
      <c r="F267" s="6">
        <v>154.6</v>
      </c>
      <c r="G267" s="6">
        <v>153.4</v>
      </c>
      <c r="H267" s="6">
        <v>132.9</v>
      </c>
      <c r="I267" s="6">
        <v>151.8</v>
      </c>
      <c r="J267" s="6">
        <v>171.2</v>
      </c>
      <c r="K267" s="6">
        <v>152</v>
      </c>
      <c r="L267" s="6">
        <v>116.3</v>
      </c>
      <c r="M267" s="6">
        <v>158.8</v>
      </c>
      <c r="N267" s="6">
        <v>135.6</v>
      </c>
      <c r="O267" s="6">
        <v>161.7</v>
      </c>
      <c r="P267" s="6">
        <v>157</v>
      </c>
      <c r="Q267" s="6">
        <v>186.7</v>
      </c>
      <c r="R267" s="6">
        <v>149.1</v>
      </c>
      <c r="S267" s="6">
        <v>136.6</v>
      </c>
      <c r="T267" s="6">
        <v>147.2</v>
      </c>
      <c r="U267" s="6">
        <v>154.7</v>
      </c>
      <c r="V267" s="6">
        <v>137.1</v>
      </c>
      <c r="W267" s="6">
        <v>140.4</v>
      </c>
      <c r="X267" s="6">
        <v>148.1</v>
      </c>
      <c r="Y267" s="6">
        <v>129.3</v>
      </c>
      <c r="Z267" s="6">
        <v>144.5</v>
      </c>
      <c r="AA267" s="6">
        <v>152.5</v>
      </c>
      <c r="AB267" s="6">
        <v>152.2</v>
      </c>
      <c r="AC267" s="6">
        <v>142</v>
      </c>
      <c r="AD267" s="6">
        <v>150.8</v>
      </c>
      <c r="AE267" s="6" t="str">
        <f t="shared" si="4"/>
        <v>Urban|2020|June</v>
      </c>
    </row>
    <row r="268" spans="1:31">
      <c r="A268" s="6" t="s">
        <v>52</v>
      </c>
      <c r="B268" s="6">
        <v>2020</v>
      </c>
      <c r="C268" s="6" t="s">
        <v>57</v>
      </c>
      <c r="D268" s="6">
        <v>149.6</v>
      </c>
      <c r="E268" s="6">
        <v>192.7</v>
      </c>
      <c r="F268" s="6">
        <v>151.4</v>
      </c>
      <c r="G268" s="6">
        <v>153.3</v>
      </c>
      <c r="H268" s="6">
        <v>136.3</v>
      </c>
      <c r="I268" s="6">
        <v>147.2</v>
      </c>
      <c r="J268" s="6">
        <v>156.5</v>
      </c>
      <c r="K268" s="6">
        <v>150.9</v>
      </c>
      <c r="L268" s="6">
        <v>114.2</v>
      </c>
      <c r="M268" s="6">
        <v>159.5</v>
      </c>
      <c r="N268" s="6">
        <v>139.4</v>
      </c>
      <c r="O268" s="6">
        <v>161.8</v>
      </c>
      <c r="P268" s="6">
        <v>154</v>
      </c>
      <c r="Q268" s="6">
        <v>183.5</v>
      </c>
      <c r="R268" s="6">
        <v>152.5</v>
      </c>
      <c r="S268" s="6">
        <v>144.4</v>
      </c>
      <c r="T268" s="6">
        <v>151.4</v>
      </c>
      <c r="U268" s="6">
        <v>154.7</v>
      </c>
      <c r="V268" s="6">
        <v>141.9</v>
      </c>
      <c r="W268" s="6">
        <v>146.4</v>
      </c>
      <c r="X268" s="6">
        <v>154.4</v>
      </c>
      <c r="Y268" s="6">
        <v>135</v>
      </c>
      <c r="Z268" s="6">
        <v>148.3</v>
      </c>
      <c r="AA268" s="6">
        <v>156.4</v>
      </c>
      <c r="AB268" s="6">
        <v>151.6</v>
      </c>
      <c r="AC268" s="6">
        <v>147</v>
      </c>
      <c r="AD268" s="6">
        <v>151.8</v>
      </c>
      <c r="AE268" s="6" t="str">
        <f t="shared" si="4"/>
        <v>Rural+Urban|2020|June</v>
      </c>
    </row>
    <row r="269" spans="1:31">
      <c r="A269" s="6" t="s">
        <v>49</v>
      </c>
      <c r="B269" s="6">
        <v>2020</v>
      </c>
      <c r="C269" s="6" t="s">
        <v>58</v>
      </c>
      <c r="D269" s="6">
        <v>148.2</v>
      </c>
      <c r="E269" s="6">
        <v>190.3</v>
      </c>
      <c r="F269" s="6">
        <v>149.4</v>
      </c>
      <c r="G269" s="6">
        <v>153.3</v>
      </c>
      <c r="H269" s="6">
        <v>138.2</v>
      </c>
      <c r="I269" s="6">
        <v>143.2</v>
      </c>
      <c r="J269" s="6">
        <v>148.9</v>
      </c>
      <c r="K269" s="6">
        <v>150.3</v>
      </c>
      <c r="L269" s="6">
        <v>113.2</v>
      </c>
      <c r="M269" s="6">
        <v>159.8</v>
      </c>
      <c r="N269" s="6">
        <v>142.1</v>
      </c>
      <c r="O269" s="6">
        <v>161.8</v>
      </c>
      <c r="P269" s="6">
        <v>152.3</v>
      </c>
      <c r="Q269" s="6">
        <v>182.4</v>
      </c>
      <c r="R269" s="6">
        <v>154.7</v>
      </c>
      <c r="S269" s="6">
        <v>150</v>
      </c>
      <c r="T269" s="6">
        <v>154.1</v>
      </c>
      <c r="V269" s="6">
        <v>144.9</v>
      </c>
      <c r="W269" s="6">
        <v>151.7</v>
      </c>
      <c r="X269" s="6">
        <v>158.2</v>
      </c>
      <c r="Y269" s="6">
        <v>141.4</v>
      </c>
      <c r="Z269" s="6">
        <v>153.2</v>
      </c>
      <c r="AA269" s="6">
        <v>161.8</v>
      </c>
      <c r="AB269" s="6">
        <v>151.2</v>
      </c>
      <c r="AC269" s="6">
        <v>151.7</v>
      </c>
      <c r="AD269" s="6">
        <v>152.7</v>
      </c>
      <c r="AE269" s="6" t="str">
        <f t="shared" si="4"/>
        <v>Rural|2020|July</v>
      </c>
    </row>
    <row r="270" spans="1:31">
      <c r="A270" s="6" t="s">
        <v>51</v>
      </c>
      <c r="B270" s="6">
        <v>2020</v>
      </c>
      <c r="C270" s="6" t="s">
        <v>58</v>
      </c>
      <c r="D270" s="6">
        <v>152.7</v>
      </c>
      <c r="E270" s="6">
        <v>197</v>
      </c>
      <c r="F270" s="6">
        <v>154.6</v>
      </c>
      <c r="G270" s="6">
        <v>153.4</v>
      </c>
      <c r="H270" s="6">
        <v>132.9</v>
      </c>
      <c r="I270" s="6">
        <v>151.8</v>
      </c>
      <c r="J270" s="6">
        <v>171.2</v>
      </c>
      <c r="K270" s="6">
        <v>152</v>
      </c>
      <c r="L270" s="6">
        <v>116.3</v>
      </c>
      <c r="M270" s="6">
        <v>158.8</v>
      </c>
      <c r="N270" s="6">
        <v>135.6</v>
      </c>
      <c r="O270" s="6">
        <v>161.7</v>
      </c>
      <c r="P270" s="6">
        <v>157</v>
      </c>
      <c r="Q270" s="6">
        <v>186.7</v>
      </c>
      <c r="R270" s="6">
        <v>149.1</v>
      </c>
      <c r="S270" s="6">
        <v>136.6</v>
      </c>
      <c r="T270" s="6">
        <v>147.2</v>
      </c>
      <c r="U270" s="6">
        <v>154.7</v>
      </c>
      <c r="V270" s="6">
        <v>137.1</v>
      </c>
      <c r="W270" s="6">
        <v>140.4</v>
      </c>
      <c r="X270" s="6">
        <v>148.1</v>
      </c>
      <c r="Y270" s="6">
        <v>129.3</v>
      </c>
      <c r="Z270" s="6">
        <v>144.5</v>
      </c>
      <c r="AA270" s="6">
        <v>152.5</v>
      </c>
      <c r="AB270" s="6">
        <v>152.2</v>
      </c>
      <c r="AC270" s="6">
        <v>142</v>
      </c>
      <c r="AD270" s="6">
        <v>150.8</v>
      </c>
      <c r="AE270" s="6" t="str">
        <f t="shared" si="4"/>
        <v>Urban|2020|July</v>
      </c>
    </row>
    <row r="271" spans="1:31">
      <c r="A271" s="6" t="s">
        <v>52</v>
      </c>
      <c r="B271" s="6">
        <v>2020</v>
      </c>
      <c r="C271" s="6" t="s">
        <v>58</v>
      </c>
      <c r="D271" s="6">
        <v>149.6</v>
      </c>
      <c r="E271" s="6">
        <v>192.7</v>
      </c>
      <c r="F271" s="6">
        <v>151.4</v>
      </c>
      <c r="G271" s="6">
        <v>153.3</v>
      </c>
      <c r="H271" s="6">
        <v>136.3</v>
      </c>
      <c r="I271" s="6">
        <v>147.2</v>
      </c>
      <c r="J271" s="6">
        <v>156.5</v>
      </c>
      <c r="K271" s="6">
        <v>150.9</v>
      </c>
      <c r="L271" s="6">
        <v>114.2</v>
      </c>
      <c r="M271" s="6">
        <v>159.5</v>
      </c>
      <c r="N271" s="6">
        <v>139.4</v>
      </c>
      <c r="O271" s="6">
        <v>161.8</v>
      </c>
      <c r="P271" s="6">
        <v>154</v>
      </c>
      <c r="Q271" s="6">
        <v>183.5</v>
      </c>
      <c r="R271" s="6">
        <v>152.5</v>
      </c>
      <c r="S271" s="6">
        <v>144.4</v>
      </c>
      <c r="T271" s="6">
        <v>151.4</v>
      </c>
      <c r="U271" s="6">
        <v>154.7</v>
      </c>
      <c r="V271" s="6">
        <v>141.9</v>
      </c>
      <c r="W271" s="6">
        <v>146.4</v>
      </c>
      <c r="X271" s="6">
        <v>154.4</v>
      </c>
      <c r="Y271" s="6">
        <v>135</v>
      </c>
      <c r="Z271" s="6">
        <v>148.3</v>
      </c>
      <c r="AA271" s="6">
        <v>156.4</v>
      </c>
      <c r="AB271" s="6">
        <v>151.6</v>
      </c>
      <c r="AC271" s="6">
        <v>147</v>
      </c>
      <c r="AD271" s="6">
        <v>151.8</v>
      </c>
      <c r="AE271" s="6" t="str">
        <f t="shared" si="4"/>
        <v>Rural+Urban|2020|July</v>
      </c>
    </row>
    <row r="272" spans="1:31">
      <c r="A272" s="6" t="s">
        <v>49</v>
      </c>
      <c r="B272" s="6">
        <v>2020</v>
      </c>
      <c r="C272" s="6" t="s">
        <v>59</v>
      </c>
      <c r="D272" s="6">
        <v>147.6</v>
      </c>
      <c r="E272" s="6">
        <v>187.2</v>
      </c>
      <c r="F272" s="6">
        <v>148.4</v>
      </c>
      <c r="G272" s="6">
        <v>153.3</v>
      </c>
      <c r="H272" s="6">
        <v>139.8</v>
      </c>
      <c r="I272" s="6">
        <v>146.9</v>
      </c>
      <c r="J272" s="6">
        <v>171</v>
      </c>
      <c r="K272" s="6">
        <v>149.9</v>
      </c>
      <c r="L272" s="6">
        <v>114.2</v>
      </c>
      <c r="M272" s="6">
        <v>160</v>
      </c>
      <c r="N272" s="6">
        <v>143.5</v>
      </c>
      <c r="O272" s="6">
        <v>161.5</v>
      </c>
      <c r="P272" s="6">
        <v>155.3</v>
      </c>
      <c r="Q272" s="6">
        <v>180.9</v>
      </c>
      <c r="R272" s="6">
        <v>155.1</v>
      </c>
      <c r="S272" s="6">
        <v>149.3</v>
      </c>
      <c r="T272" s="6">
        <v>154.3</v>
      </c>
      <c r="V272" s="6">
        <v>145.8</v>
      </c>
      <c r="W272" s="6">
        <v>151.9</v>
      </c>
      <c r="X272" s="6">
        <v>158.8</v>
      </c>
      <c r="Y272" s="6">
        <v>143.6</v>
      </c>
      <c r="Z272" s="6">
        <v>152.2</v>
      </c>
      <c r="AA272" s="6">
        <v>162.7</v>
      </c>
      <c r="AB272" s="6">
        <v>153.6</v>
      </c>
      <c r="AC272" s="6">
        <v>153</v>
      </c>
      <c r="AD272" s="6">
        <v>154.7</v>
      </c>
      <c r="AE272" s="6" t="str">
        <f t="shared" si="4"/>
        <v>Rural|2020|August</v>
      </c>
    </row>
    <row r="273" spans="1:31">
      <c r="A273" s="6" t="s">
        <v>51</v>
      </c>
      <c r="B273" s="6">
        <v>2020</v>
      </c>
      <c r="C273" s="6" t="s">
        <v>59</v>
      </c>
      <c r="D273" s="6">
        <v>151.6</v>
      </c>
      <c r="E273" s="6">
        <v>197.8</v>
      </c>
      <c r="F273" s="6">
        <v>154.5</v>
      </c>
      <c r="G273" s="6">
        <v>153.4</v>
      </c>
      <c r="H273" s="6">
        <v>133.4</v>
      </c>
      <c r="I273" s="6">
        <v>154.5</v>
      </c>
      <c r="J273" s="6">
        <v>191.9</v>
      </c>
      <c r="K273" s="6">
        <v>151.3</v>
      </c>
      <c r="L273" s="6">
        <v>116.8</v>
      </c>
      <c r="M273" s="6">
        <v>160</v>
      </c>
      <c r="N273" s="6">
        <v>136.5</v>
      </c>
      <c r="O273" s="6">
        <v>163.3</v>
      </c>
      <c r="P273" s="6">
        <v>159.9</v>
      </c>
      <c r="Q273" s="6">
        <v>187.2</v>
      </c>
      <c r="R273" s="6">
        <v>150</v>
      </c>
      <c r="S273" s="6">
        <v>135.2</v>
      </c>
      <c r="T273" s="6">
        <v>147.8</v>
      </c>
      <c r="U273" s="6">
        <v>155.5</v>
      </c>
      <c r="V273" s="6">
        <v>138.3</v>
      </c>
      <c r="W273" s="6">
        <v>144.5</v>
      </c>
      <c r="X273" s="6">
        <v>148.7</v>
      </c>
      <c r="Y273" s="6">
        <v>133.9</v>
      </c>
      <c r="Z273" s="6">
        <v>141.2</v>
      </c>
      <c r="AA273" s="6">
        <v>155.5</v>
      </c>
      <c r="AB273" s="6">
        <v>155.2</v>
      </c>
      <c r="AC273" s="6">
        <v>144.8</v>
      </c>
      <c r="AD273" s="6">
        <v>152.9</v>
      </c>
      <c r="AE273" s="6" t="str">
        <f t="shared" si="4"/>
        <v>Urban|2020|August</v>
      </c>
    </row>
    <row r="274" spans="1:31">
      <c r="A274" s="6" t="s">
        <v>52</v>
      </c>
      <c r="B274" s="6">
        <v>2020</v>
      </c>
      <c r="C274" s="6" t="s">
        <v>59</v>
      </c>
      <c r="D274" s="6">
        <v>148.9</v>
      </c>
      <c r="E274" s="6">
        <v>190.9</v>
      </c>
      <c r="F274" s="6">
        <v>150.8</v>
      </c>
      <c r="G274" s="6">
        <v>153.3</v>
      </c>
      <c r="H274" s="6">
        <v>137.4</v>
      </c>
      <c r="I274" s="6">
        <v>150.4</v>
      </c>
      <c r="J274" s="6">
        <v>178.1</v>
      </c>
      <c r="K274" s="6">
        <v>150.4</v>
      </c>
      <c r="L274" s="6">
        <v>115.1</v>
      </c>
      <c r="M274" s="6">
        <v>160</v>
      </c>
      <c r="N274" s="6">
        <v>140.6</v>
      </c>
      <c r="O274" s="6">
        <v>162.3</v>
      </c>
      <c r="P274" s="6">
        <v>157</v>
      </c>
      <c r="Q274" s="6">
        <v>182.6</v>
      </c>
      <c r="R274" s="6">
        <v>153.1</v>
      </c>
      <c r="S274" s="6">
        <v>143.4</v>
      </c>
      <c r="T274" s="6">
        <v>151.7</v>
      </c>
      <c r="U274" s="6">
        <v>155.5</v>
      </c>
      <c r="V274" s="6">
        <v>143</v>
      </c>
      <c r="W274" s="6">
        <v>148.4</v>
      </c>
      <c r="X274" s="6">
        <v>155</v>
      </c>
      <c r="Y274" s="6">
        <v>138.5</v>
      </c>
      <c r="Z274" s="6">
        <v>146</v>
      </c>
      <c r="AA274" s="6">
        <v>158.5</v>
      </c>
      <c r="AB274" s="6">
        <v>154.3</v>
      </c>
      <c r="AC274" s="6">
        <v>149</v>
      </c>
      <c r="AD274" s="6">
        <v>153.9</v>
      </c>
      <c r="AE274" s="6" t="str">
        <f t="shared" si="4"/>
        <v>Rural+Urban|2020|August</v>
      </c>
    </row>
    <row r="275" spans="1:31">
      <c r="A275" s="6" t="s">
        <v>49</v>
      </c>
      <c r="B275" s="6">
        <v>2020</v>
      </c>
      <c r="C275" s="6" t="s">
        <v>60</v>
      </c>
      <c r="D275" s="6">
        <v>146.9</v>
      </c>
      <c r="E275" s="6">
        <v>183.9</v>
      </c>
      <c r="F275" s="6">
        <v>149.5</v>
      </c>
      <c r="G275" s="6">
        <v>153.4</v>
      </c>
      <c r="H275" s="6">
        <v>140.4</v>
      </c>
      <c r="I275" s="6">
        <v>147</v>
      </c>
      <c r="J275" s="6">
        <v>178.8</v>
      </c>
      <c r="K275" s="6">
        <v>149.3</v>
      </c>
      <c r="L275" s="6">
        <v>115.1</v>
      </c>
      <c r="M275" s="6">
        <v>160</v>
      </c>
      <c r="N275" s="6">
        <v>145.4</v>
      </c>
      <c r="O275" s="6">
        <v>161.6</v>
      </c>
      <c r="P275" s="6">
        <v>156.1</v>
      </c>
      <c r="Q275" s="6">
        <v>182.9</v>
      </c>
      <c r="R275" s="6">
        <v>155.4</v>
      </c>
      <c r="S275" s="6">
        <v>149.9</v>
      </c>
      <c r="T275" s="6">
        <v>154.6</v>
      </c>
      <c r="V275" s="6">
        <v>146.4</v>
      </c>
      <c r="W275" s="6">
        <v>151.6</v>
      </c>
      <c r="X275" s="6">
        <v>159.1</v>
      </c>
      <c r="Y275" s="6">
        <v>144.6</v>
      </c>
      <c r="Z275" s="6">
        <v>152.8</v>
      </c>
      <c r="AA275" s="6">
        <v>161.1</v>
      </c>
      <c r="AB275" s="6">
        <v>157.4</v>
      </c>
      <c r="AC275" s="6">
        <v>153.7</v>
      </c>
      <c r="AD275" s="6">
        <v>155.4</v>
      </c>
      <c r="AE275" s="6" t="str">
        <f t="shared" si="4"/>
        <v>Rural|2020|September</v>
      </c>
    </row>
    <row r="276" spans="1:31">
      <c r="A276" s="6" t="s">
        <v>51</v>
      </c>
      <c r="B276" s="6">
        <v>2020</v>
      </c>
      <c r="C276" s="6" t="s">
        <v>60</v>
      </c>
      <c r="D276" s="6">
        <v>151.5</v>
      </c>
      <c r="E276" s="6">
        <v>193.1</v>
      </c>
      <c r="F276" s="6">
        <v>157.3</v>
      </c>
      <c r="G276" s="6">
        <v>153.9</v>
      </c>
      <c r="H276" s="6">
        <v>134.4</v>
      </c>
      <c r="I276" s="6">
        <v>155.4</v>
      </c>
      <c r="J276" s="6">
        <v>202</v>
      </c>
      <c r="K276" s="6">
        <v>150.8</v>
      </c>
      <c r="L276" s="6">
        <v>118.9</v>
      </c>
      <c r="M276" s="6">
        <v>160.9</v>
      </c>
      <c r="N276" s="6">
        <v>137.7</v>
      </c>
      <c r="O276" s="6">
        <v>164.4</v>
      </c>
      <c r="P276" s="6">
        <v>161.3</v>
      </c>
      <c r="Q276" s="6">
        <v>188.7</v>
      </c>
      <c r="R276" s="6">
        <v>150.2</v>
      </c>
      <c r="S276" s="6">
        <v>136.3</v>
      </c>
      <c r="T276" s="6">
        <v>148.1</v>
      </c>
      <c r="U276" s="6">
        <v>156.3</v>
      </c>
      <c r="V276" s="6">
        <v>137.2</v>
      </c>
      <c r="W276" s="6">
        <v>145.4</v>
      </c>
      <c r="X276" s="6">
        <v>150</v>
      </c>
      <c r="Y276" s="6">
        <v>135.1</v>
      </c>
      <c r="Z276" s="6">
        <v>141.8</v>
      </c>
      <c r="AA276" s="6">
        <v>154.9</v>
      </c>
      <c r="AB276" s="6">
        <v>159.8</v>
      </c>
      <c r="AC276" s="6">
        <v>146</v>
      </c>
      <c r="AD276" s="6">
        <v>154</v>
      </c>
      <c r="AE276" s="6" t="str">
        <f t="shared" si="4"/>
        <v>Urban|2020|September</v>
      </c>
    </row>
    <row r="277" spans="1:31">
      <c r="A277" s="6" t="s">
        <v>52</v>
      </c>
      <c r="B277" s="6">
        <v>2020</v>
      </c>
      <c r="C277" s="6" t="s">
        <v>60</v>
      </c>
      <c r="D277" s="6">
        <v>148.4</v>
      </c>
      <c r="E277" s="6">
        <v>187.1</v>
      </c>
      <c r="F277" s="6">
        <v>152.5</v>
      </c>
      <c r="G277" s="6">
        <v>153.6</v>
      </c>
      <c r="H277" s="6">
        <v>138.2</v>
      </c>
      <c r="I277" s="6">
        <v>150.9</v>
      </c>
      <c r="J277" s="6">
        <v>186.7</v>
      </c>
      <c r="K277" s="6">
        <v>149.8</v>
      </c>
      <c r="L277" s="6">
        <v>116.4</v>
      </c>
      <c r="M277" s="6">
        <v>160.3</v>
      </c>
      <c r="N277" s="6">
        <v>142.2</v>
      </c>
      <c r="O277" s="6">
        <v>162.9</v>
      </c>
      <c r="P277" s="6">
        <v>158</v>
      </c>
      <c r="Q277" s="6">
        <v>184.4</v>
      </c>
      <c r="R277" s="6">
        <v>153.4</v>
      </c>
      <c r="S277" s="6">
        <v>144.3</v>
      </c>
      <c r="T277" s="6">
        <v>152</v>
      </c>
      <c r="U277" s="6">
        <v>156.3</v>
      </c>
      <c r="V277" s="6">
        <v>142.9</v>
      </c>
      <c r="W277" s="6">
        <v>148.7</v>
      </c>
      <c r="X277" s="6">
        <v>155.6</v>
      </c>
      <c r="Y277" s="6">
        <v>139.6</v>
      </c>
      <c r="Z277" s="6">
        <v>146.6</v>
      </c>
      <c r="AA277" s="6">
        <v>157.5</v>
      </c>
      <c r="AB277" s="6">
        <v>158.4</v>
      </c>
      <c r="AC277" s="6">
        <v>150</v>
      </c>
      <c r="AD277" s="6">
        <v>154.7</v>
      </c>
      <c r="AE277" s="6" t="str">
        <f t="shared" si="4"/>
        <v>Rural+Urban|2020|September</v>
      </c>
    </row>
    <row r="278" spans="1:31">
      <c r="A278" s="6" t="s">
        <v>49</v>
      </c>
      <c r="B278" s="6">
        <v>2020</v>
      </c>
      <c r="C278" s="6" t="s">
        <v>61</v>
      </c>
      <c r="D278" s="6">
        <v>146</v>
      </c>
      <c r="E278" s="6">
        <v>186.3</v>
      </c>
      <c r="F278" s="6">
        <v>159.2</v>
      </c>
      <c r="G278" s="6">
        <v>153.6</v>
      </c>
      <c r="H278" s="6">
        <v>142.6</v>
      </c>
      <c r="I278" s="6">
        <v>147.2</v>
      </c>
      <c r="J278" s="6">
        <v>200.6</v>
      </c>
      <c r="K278" s="6">
        <v>150.3</v>
      </c>
      <c r="L278" s="6">
        <v>115.3</v>
      </c>
      <c r="M278" s="6">
        <v>160.9</v>
      </c>
      <c r="N278" s="6">
        <v>147.4</v>
      </c>
      <c r="O278" s="6">
        <v>161.9</v>
      </c>
      <c r="P278" s="6">
        <v>159.6</v>
      </c>
      <c r="Q278" s="6">
        <v>182.7</v>
      </c>
      <c r="R278" s="6">
        <v>155.7</v>
      </c>
      <c r="S278" s="6">
        <v>150.6</v>
      </c>
      <c r="T278" s="6">
        <v>155</v>
      </c>
      <c r="V278" s="6">
        <v>146.8</v>
      </c>
      <c r="W278" s="6">
        <v>152</v>
      </c>
      <c r="X278" s="6">
        <v>159.5</v>
      </c>
      <c r="Y278" s="6">
        <v>146.4</v>
      </c>
      <c r="Z278" s="6">
        <v>152.4</v>
      </c>
      <c r="AA278" s="6">
        <v>162.5</v>
      </c>
      <c r="AB278" s="6">
        <v>156.2</v>
      </c>
      <c r="AC278" s="6">
        <v>154.3</v>
      </c>
      <c r="AD278" s="6">
        <v>157.5</v>
      </c>
      <c r="AE278" s="6" t="str">
        <f t="shared" si="4"/>
        <v>Rural|2020|October</v>
      </c>
    </row>
    <row r="279" spans="1:31">
      <c r="A279" s="6" t="s">
        <v>51</v>
      </c>
      <c r="B279" s="6">
        <v>2020</v>
      </c>
      <c r="C279" s="6" t="s">
        <v>61</v>
      </c>
      <c r="D279" s="6">
        <v>150.6</v>
      </c>
      <c r="E279" s="6">
        <v>193.7</v>
      </c>
      <c r="F279" s="6">
        <v>164.8</v>
      </c>
      <c r="G279" s="6">
        <v>153.7</v>
      </c>
      <c r="H279" s="6">
        <v>135.7</v>
      </c>
      <c r="I279" s="6">
        <v>155.7</v>
      </c>
      <c r="J279" s="6">
        <v>226</v>
      </c>
      <c r="K279" s="6">
        <v>152.2</v>
      </c>
      <c r="L279" s="6">
        <v>118.1</v>
      </c>
      <c r="M279" s="6">
        <v>161.3</v>
      </c>
      <c r="N279" s="6">
        <v>139.2</v>
      </c>
      <c r="O279" s="6">
        <v>164.8</v>
      </c>
      <c r="P279" s="6">
        <v>164.4</v>
      </c>
      <c r="Q279" s="6">
        <v>188.7</v>
      </c>
      <c r="R279" s="6">
        <v>150.5</v>
      </c>
      <c r="S279" s="6">
        <v>136.1</v>
      </c>
      <c r="T279" s="6">
        <v>148.3</v>
      </c>
      <c r="U279" s="6">
        <v>156.5</v>
      </c>
      <c r="V279" s="6">
        <v>137.1</v>
      </c>
      <c r="W279" s="6">
        <v>145.1</v>
      </c>
      <c r="X279" s="6">
        <v>151</v>
      </c>
      <c r="Y279" s="6">
        <v>135.4</v>
      </c>
      <c r="Z279" s="6">
        <v>142</v>
      </c>
      <c r="AA279" s="6">
        <v>155.7</v>
      </c>
      <c r="AB279" s="6">
        <v>158.1</v>
      </c>
      <c r="AC279" s="6">
        <v>146.2</v>
      </c>
      <c r="AD279" s="6">
        <v>155.2</v>
      </c>
      <c r="AE279" s="6" t="str">
        <f t="shared" si="4"/>
        <v>Urban|2020|October</v>
      </c>
    </row>
    <row r="280" spans="1:31">
      <c r="A280" s="6" t="s">
        <v>52</v>
      </c>
      <c r="B280" s="6">
        <v>2020</v>
      </c>
      <c r="C280" s="6" t="s">
        <v>61</v>
      </c>
      <c r="D280" s="6">
        <v>147.5</v>
      </c>
      <c r="E280" s="6">
        <v>188.9</v>
      </c>
      <c r="F280" s="6">
        <v>161.4</v>
      </c>
      <c r="G280" s="6">
        <v>153.6</v>
      </c>
      <c r="H280" s="6">
        <v>140.1</v>
      </c>
      <c r="I280" s="6">
        <v>151.2</v>
      </c>
      <c r="J280" s="6">
        <v>209.2</v>
      </c>
      <c r="K280" s="6">
        <v>150.9</v>
      </c>
      <c r="L280" s="6">
        <v>116.2</v>
      </c>
      <c r="M280" s="6">
        <v>161</v>
      </c>
      <c r="N280" s="6">
        <v>144</v>
      </c>
      <c r="O280" s="6">
        <v>163.2</v>
      </c>
      <c r="P280" s="6">
        <v>161.4</v>
      </c>
      <c r="Q280" s="6">
        <v>184.3</v>
      </c>
      <c r="R280" s="6">
        <v>153.7</v>
      </c>
      <c r="S280" s="6">
        <v>144.6</v>
      </c>
      <c r="T280" s="6">
        <v>152.3</v>
      </c>
      <c r="U280" s="6">
        <v>156.5</v>
      </c>
      <c r="V280" s="6">
        <v>143.1</v>
      </c>
      <c r="W280" s="6">
        <v>148.7</v>
      </c>
      <c r="X280" s="6">
        <v>156.3</v>
      </c>
      <c r="Y280" s="6">
        <v>140.6</v>
      </c>
      <c r="Z280" s="6">
        <v>146.5</v>
      </c>
      <c r="AA280" s="6">
        <v>158.5</v>
      </c>
      <c r="AB280" s="6">
        <v>157</v>
      </c>
      <c r="AC280" s="6">
        <v>150.4</v>
      </c>
      <c r="AD280" s="6">
        <v>156.4</v>
      </c>
      <c r="AE280" s="6" t="str">
        <f t="shared" si="4"/>
        <v>Rural+Urban|2020|October</v>
      </c>
    </row>
    <row r="281" spans="1:31">
      <c r="A281" s="6" t="s">
        <v>49</v>
      </c>
      <c r="B281" s="6">
        <v>2020</v>
      </c>
      <c r="C281" s="6" t="s">
        <v>62</v>
      </c>
      <c r="D281" s="6">
        <v>145.4</v>
      </c>
      <c r="E281" s="6">
        <v>188.6</v>
      </c>
      <c r="F281" s="6">
        <v>171.6</v>
      </c>
      <c r="G281" s="6">
        <v>153.8</v>
      </c>
      <c r="H281" s="6">
        <v>145.4</v>
      </c>
      <c r="I281" s="6">
        <v>146.5</v>
      </c>
      <c r="J281" s="6">
        <v>222.2</v>
      </c>
      <c r="K281" s="6">
        <v>155.9</v>
      </c>
      <c r="L281" s="6">
        <v>114.9</v>
      </c>
      <c r="M281" s="6">
        <v>162</v>
      </c>
      <c r="N281" s="6">
        <v>150</v>
      </c>
      <c r="O281" s="6">
        <v>162.7</v>
      </c>
      <c r="P281" s="6">
        <v>163.4</v>
      </c>
      <c r="Q281" s="6">
        <v>183.4</v>
      </c>
      <c r="R281" s="6">
        <v>156.3</v>
      </c>
      <c r="S281" s="6">
        <v>151</v>
      </c>
      <c r="T281" s="6">
        <v>155.5</v>
      </c>
      <c r="V281" s="6">
        <v>147.5</v>
      </c>
      <c r="W281" s="6">
        <v>152.8</v>
      </c>
      <c r="X281" s="6">
        <v>160.4</v>
      </c>
      <c r="Y281" s="6">
        <v>146.1</v>
      </c>
      <c r="Z281" s="6">
        <v>153.6</v>
      </c>
      <c r="AA281" s="6">
        <v>161.6</v>
      </c>
      <c r="AB281" s="6">
        <v>156.2</v>
      </c>
      <c r="AC281" s="6">
        <v>154.5</v>
      </c>
      <c r="AD281" s="6">
        <v>159.8</v>
      </c>
      <c r="AE281" s="6" t="str">
        <f t="shared" si="4"/>
        <v>Rural|2020|November</v>
      </c>
    </row>
    <row r="282" spans="1:31">
      <c r="A282" s="6" t="s">
        <v>51</v>
      </c>
      <c r="B282" s="6">
        <v>2020</v>
      </c>
      <c r="C282" s="6" t="s">
        <v>62</v>
      </c>
      <c r="D282" s="6">
        <v>149.7</v>
      </c>
      <c r="E282" s="6">
        <v>195.5</v>
      </c>
      <c r="F282" s="6">
        <v>176.9</v>
      </c>
      <c r="G282" s="6">
        <v>153.9</v>
      </c>
      <c r="H282" s="6">
        <v>138</v>
      </c>
      <c r="I282" s="6">
        <v>150.5</v>
      </c>
      <c r="J282" s="6">
        <v>245.3</v>
      </c>
      <c r="K282" s="6">
        <v>158.7</v>
      </c>
      <c r="L282" s="6">
        <v>117.2</v>
      </c>
      <c r="M282" s="6">
        <v>161.4</v>
      </c>
      <c r="N282" s="6">
        <v>141.5</v>
      </c>
      <c r="O282" s="6">
        <v>165.1</v>
      </c>
      <c r="P282" s="6">
        <v>167</v>
      </c>
      <c r="Q282" s="6">
        <v>188.8</v>
      </c>
      <c r="R282" s="6">
        <v>151.1</v>
      </c>
      <c r="S282" s="6">
        <v>136.4</v>
      </c>
      <c r="T282" s="6">
        <v>148.8</v>
      </c>
      <c r="U282" s="6">
        <v>158</v>
      </c>
      <c r="V282" s="6">
        <v>137.3</v>
      </c>
      <c r="W282" s="6">
        <v>145.1</v>
      </c>
      <c r="X282" s="6">
        <v>152</v>
      </c>
      <c r="Y282" s="6">
        <v>135.2</v>
      </c>
      <c r="Z282" s="6">
        <v>144.4</v>
      </c>
      <c r="AA282" s="6">
        <v>156.4</v>
      </c>
      <c r="AB282" s="6">
        <v>157.9</v>
      </c>
      <c r="AC282" s="6">
        <v>146.6</v>
      </c>
      <c r="AD282" s="6">
        <v>156.7</v>
      </c>
      <c r="AE282" s="6" t="str">
        <f t="shared" si="4"/>
        <v>Urban|2020|November</v>
      </c>
    </row>
    <row r="283" spans="1:31">
      <c r="A283" s="6" t="s">
        <v>52</v>
      </c>
      <c r="B283" s="6">
        <v>2020</v>
      </c>
      <c r="C283" s="6" t="s">
        <v>62</v>
      </c>
      <c r="D283" s="6">
        <v>146.8</v>
      </c>
      <c r="E283" s="6">
        <v>191</v>
      </c>
      <c r="F283" s="6">
        <v>173.6</v>
      </c>
      <c r="G283" s="6">
        <v>153.8</v>
      </c>
      <c r="H283" s="6">
        <v>142.7</v>
      </c>
      <c r="I283" s="6">
        <v>148.4</v>
      </c>
      <c r="J283" s="6">
        <v>230</v>
      </c>
      <c r="K283" s="6">
        <v>156.8</v>
      </c>
      <c r="L283" s="6">
        <v>115.7</v>
      </c>
      <c r="M283" s="6">
        <v>161.8</v>
      </c>
      <c r="N283" s="6">
        <v>146.5</v>
      </c>
      <c r="O283" s="6">
        <v>163.8</v>
      </c>
      <c r="P283" s="6">
        <v>164.7</v>
      </c>
      <c r="Q283" s="6">
        <v>184.8</v>
      </c>
      <c r="R283" s="6">
        <v>154.3</v>
      </c>
      <c r="S283" s="6">
        <v>144.9</v>
      </c>
      <c r="T283" s="6">
        <v>152.8</v>
      </c>
      <c r="U283" s="6">
        <v>158</v>
      </c>
      <c r="V283" s="6">
        <v>143.6</v>
      </c>
      <c r="W283" s="6">
        <v>149.2</v>
      </c>
      <c r="X283" s="6">
        <v>157.2</v>
      </c>
      <c r="Y283" s="6">
        <v>140.4</v>
      </c>
      <c r="Z283" s="6">
        <v>148.4</v>
      </c>
      <c r="AA283" s="6">
        <v>158.6</v>
      </c>
      <c r="AB283" s="6">
        <v>156.9</v>
      </c>
      <c r="AC283" s="6">
        <v>150.7</v>
      </c>
      <c r="AD283" s="6">
        <v>158.4</v>
      </c>
      <c r="AE283" s="6" t="str">
        <f t="shared" si="4"/>
        <v>Rural+Urban|2020|November</v>
      </c>
    </row>
    <row r="284" spans="1:31">
      <c r="A284" s="6" t="s">
        <v>49</v>
      </c>
      <c r="B284" s="6">
        <v>2020</v>
      </c>
      <c r="C284" s="6" t="s">
        <v>63</v>
      </c>
      <c r="D284" s="6">
        <v>144.6</v>
      </c>
      <c r="E284" s="6">
        <v>188.5</v>
      </c>
      <c r="F284" s="6">
        <v>173.4</v>
      </c>
      <c r="G284" s="6">
        <v>154</v>
      </c>
      <c r="H284" s="6">
        <v>150</v>
      </c>
      <c r="I284" s="6">
        <v>145.9</v>
      </c>
      <c r="J284" s="6">
        <v>225.2</v>
      </c>
      <c r="K284" s="6">
        <v>159.5</v>
      </c>
      <c r="L284" s="6">
        <v>114.4</v>
      </c>
      <c r="M284" s="6">
        <v>163.5</v>
      </c>
      <c r="N284" s="6">
        <v>153.4</v>
      </c>
      <c r="O284" s="6">
        <v>163.6</v>
      </c>
      <c r="P284" s="6">
        <v>164.5</v>
      </c>
      <c r="Q284" s="6">
        <v>183.6</v>
      </c>
      <c r="R284" s="6">
        <v>157</v>
      </c>
      <c r="S284" s="6">
        <v>151.6</v>
      </c>
      <c r="T284" s="6">
        <v>156.3</v>
      </c>
      <c r="V284" s="6">
        <v>148.7</v>
      </c>
      <c r="W284" s="6">
        <v>153.4</v>
      </c>
      <c r="X284" s="6">
        <v>161.6</v>
      </c>
      <c r="Y284" s="6">
        <v>146.4</v>
      </c>
      <c r="Z284" s="6">
        <v>153.9</v>
      </c>
      <c r="AA284" s="6">
        <v>162.9</v>
      </c>
      <c r="AB284" s="6">
        <v>156.6</v>
      </c>
      <c r="AC284" s="6">
        <v>155.2</v>
      </c>
      <c r="AD284" s="6">
        <v>160.7</v>
      </c>
      <c r="AE284" s="6" t="str">
        <f t="shared" si="4"/>
        <v>Rural|2020|December</v>
      </c>
    </row>
    <row r="285" spans="1:31">
      <c r="A285" s="6" t="s">
        <v>51</v>
      </c>
      <c r="B285" s="6">
        <v>2020</v>
      </c>
      <c r="C285" s="6" t="s">
        <v>63</v>
      </c>
      <c r="D285" s="6">
        <v>149</v>
      </c>
      <c r="E285" s="6">
        <v>195.7</v>
      </c>
      <c r="F285" s="6">
        <v>178.3</v>
      </c>
      <c r="G285" s="6">
        <v>154.2</v>
      </c>
      <c r="H285" s="6">
        <v>140.7</v>
      </c>
      <c r="I285" s="6">
        <v>149.7</v>
      </c>
      <c r="J285" s="6">
        <v>240.9</v>
      </c>
      <c r="K285" s="6">
        <v>161.5</v>
      </c>
      <c r="L285" s="6">
        <v>117.1</v>
      </c>
      <c r="M285" s="6">
        <v>161.9</v>
      </c>
      <c r="N285" s="6">
        <v>143.3</v>
      </c>
      <c r="O285" s="6">
        <v>166.1</v>
      </c>
      <c r="P285" s="6">
        <v>167</v>
      </c>
      <c r="Q285" s="6">
        <v>190.2</v>
      </c>
      <c r="R285" s="6">
        <v>151.9</v>
      </c>
      <c r="S285" s="6">
        <v>136.7</v>
      </c>
      <c r="T285" s="6">
        <v>149.6</v>
      </c>
      <c r="U285" s="6">
        <v>158.4</v>
      </c>
      <c r="V285" s="6">
        <v>137.9</v>
      </c>
      <c r="W285" s="6">
        <v>145.5</v>
      </c>
      <c r="X285" s="6">
        <v>152.9</v>
      </c>
      <c r="Y285" s="6">
        <v>135.5</v>
      </c>
      <c r="Z285" s="6">
        <v>144.3</v>
      </c>
      <c r="AA285" s="6">
        <v>156.9</v>
      </c>
      <c r="AB285" s="6">
        <v>157.9</v>
      </c>
      <c r="AC285" s="6">
        <v>146.9</v>
      </c>
      <c r="AD285" s="6">
        <v>156.9</v>
      </c>
      <c r="AE285" s="6" t="str">
        <f t="shared" si="4"/>
        <v>Urban|2020|December</v>
      </c>
    </row>
    <row r="286" spans="1:31">
      <c r="A286" s="6" t="s">
        <v>52</v>
      </c>
      <c r="B286" s="6">
        <v>2020</v>
      </c>
      <c r="C286" s="6" t="s">
        <v>63</v>
      </c>
      <c r="D286" s="6">
        <v>146</v>
      </c>
      <c r="E286" s="6">
        <v>191</v>
      </c>
      <c r="F286" s="6">
        <v>175.3</v>
      </c>
      <c r="G286" s="6">
        <v>154.1</v>
      </c>
      <c r="H286" s="6">
        <v>146.6</v>
      </c>
      <c r="I286" s="6">
        <v>147.7</v>
      </c>
      <c r="J286" s="6">
        <v>230.5</v>
      </c>
      <c r="K286" s="6">
        <v>160.2</v>
      </c>
      <c r="L286" s="6">
        <v>115.3</v>
      </c>
      <c r="M286" s="6">
        <v>163</v>
      </c>
      <c r="N286" s="6">
        <v>149.2</v>
      </c>
      <c r="O286" s="6">
        <v>164.8</v>
      </c>
      <c r="P286" s="6">
        <v>165.4</v>
      </c>
      <c r="Q286" s="6">
        <v>185.4</v>
      </c>
      <c r="R286" s="6">
        <v>155</v>
      </c>
      <c r="S286" s="6">
        <v>145.4</v>
      </c>
      <c r="T286" s="6">
        <v>153.6</v>
      </c>
      <c r="U286" s="6">
        <v>158.4</v>
      </c>
      <c r="V286" s="6">
        <v>144.6</v>
      </c>
      <c r="W286" s="6">
        <v>149.7</v>
      </c>
      <c r="X286" s="6">
        <v>158.3</v>
      </c>
      <c r="Y286" s="6">
        <v>140.7</v>
      </c>
      <c r="Z286" s="6">
        <v>148.5</v>
      </c>
      <c r="AA286" s="6">
        <v>159.4</v>
      </c>
      <c r="AB286" s="6">
        <v>157.1</v>
      </c>
      <c r="AC286" s="6">
        <v>151.2</v>
      </c>
      <c r="AD286" s="6">
        <v>158.9</v>
      </c>
      <c r="AE286" s="6" t="str">
        <f t="shared" si="4"/>
        <v>Rural+Urban|2020|December</v>
      </c>
    </row>
    <row r="287" spans="1:31">
      <c r="A287" s="6" t="s">
        <v>49</v>
      </c>
      <c r="B287" s="6">
        <v>2021</v>
      </c>
      <c r="C287" s="6" t="s">
        <v>50</v>
      </c>
      <c r="D287" s="6">
        <v>143.4</v>
      </c>
      <c r="E287" s="6">
        <v>187.5</v>
      </c>
      <c r="F287" s="6">
        <v>173.4</v>
      </c>
      <c r="G287" s="6">
        <v>154</v>
      </c>
      <c r="H287" s="6">
        <v>154.8</v>
      </c>
      <c r="I287" s="6">
        <v>147</v>
      </c>
      <c r="J287" s="6">
        <v>187.8</v>
      </c>
      <c r="K287" s="6">
        <v>159.5</v>
      </c>
      <c r="L287" s="6">
        <v>113.8</v>
      </c>
      <c r="M287" s="6">
        <v>164.5</v>
      </c>
      <c r="N287" s="6">
        <v>156.1</v>
      </c>
      <c r="O287" s="6">
        <v>164.3</v>
      </c>
      <c r="P287" s="6">
        <v>159.6</v>
      </c>
      <c r="Q287" s="6">
        <v>184.6</v>
      </c>
      <c r="R287" s="6">
        <v>157.5</v>
      </c>
      <c r="S287" s="6">
        <v>152.4</v>
      </c>
      <c r="T287" s="6">
        <v>156.8</v>
      </c>
      <c r="V287" s="6">
        <v>150.9</v>
      </c>
      <c r="W287" s="6">
        <v>153.9</v>
      </c>
      <c r="X287" s="6">
        <v>162.5</v>
      </c>
      <c r="Y287" s="6">
        <v>147.5</v>
      </c>
      <c r="Z287" s="6">
        <v>155.1</v>
      </c>
      <c r="AA287" s="6">
        <v>163.5</v>
      </c>
      <c r="AB287" s="6">
        <v>156.2</v>
      </c>
      <c r="AC287" s="6">
        <v>155.9</v>
      </c>
      <c r="AD287" s="6">
        <v>158.5</v>
      </c>
      <c r="AE287" s="6" t="str">
        <f t="shared" si="4"/>
        <v>Rural|2021|January</v>
      </c>
    </row>
    <row r="288" spans="1:31">
      <c r="A288" s="6" t="s">
        <v>51</v>
      </c>
      <c r="B288" s="6">
        <v>2021</v>
      </c>
      <c r="C288" s="6" t="s">
        <v>50</v>
      </c>
      <c r="D288" s="6">
        <v>148</v>
      </c>
      <c r="E288" s="6">
        <v>194.8</v>
      </c>
      <c r="F288" s="6">
        <v>178.4</v>
      </c>
      <c r="G288" s="6">
        <v>154.4</v>
      </c>
      <c r="H288" s="6">
        <v>144.1</v>
      </c>
      <c r="I288" s="6">
        <v>152.6</v>
      </c>
      <c r="J288" s="6">
        <v>206.8</v>
      </c>
      <c r="K288" s="6">
        <v>162.1</v>
      </c>
      <c r="L288" s="6">
        <v>116.3</v>
      </c>
      <c r="M288" s="6">
        <v>163</v>
      </c>
      <c r="N288" s="6">
        <v>145.9</v>
      </c>
      <c r="O288" s="6">
        <v>167.2</v>
      </c>
      <c r="P288" s="6">
        <v>163.4</v>
      </c>
      <c r="Q288" s="6">
        <v>191.8</v>
      </c>
      <c r="R288" s="6">
        <v>152.5</v>
      </c>
      <c r="S288" s="6">
        <v>137.3</v>
      </c>
      <c r="T288" s="6">
        <v>150.2</v>
      </c>
      <c r="U288" s="6">
        <v>157.7</v>
      </c>
      <c r="V288" s="6">
        <v>142.9</v>
      </c>
      <c r="W288" s="6">
        <v>145.7</v>
      </c>
      <c r="X288" s="6">
        <v>154.1</v>
      </c>
      <c r="Y288" s="6">
        <v>136.9</v>
      </c>
      <c r="Z288" s="6">
        <v>145.4</v>
      </c>
      <c r="AA288" s="6">
        <v>156.1</v>
      </c>
      <c r="AB288" s="6">
        <v>157.7</v>
      </c>
      <c r="AC288" s="6">
        <v>147.6</v>
      </c>
      <c r="AD288" s="6">
        <v>156</v>
      </c>
      <c r="AE288" s="6" t="str">
        <f t="shared" si="4"/>
        <v>Urban|2021|January</v>
      </c>
    </row>
    <row r="289" spans="1:31">
      <c r="A289" s="6" t="s">
        <v>52</v>
      </c>
      <c r="B289" s="6">
        <v>2021</v>
      </c>
      <c r="C289" s="6" t="s">
        <v>50</v>
      </c>
      <c r="D289" s="6">
        <v>144.9</v>
      </c>
      <c r="E289" s="6">
        <v>190.1</v>
      </c>
      <c r="F289" s="6">
        <v>175.3</v>
      </c>
      <c r="G289" s="6">
        <v>154.1</v>
      </c>
      <c r="H289" s="6">
        <v>150.9</v>
      </c>
      <c r="I289" s="6">
        <v>149.6</v>
      </c>
      <c r="J289" s="6">
        <v>194.2</v>
      </c>
      <c r="K289" s="6">
        <v>160.4</v>
      </c>
      <c r="L289" s="6">
        <v>114.6</v>
      </c>
      <c r="M289" s="6">
        <v>164</v>
      </c>
      <c r="N289" s="6">
        <v>151.8</v>
      </c>
      <c r="O289" s="6">
        <v>165.6</v>
      </c>
      <c r="P289" s="6">
        <v>161</v>
      </c>
      <c r="Q289" s="6">
        <v>186.5</v>
      </c>
      <c r="R289" s="6">
        <v>155.5</v>
      </c>
      <c r="S289" s="6">
        <v>146.1</v>
      </c>
      <c r="T289" s="6">
        <v>154.2</v>
      </c>
      <c r="U289" s="6">
        <v>157.7</v>
      </c>
      <c r="V289" s="6">
        <v>147.9</v>
      </c>
      <c r="W289" s="6">
        <v>150</v>
      </c>
      <c r="X289" s="6">
        <v>159.3</v>
      </c>
      <c r="Y289" s="6">
        <v>141.9</v>
      </c>
      <c r="Z289" s="6">
        <v>149.6</v>
      </c>
      <c r="AA289" s="6">
        <v>159.2</v>
      </c>
      <c r="AB289" s="6">
        <v>156.8</v>
      </c>
      <c r="AC289" s="6">
        <v>151.9</v>
      </c>
      <c r="AD289" s="6">
        <v>157.3</v>
      </c>
      <c r="AE289" s="6" t="str">
        <f t="shared" si="4"/>
        <v>Rural+Urban|2021|January</v>
      </c>
    </row>
    <row r="290" spans="1:31">
      <c r="A290" s="6" t="s">
        <v>49</v>
      </c>
      <c r="B290" s="6">
        <v>2021</v>
      </c>
      <c r="C290" s="6" t="s">
        <v>53</v>
      </c>
      <c r="D290" s="6">
        <v>142.8</v>
      </c>
      <c r="E290" s="6">
        <v>184</v>
      </c>
      <c r="F290" s="6">
        <v>168</v>
      </c>
      <c r="G290" s="6">
        <v>154.4</v>
      </c>
      <c r="H290" s="6">
        <v>163</v>
      </c>
      <c r="I290" s="6">
        <v>147.8</v>
      </c>
      <c r="J290" s="6">
        <v>149.7</v>
      </c>
      <c r="K290" s="6">
        <v>158.3</v>
      </c>
      <c r="L290" s="6">
        <v>111.8</v>
      </c>
      <c r="M290" s="6">
        <v>165</v>
      </c>
      <c r="N290" s="6">
        <v>160</v>
      </c>
      <c r="O290" s="6">
        <v>165.8</v>
      </c>
      <c r="P290" s="6">
        <v>154.7</v>
      </c>
      <c r="Q290" s="6">
        <v>186.5</v>
      </c>
      <c r="R290" s="6">
        <v>159.1</v>
      </c>
      <c r="S290" s="6">
        <v>153.9</v>
      </c>
      <c r="T290" s="6">
        <v>158.4</v>
      </c>
      <c r="V290" s="6">
        <v>154.4</v>
      </c>
      <c r="W290" s="6">
        <v>154.8</v>
      </c>
      <c r="X290" s="6">
        <v>164.3</v>
      </c>
      <c r="Y290" s="6">
        <v>150.2</v>
      </c>
      <c r="Z290" s="6">
        <v>157</v>
      </c>
      <c r="AA290" s="6">
        <v>163.6</v>
      </c>
      <c r="AB290" s="6">
        <v>155.2</v>
      </c>
      <c r="AC290" s="6">
        <v>157.2</v>
      </c>
      <c r="AD290" s="6">
        <v>156.7</v>
      </c>
      <c r="AE290" s="6" t="str">
        <f t="shared" si="4"/>
        <v>Rural|2021|February</v>
      </c>
    </row>
    <row r="291" spans="1:31">
      <c r="A291" s="6" t="s">
        <v>51</v>
      </c>
      <c r="B291" s="6">
        <v>2021</v>
      </c>
      <c r="C291" s="6" t="s">
        <v>53</v>
      </c>
      <c r="D291" s="6">
        <v>147.6</v>
      </c>
      <c r="E291" s="6">
        <v>191.2</v>
      </c>
      <c r="F291" s="6">
        <v>169.9</v>
      </c>
      <c r="G291" s="6">
        <v>155.1</v>
      </c>
      <c r="H291" s="6">
        <v>151.4</v>
      </c>
      <c r="I291" s="6">
        <v>154</v>
      </c>
      <c r="J291" s="6">
        <v>180.2</v>
      </c>
      <c r="K291" s="6">
        <v>159.8</v>
      </c>
      <c r="L291" s="6">
        <v>114.9</v>
      </c>
      <c r="M291" s="6">
        <v>162.5</v>
      </c>
      <c r="N291" s="6">
        <v>149.2</v>
      </c>
      <c r="O291" s="6">
        <v>169.4</v>
      </c>
      <c r="P291" s="6">
        <v>160.8</v>
      </c>
      <c r="Q291" s="6">
        <v>193.3</v>
      </c>
      <c r="R291" s="6">
        <v>154.2</v>
      </c>
      <c r="S291" s="6">
        <v>138.2</v>
      </c>
      <c r="T291" s="6">
        <v>151.8</v>
      </c>
      <c r="U291" s="6">
        <v>159.8</v>
      </c>
      <c r="V291" s="6">
        <v>149.1</v>
      </c>
      <c r="W291" s="6">
        <v>146.5</v>
      </c>
      <c r="X291" s="6">
        <v>156.3</v>
      </c>
      <c r="Y291" s="6">
        <v>140.5</v>
      </c>
      <c r="Z291" s="6">
        <v>147.3</v>
      </c>
      <c r="AA291" s="6">
        <v>156.6</v>
      </c>
      <c r="AB291" s="6">
        <v>156.7</v>
      </c>
      <c r="AC291" s="6">
        <v>149.3</v>
      </c>
      <c r="AD291" s="6">
        <v>156.5</v>
      </c>
      <c r="AE291" s="6" t="str">
        <f t="shared" si="4"/>
        <v>Urban|2021|February</v>
      </c>
    </row>
    <row r="292" spans="1:31">
      <c r="A292" s="6" t="s">
        <v>52</v>
      </c>
      <c r="B292" s="6">
        <v>2021</v>
      </c>
      <c r="C292" s="6" t="s">
        <v>53</v>
      </c>
      <c r="D292" s="6">
        <v>144.3</v>
      </c>
      <c r="E292" s="6">
        <v>186.5</v>
      </c>
      <c r="F292" s="6">
        <v>168.7</v>
      </c>
      <c r="G292" s="6">
        <v>154.7</v>
      </c>
      <c r="H292" s="6">
        <v>158.7</v>
      </c>
      <c r="I292" s="6">
        <v>150.7</v>
      </c>
      <c r="J292" s="6">
        <v>160</v>
      </c>
      <c r="K292" s="6">
        <v>158.8</v>
      </c>
      <c r="L292" s="6">
        <v>112.8</v>
      </c>
      <c r="M292" s="6">
        <v>164.2</v>
      </c>
      <c r="N292" s="6">
        <v>155.5</v>
      </c>
      <c r="O292" s="6">
        <v>167.5</v>
      </c>
      <c r="P292" s="6">
        <v>156.9</v>
      </c>
      <c r="Q292" s="6">
        <v>188.3</v>
      </c>
      <c r="R292" s="6">
        <v>157.2</v>
      </c>
      <c r="S292" s="6">
        <v>147.4</v>
      </c>
      <c r="T292" s="6">
        <v>155.8</v>
      </c>
      <c r="U292" s="6">
        <v>159.8</v>
      </c>
      <c r="V292" s="6">
        <v>152.4</v>
      </c>
      <c r="W292" s="6">
        <v>150.9</v>
      </c>
      <c r="X292" s="6">
        <v>161.3</v>
      </c>
      <c r="Y292" s="6">
        <v>145.1</v>
      </c>
      <c r="Z292" s="6">
        <v>151.5</v>
      </c>
      <c r="AA292" s="6">
        <v>159.5</v>
      </c>
      <c r="AB292" s="6">
        <v>155.8</v>
      </c>
      <c r="AC292" s="6">
        <v>153.4</v>
      </c>
      <c r="AD292" s="6">
        <v>156.6</v>
      </c>
      <c r="AE292" s="6" t="str">
        <f t="shared" si="4"/>
        <v>Rural+Urban|2021|February</v>
      </c>
    </row>
    <row r="293" spans="1:31">
      <c r="A293" s="6" t="s">
        <v>49</v>
      </c>
      <c r="B293" s="6">
        <v>2021</v>
      </c>
      <c r="C293" s="6" t="s">
        <v>54</v>
      </c>
      <c r="D293" s="6">
        <v>142.5</v>
      </c>
      <c r="E293" s="6">
        <v>189.4</v>
      </c>
      <c r="F293" s="6">
        <v>163.2</v>
      </c>
      <c r="G293" s="6">
        <v>154.5</v>
      </c>
      <c r="H293" s="6">
        <v>168.2</v>
      </c>
      <c r="I293" s="6">
        <v>150.5</v>
      </c>
      <c r="J293" s="6">
        <v>141</v>
      </c>
      <c r="K293" s="6">
        <v>159.2</v>
      </c>
      <c r="L293" s="6">
        <v>111.7</v>
      </c>
      <c r="M293" s="6">
        <v>164</v>
      </c>
      <c r="N293" s="6">
        <v>160.6</v>
      </c>
      <c r="O293" s="6">
        <v>166.4</v>
      </c>
      <c r="P293" s="6">
        <v>154.5</v>
      </c>
      <c r="Q293" s="6">
        <v>186.1</v>
      </c>
      <c r="R293" s="6">
        <v>159.6</v>
      </c>
      <c r="S293" s="6">
        <v>154.4</v>
      </c>
      <c r="T293" s="6">
        <v>158.9</v>
      </c>
      <c r="V293" s="6">
        <v>156</v>
      </c>
      <c r="W293" s="6">
        <v>154.8</v>
      </c>
      <c r="X293" s="6">
        <v>164.6</v>
      </c>
      <c r="Y293" s="6">
        <v>151.3</v>
      </c>
      <c r="Z293" s="6">
        <v>157.8</v>
      </c>
      <c r="AA293" s="6">
        <v>163.8</v>
      </c>
      <c r="AB293" s="6">
        <v>153.1</v>
      </c>
      <c r="AC293" s="6">
        <v>157.3</v>
      </c>
      <c r="AD293" s="6">
        <v>156.7</v>
      </c>
      <c r="AE293" s="6" t="str">
        <f t="shared" si="4"/>
        <v>Rural|2021|March</v>
      </c>
    </row>
    <row r="294" spans="1:31">
      <c r="A294" s="6" t="s">
        <v>51</v>
      </c>
      <c r="B294" s="6">
        <v>2021</v>
      </c>
      <c r="C294" s="6" t="s">
        <v>54</v>
      </c>
      <c r="D294" s="6">
        <v>147.5</v>
      </c>
      <c r="E294" s="6">
        <v>197.5</v>
      </c>
      <c r="F294" s="6">
        <v>164.7</v>
      </c>
      <c r="G294" s="6">
        <v>155.6</v>
      </c>
      <c r="H294" s="6">
        <v>156.4</v>
      </c>
      <c r="I294" s="6">
        <v>157.3</v>
      </c>
      <c r="J294" s="6">
        <v>166.1</v>
      </c>
      <c r="K294" s="6">
        <v>161.1</v>
      </c>
      <c r="L294" s="6">
        <v>114.3</v>
      </c>
      <c r="M294" s="6">
        <v>162.6</v>
      </c>
      <c r="N294" s="6">
        <v>150.7</v>
      </c>
      <c r="O294" s="6">
        <v>170.3</v>
      </c>
      <c r="P294" s="6">
        <v>160.4</v>
      </c>
      <c r="Q294" s="6">
        <v>193.5</v>
      </c>
      <c r="R294" s="6">
        <v>155.1</v>
      </c>
      <c r="S294" s="6">
        <v>138.7</v>
      </c>
      <c r="T294" s="6">
        <v>152.6</v>
      </c>
      <c r="U294" s="6">
        <v>159.9</v>
      </c>
      <c r="V294" s="6">
        <v>154.8</v>
      </c>
      <c r="W294" s="6">
        <v>147.2</v>
      </c>
      <c r="X294" s="6">
        <v>156.9</v>
      </c>
      <c r="Y294" s="6">
        <v>141.7</v>
      </c>
      <c r="Z294" s="6">
        <v>148.6</v>
      </c>
      <c r="AA294" s="6">
        <v>157.6</v>
      </c>
      <c r="AB294" s="6">
        <v>154.9</v>
      </c>
      <c r="AC294" s="6">
        <v>150</v>
      </c>
      <c r="AD294" s="6">
        <v>156.9</v>
      </c>
      <c r="AE294" s="6" t="str">
        <f t="shared" si="4"/>
        <v>Urban|2021|March</v>
      </c>
    </row>
    <row r="295" spans="1:31">
      <c r="A295" s="6" t="s">
        <v>52</v>
      </c>
      <c r="B295" s="6">
        <v>2021</v>
      </c>
      <c r="C295" s="6" t="s">
        <v>54</v>
      </c>
      <c r="D295" s="6">
        <v>144.1</v>
      </c>
      <c r="E295" s="6">
        <v>192.2</v>
      </c>
      <c r="F295" s="6">
        <v>163.8</v>
      </c>
      <c r="G295" s="6">
        <v>154.9</v>
      </c>
      <c r="H295" s="6">
        <v>163.9</v>
      </c>
      <c r="I295" s="6">
        <v>153.7</v>
      </c>
      <c r="J295" s="6">
        <v>149.5</v>
      </c>
      <c r="K295" s="6">
        <v>159.8</v>
      </c>
      <c r="L295" s="6">
        <v>112.6</v>
      </c>
      <c r="M295" s="6">
        <v>163.5</v>
      </c>
      <c r="N295" s="6">
        <v>156.5</v>
      </c>
      <c r="O295" s="6">
        <v>168.2</v>
      </c>
      <c r="P295" s="6">
        <v>156.7</v>
      </c>
      <c r="Q295" s="6">
        <v>188.1</v>
      </c>
      <c r="R295" s="6">
        <v>157.8</v>
      </c>
      <c r="S295" s="6">
        <v>147.9</v>
      </c>
      <c r="T295" s="6">
        <v>156.4</v>
      </c>
      <c r="U295" s="6">
        <v>159.9</v>
      </c>
      <c r="V295" s="6">
        <v>155.5</v>
      </c>
      <c r="W295" s="6">
        <v>151.2</v>
      </c>
      <c r="X295" s="6">
        <v>161.7</v>
      </c>
      <c r="Y295" s="6">
        <v>146.2</v>
      </c>
      <c r="Z295" s="6">
        <v>152.6</v>
      </c>
      <c r="AA295" s="6">
        <v>160.2</v>
      </c>
      <c r="AB295" s="6">
        <v>153.8</v>
      </c>
      <c r="AC295" s="6">
        <v>153.8</v>
      </c>
      <c r="AD295" s="6">
        <v>156.8</v>
      </c>
      <c r="AE295" s="6" t="str">
        <f t="shared" si="4"/>
        <v>Rural+Urban|2021|March</v>
      </c>
    </row>
    <row r="296" spans="1:31">
      <c r="A296" s="6" t="s">
        <v>49</v>
      </c>
      <c r="B296" s="6">
        <v>2021</v>
      </c>
      <c r="C296" s="6" t="s">
        <v>55</v>
      </c>
      <c r="D296" s="6">
        <v>142.7</v>
      </c>
      <c r="E296" s="6">
        <v>195.5</v>
      </c>
      <c r="F296" s="6">
        <v>163.4</v>
      </c>
      <c r="G296" s="6">
        <v>155</v>
      </c>
      <c r="H296" s="6">
        <v>175.2</v>
      </c>
      <c r="I296" s="6">
        <v>160.6</v>
      </c>
      <c r="J296" s="6">
        <v>135.1</v>
      </c>
      <c r="K296" s="6">
        <v>161.1</v>
      </c>
      <c r="L296" s="6">
        <v>112.2</v>
      </c>
      <c r="M296" s="6">
        <v>164.4</v>
      </c>
      <c r="N296" s="6">
        <v>161.9</v>
      </c>
      <c r="O296" s="6">
        <v>166.8</v>
      </c>
      <c r="P296" s="6">
        <v>155.6</v>
      </c>
      <c r="Q296" s="6">
        <v>186.8</v>
      </c>
      <c r="R296" s="6">
        <v>160.7</v>
      </c>
      <c r="S296" s="6">
        <v>155.1</v>
      </c>
      <c r="T296" s="6">
        <v>159.9</v>
      </c>
      <c r="V296" s="6">
        <v>156</v>
      </c>
      <c r="W296" s="6">
        <v>155.5</v>
      </c>
      <c r="X296" s="6">
        <v>165.3</v>
      </c>
      <c r="Y296" s="6">
        <v>151.7</v>
      </c>
      <c r="Z296" s="6">
        <v>158.6</v>
      </c>
      <c r="AA296" s="6">
        <v>164.1</v>
      </c>
      <c r="AB296" s="6">
        <v>154.6</v>
      </c>
      <c r="AC296" s="6">
        <v>158</v>
      </c>
      <c r="AD296" s="6">
        <v>157.6</v>
      </c>
      <c r="AE296" s="6" t="str">
        <f t="shared" si="4"/>
        <v>Rural|2021|April</v>
      </c>
    </row>
    <row r="297" spans="1:31">
      <c r="A297" s="6" t="s">
        <v>51</v>
      </c>
      <c r="B297" s="6">
        <v>2021</v>
      </c>
      <c r="C297" s="6" t="s">
        <v>55</v>
      </c>
      <c r="D297" s="6">
        <v>147.6</v>
      </c>
      <c r="E297" s="6">
        <v>202.5</v>
      </c>
      <c r="F297" s="6">
        <v>166.4</v>
      </c>
      <c r="G297" s="6">
        <v>156</v>
      </c>
      <c r="H297" s="6">
        <v>161.4</v>
      </c>
      <c r="I297" s="6">
        <v>168.8</v>
      </c>
      <c r="J297" s="6">
        <v>161.6</v>
      </c>
      <c r="K297" s="6">
        <v>162.8</v>
      </c>
      <c r="L297" s="6">
        <v>114.8</v>
      </c>
      <c r="M297" s="6">
        <v>162.8</v>
      </c>
      <c r="N297" s="6">
        <v>151.5</v>
      </c>
      <c r="O297" s="6">
        <v>171.4</v>
      </c>
      <c r="P297" s="6">
        <v>162</v>
      </c>
      <c r="Q297" s="6">
        <v>194.4</v>
      </c>
      <c r="R297" s="6">
        <v>155.9</v>
      </c>
      <c r="S297" s="6">
        <v>139.3</v>
      </c>
      <c r="T297" s="6">
        <v>153.4</v>
      </c>
      <c r="U297" s="6">
        <v>161.4</v>
      </c>
      <c r="V297" s="6">
        <v>154.9</v>
      </c>
      <c r="W297" s="6">
        <v>147.6</v>
      </c>
      <c r="X297" s="6">
        <v>157.5</v>
      </c>
      <c r="Y297" s="6">
        <v>142.1</v>
      </c>
      <c r="Z297" s="6">
        <v>149.1</v>
      </c>
      <c r="AA297" s="6">
        <v>157.6</v>
      </c>
      <c r="AB297" s="6">
        <v>156.6</v>
      </c>
      <c r="AC297" s="6">
        <v>150.5</v>
      </c>
      <c r="AD297" s="6">
        <v>158</v>
      </c>
      <c r="AE297" s="6" t="str">
        <f t="shared" si="4"/>
        <v>Urban|2021|April</v>
      </c>
    </row>
    <row r="298" spans="1:31">
      <c r="A298" s="6" t="s">
        <v>52</v>
      </c>
      <c r="B298" s="6">
        <v>2021</v>
      </c>
      <c r="C298" s="6" t="s">
        <v>55</v>
      </c>
      <c r="D298" s="6">
        <v>144.3</v>
      </c>
      <c r="E298" s="6">
        <v>198</v>
      </c>
      <c r="F298" s="6">
        <v>164.6</v>
      </c>
      <c r="G298" s="6">
        <v>155.4</v>
      </c>
      <c r="H298" s="6">
        <v>170.1</v>
      </c>
      <c r="I298" s="6">
        <v>164.4</v>
      </c>
      <c r="J298" s="6">
        <v>144.1</v>
      </c>
      <c r="K298" s="6">
        <v>161.7</v>
      </c>
      <c r="L298" s="6">
        <v>113.1</v>
      </c>
      <c r="M298" s="6">
        <v>163.9</v>
      </c>
      <c r="N298" s="6">
        <v>157.6</v>
      </c>
      <c r="O298" s="6">
        <v>168.9</v>
      </c>
      <c r="P298" s="6">
        <v>158</v>
      </c>
      <c r="Q298" s="6">
        <v>188.8</v>
      </c>
      <c r="R298" s="6">
        <v>158.8</v>
      </c>
      <c r="S298" s="6">
        <v>148.5</v>
      </c>
      <c r="T298" s="6">
        <v>157.3</v>
      </c>
      <c r="U298" s="6">
        <v>161.4</v>
      </c>
      <c r="V298" s="6">
        <v>155.6</v>
      </c>
      <c r="W298" s="6">
        <v>151.8</v>
      </c>
      <c r="X298" s="6">
        <v>162.3</v>
      </c>
      <c r="Y298" s="6">
        <v>146.6</v>
      </c>
      <c r="Z298" s="6">
        <v>153.2</v>
      </c>
      <c r="AA298" s="6">
        <v>160.3</v>
      </c>
      <c r="AB298" s="6">
        <v>155.4</v>
      </c>
      <c r="AC298" s="6">
        <v>154.4</v>
      </c>
      <c r="AD298" s="6">
        <v>157.8</v>
      </c>
      <c r="AE298" s="6" t="str">
        <f t="shared" si="4"/>
        <v>Rural+Urban|2021|April</v>
      </c>
    </row>
    <row r="299" spans="1:31">
      <c r="A299" s="6" t="s">
        <v>49</v>
      </c>
      <c r="B299" s="6">
        <v>2021</v>
      </c>
      <c r="C299" s="6" t="s">
        <v>56</v>
      </c>
      <c r="D299" s="6">
        <v>145.1</v>
      </c>
      <c r="E299" s="6">
        <v>198.5</v>
      </c>
      <c r="F299" s="6">
        <v>168.6</v>
      </c>
      <c r="G299" s="6">
        <v>155.8</v>
      </c>
      <c r="H299" s="6">
        <v>184.4</v>
      </c>
      <c r="I299" s="6">
        <v>162.3</v>
      </c>
      <c r="J299" s="6">
        <v>138.4</v>
      </c>
      <c r="K299" s="6">
        <v>165.1</v>
      </c>
      <c r="L299" s="6">
        <v>114.3</v>
      </c>
      <c r="M299" s="6">
        <v>169.7</v>
      </c>
      <c r="N299" s="6">
        <v>164.6</v>
      </c>
      <c r="O299" s="6">
        <v>169.8</v>
      </c>
      <c r="P299" s="6">
        <v>158.7</v>
      </c>
      <c r="Q299" s="6">
        <v>189.6</v>
      </c>
      <c r="R299" s="6">
        <v>165.3</v>
      </c>
      <c r="S299" s="6">
        <v>160.6</v>
      </c>
      <c r="T299" s="6">
        <v>164.5</v>
      </c>
      <c r="V299" s="6">
        <v>161.7</v>
      </c>
      <c r="W299" s="6">
        <v>158.8</v>
      </c>
      <c r="X299" s="6">
        <v>169.1</v>
      </c>
      <c r="Y299" s="6">
        <v>153.2</v>
      </c>
      <c r="Z299" s="6">
        <v>160</v>
      </c>
      <c r="AA299" s="6">
        <v>167.6</v>
      </c>
      <c r="AB299" s="6">
        <v>159.3</v>
      </c>
      <c r="AC299" s="6">
        <v>161.1</v>
      </c>
      <c r="AD299" s="6">
        <v>161.1</v>
      </c>
      <c r="AE299" s="6" t="str">
        <f t="shared" si="4"/>
        <v>Rural|2021|May</v>
      </c>
    </row>
    <row r="300" spans="1:31">
      <c r="A300" s="6" t="s">
        <v>51</v>
      </c>
      <c r="B300" s="6">
        <v>2021</v>
      </c>
      <c r="C300" s="6" t="s">
        <v>56</v>
      </c>
      <c r="D300" s="6">
        <v>148.8</v>
      </c>
      <c r="E300" s="6">
        <v>204.3</v>
      </c>
      <c r="F300" s="6">
        <v>173</v>
      </c>
      <c r="G300" s="6">
        <v>156.5</v>
      </c>
      <c r="H300" s="6">
        <v>168.8</v>
      </c>
      <c r="I300" s="6">
        <v>172.5</v>
      </c>
      <c r="J300" s="6">
        <v>166.5</v>
      </c>
      <c r="K300" s="6">
        <v>165.9</v>
      </c>
      <c r="L300" s="6">
        <v>115.9</v>
      </c>
      <c r="M300" s="6">
        <v>165.2</v>
      </c>
      <c r="N300" s="6">
        <v>152</v>
      </c>
      <c r="O300" s="6">
        <v>171.1</v>
      </c>
      <c r="P300" s="6">
        <v>164.2</v>
      </c>
      <c r="Q300" s="6">
        <v>198.2</v>
      </c>
      <c r="R300" s="6">
        <v>156.5</v>
      </c>
      <c r="S300" s="6">
        <v>140.2</v>
      </c>
      <c r="T300" s="6">
        <v>154.1</v>
      </c>
      <c r="U300" s="6">
        <v>161.6</v>
      </c>
      <c r="V300" s="6">
        <v>155.5</v>
      </c>
      <c r="W300" s="6">
        <v>150.1</v>
      </c>
      <c r="X300" s="6">
        <v>160.4</v>
      </c>
      <c r="Y300" s="6">
        <v>145</v>
      </c>
      <c r="Z300" s="6">
        <v>152.6</v>
      </c>
      <c r="AA300" s="6">
        <v>156.6</v>
      </c>
      <c r="AB300" s="6">
        <v>157.5</v>
      </c>
      <c r="AC300" s="6">
        <v>152.3</v>
      </c>
      <c r="AD300" s="6">
        <v>159.5</v>
      </c>
      <c r="AE300" s="6" t="str">
        <f t="shared" si="4"/>
        <v>Urban|2021|May</v>
      </c>
    </row>
    <row r="301" spans="1:31">
      <c r="A301" s="6" t="s">
        <v>52</v>
      </c>
      <c r="B301" s="6">
        <v>2021</v>
      </c>
      <c r="C301" s="6" t="s">
        <v>56</v>
      </c>
      <c r="D301" s="6">
        <v>146.3</v>
      </c>
      <c r="E301" s="6">
        <v>200.5</v>
      </c>
      <c r="F301" s="6">
        <v>170.3</v>
      </c>
      <c r="G301" s="6">
        <v>156.1</v>
      </c>
      <c r="H301" s="6">
        <v>178.7</v>
      </c>
      <c r="I301" s="6">
        <v>167.1</v>
      </c>
      <c r="J301" s="6">
        <v>147.9</v>
      </c>
      <c r="K301" s="6">
        <v>165.4</v>
      </c>
      <c r="L301" s="6">
        <v>114.8</v>
      </c>
      <c r="M301" s="6">
        <v>168.2</v>
      </c>
      <c r="N301" s="6">
        <v>159.3</v>
      </c>
      <c r="O301" s="6">
        <v>170.4</v>
      </c>
      <c r="P301" s="6">
        <v>160.7</v>
      </c>
      <c r="Q301" s="6">
        <v>191.9</v>
      </c>
      <c r="R301" s="6">
        <v>161.8</v>
      </c>
      <c r="S301" s="6">
        <v>152.1</v>
      </c>
      <c r="T301" s="6">
        <v>160.4</v>
      </c>
      <c r="U301" s="6">
        <v>161.6</v>
      </c>
      <c r="V301" s="6">
        <v>159.4</v>
      </c>
      <c r="W301" s="6">
        <v>154.7</v>
      </c>
      <c r="X301" s="6">
        <v>165.8</v>
      </c>
      <c r="Y301" s="6">
        <v>148.9</v>
      </c>
      <c r="Z301" s="6">
        <v>155.8</v>
      </c>
      <c r="AA301" s="6">
        <v>161.2</v>
      </c>
      <c r="AB301" s="6">
        <v>158.6</v>
      </c>
      <c r="AC301" s="6">
        <v>156.8</v>
      </c>
      <c r="AD301" s="6">
        <v>160.4</v>
      </c>
      <c r="AE301" s="6" t="str">
        <f t="shared" si="4"/>
        <v>Rural+Urban|2021|May</v>
      </c>
    </row>
    <row r="302" spans="1:31">
      <c r="A302" s="6" t="s">
        <v>49</v>
      </c>
      <c r="B302" s="6">
        <v>2021</v>
      </c>
      <c r="C302" s="6" t="s">
        <v>57</v>
      </c>
      <c r="D302" s="6">
        <v>145.6</v>
      </c>
      <c r="E302" s="6">
        <v>200.1</v>
      </c>
      <c r="F302" s="6">
        <v>179.3</v>
      </c>
      <c r="G302" s="6">
        <v>156.1</v>
      </c>
      <c r="H302" s="6">
        <v>190.4</v>
      </c>
      <c r="I302" s="6">
        <v>158.6</v>
      </c>
      <c r="J302" s="6">
        <v>144.7</v>
      </c>
      <c r="K302" s="6">
        <v>165.5</v>
      </c>
      <c r="L302" s="6">
        <v>114.6</v>
      </c>
      <c r="M302" s="6">
        <v>170</v>
      </c>
      <c r="N302" s="6">
        <v>165.5</v>
      </c>
      <c r="O302" s="6">
        <v>171.7</v>
      </c>
      <c r="P302" s="6">
        <v>160.5</v>
      </c>
      <c r="Q302" s="6">
        <v>189.1</v>
      </c>
      <c r="R302" s="6">
        <v>165.3</v>
      </c>
      <c r="S302" s="6">
        <v>159.9</v>
      </c>
      <c r="T302" s="6">
        <v>164.6</v>
      </c>
      <c r="V302" s="6">
        <v>162.1</v>
      </c>
      <c r="W302" s="6">
        <v>159.2</v>
      </c>
      <c r="X302" s="6">
        <v>169.7</v>
      </c>
      <c r="Y302" s="6">
        <v>154.2</v>
      </c>
      <c r="Z302" s="6">
        <v>160.4</v>
      </c>
      <c r="AA302" s="6">
        <v>166.8</v>
      </c>
      <c r="AB302" s="6">
        <v>159.4</v>
      </c>
      <c r="AC302" s="6">
        <v>161.5</v>
      </c>
      <c r="AD302" s="6">
        <v>162.1</v>
      </c>
      <c r="AE302" s="6" t="str">
        <f t="shared" si="4"/>
        <v>Rural|2021|June</v>
      </c>
    </row>
    <row r="303" spans="1:31">
      <c r="A303" s="6" t="s">
        <v>51</v>
      </c>
      <c r="B303" s="6">
        <v>2021</v>
      </c>
      <c r="C303" s="6" t="s">
        <v>57</v>
      </c>
      <c r="D303" s="6">
        <v>149.2</v>
      </c>
      <c r="E303" s="6">
        <v>205.5</v>
      </c>
      <c r="F303" s="6">
        <v>182.8</v>
      </c>
      <c r="G303" s="6">
        <v>156.5</v>
      </c>
      <c r="H303" s="6">
        <v>172.2</v>
      </c>
      <c r="I303" s="6">
        <v>171.5</v>
      </c>
      <c r="J303" s="6">
        <v>176.2</v>
      </c>
      <c r="K303" s="6">
        <v>166.9</v>
      </c>
      <c r="L303" s="6">
        <v>116.1</v>
      </c>
      <c r="M303" s="6">
        <v>165.5</v>
      </c>
      <c r="N303" s="6">
        <v>152.3</v>
      </c>
      <c r="O303" s="6">
        <v>173.3</v>
      </c>
      <c r="P303" s="6">
        <v>166.2</v>
      </c>
      <c r="Q303" s="6">
        <v>195.6</v>
      </c>
      <c r="R303" s="6">
        <v>157.3</v>
      </c>
      <c r="S303" s="6">
        <v>140.5</v>
      </c>
      <c r="T303" s="6">
        <v>154.8</v>
      </c>
      <c r="U303" s="6">
        <v>160.5</v>
      </c>
      <c r="V303" s="6">
        <v>156.1</v>
      </c>
      <c r="W303" s="6">
        <v>149.8</v>
      </c>
      <c r="X303" s="6">
        <v>160.8</v>
      </c>
      <c r="Y303" s="6">
        <v>147.5</v>
      </c>
      <c r="Z303" s="6">
        <v>150.7</v>
      </c>
      <c r="AA303" s="6">
        <v>158.1</v>
      </c>
      <c r="AB303" s="6">
        <v>158</v>
      </c>
      <c r="AC303" s="6">
        <v>153.4</v>
      </c>
      <c r="AD303" s="6">
        <v>160.4</v>
      </c>
      <c r="AE303" s="6" t="str">
        <f t="shared" si="4"/>
        <v>Urban|2021|June</v>
      </c>
    </row>
    <row r="304" spans="1:31">
      <c r="A304" s="6" t="s">
        <v>52</v>
      </c>
      <c r="B304" s="6">
        <v>2021</v>
      </c>
      <c r="C304" s="6" t="s">
        <v>57</v>
      </c>
      <c r="D304" s="6">
        <v>146.7</v>
      </c>
      <c r="E304" s="6">
        <v>202</v>
      </c>
      <c r="F304" s="6">
        <v>180.7</v>
      </c>
      <c r="G304" s="6">
        <v>156.2</v>
      </c>
      <c r="H304" s="6">
        <v>183.7</v>
      </c>
      <c r="I304" s="6">
        <v>164.6</v>
      </c>
      <c r="J304" s="6">
        <v>155.4</v>
      </c>
      <c r="K304" s="6">
        <v>166</v>
      </c>
      <c r="L304" s="6">
        <v>115.1</v>
      </c>
      <c r="M304" s="6">
        <v>168.5</v>
      </c>
      <c r="N304" s="6">
        <v>160</v>
      </c>
      <c r="O304" s="6">
        <v>172.4</v>
      </c>
      <c r="P304" s="6">
        <v>162.6</v>
      </c>
      <c r="Q304" s="6">
        <v>190.8</v>
      </c>
      <c r="R304" s="6">
        <v>162.2</v>
      </c>
      <c r="S304" s="6">
        <v>151.8</v>
      </c>
      <c r="T304" s="6">
        <v>160.7</v>
      </c>
      <c r="U304" s="6">
        <v>160.5</v>
      </c>
      <c r="V304" s="6">
        <v>159.8</v>
      </c>
      <c r="W304" s="6">
        <v>154.8</v>
      </c>
      <c r="X304" s="6">
        <v>166.3</v>
      </c>
      <c r="Y304" s="6">
        <v>150.7</v>
      </c>
      <c r="Z304" s="6">
        <v>154.9</v>
      </c>
      <c r="AA304" s="6">
        <v>161.7</v>
      </c>
      <c r="AB304" s="6">
        <v>158.8</v>
      </c>
      <c r="AC304" s="6">
        <v>157.6</v>
      </c>
      <c r="AD304" s="6">
        <v>161.3</v>
      </c>
      <c r="AE304" s="6" t="str">
        <f t="shared" si="4"/>
        <v>Rural+Urban|2021|June</v>
      </c>
    </row>
    <row r="305" spans="1:31">
      <c r="A305" s="6" t="s">
        <v>49</v>
      </c>
      <c r="B305" s="6">
        <v>2021</v>
      </c>
      <c r="C305" s="6" t="s">
        <v>58</v>
      </c>
      <c r="D305" s="6">
        <v>145.1</v>
      </c>
      <c r="E305" s="6">
        <v>204.5</v>
      </c>
      <c r="F305" s="6">
        <v>180.4</v>
      </c>
      <c r="G305" s="6">
        <v>157.1</v>
      </c>
      <c r="H305" s="6">
        <v>188.7</v>
      </c>
      <c r="I305" s="6">
        <v>157.7</v>
      </c>
      <c r="J305" s="6">
        <v>152.8</v>
      </c>
      <c r="K305" s="6">
        <v>163.6</v>
      </c>
      <c r="L305" s="6">
        <v>113.9</v>
      </c>
      <c r="M305" s="6">
        <v>169.7</v>
      </c>
      <c r="N305" s="6">
        <v>166.2</v>
      </c>
      <c r="O305" s="6">
        <v>171</v>
      </c>
      <c r="P305" s="6">
        <v>161.7</v>
      </c>
      <c r="Q305" s="6">
        <v>189.7</v>
      </c>
      <c r="R305" s="6">
        <v>166</v>
      </c>
      <c r="S305" s="6">
        <v>161.1</v>
      </c>
      <c r="T305" s="6">
        <v>165.3</v>
      </c>
      <c r="V305" s="6">
        <v>162.5</v>
      </c>
      <c r="W305" s="6">
        <v>160.3</v>
      </c>
      <c r="X305" s="6">
        <v>170.4</v>
      </c>
      <c r="Y305" s="6">
        <v>157.1</v>
      </c>
      <c r="Z305" s="6">
        <v>160.7</v>
      </c>
      <c r="AA305" s="6">
        <v>167.2</v>
      </c>
      <c r="AB305" s="6">
        <v>160.4</v>
      </c>
      <c r="AC305" s="6">
        <v>162.8</v>
      </c>
      <c r="AD305" s="6">
        <v>163.2</v>
      </c>
      <c r="AE305" s="6" t="str">
        <f t="shared" si="4"/>
        <v>Rural|2021|July</v>
      </c>
    </row>
    <row r="306" spans="1:31">
      <c r="A306" s="6" t="s">
        <v>51</v>
      </c>
      <c r="B306" s="6">
        <v>2021</v>
      </c>
      <c r="C306" s="6" t="s">
        <v>58</v>
      </c>
      <c r="D306" s="6">
        <v>149.1</v>
      </c>
      <c r="E306" s="6">
        <v>210.9</v>
      </c>
      <c r="F306" s="6">
        <v>185</v>
      </c>
      <c r="G306" s="6">
        <v>158.2</v>
      </c>
      <c r="H306" s="6">
        <v>170.6</v>
      </c>
      <c r="I306" s="6">
        <v>170.9</v>
      </c>
      <c r="J306" s="6">
        <v>186.4</v>
      </c>
      <c r="K306" s="6">
        <v>164.7</v>
      </c>
      <c r="L306" s="6">
        <v>115.7</v>
      </c>
      <c r="M306" s="6">
        <v>165.5</v>
      </c>
      <c r="N306" s="6">
        <v>153.4</v>
      </c>
      <c r="O306" s="6">
        <v>173.5</v>
      </c>
      <c r="P306" s="6">
        <v>167.9</v>
      </c>
      <c r="Q306" s="6">
        <v>195.5</v>
      </c>
      <c r="R306" s="6">
        <v>157.9</v>
      </c>
      <c r="S306" s="6">
        <v>141.9</v>
      </c>
      <c r="T306" s="6">
        <v>155.5</v>
      </c>
      <c r="U306" s="6">
        <v>161.5</v>
      </c>
      <c r="V306" s="6">
        <v>157.7</v>
      </c>
      <c r="W306" s="6">
        <v>150.7</v>
      </c>
      <c r="X306" s="6">
        <v>161.5</v>
      </c>
      <c r="Y306" s="6">
        <v>149.5</v>
      </c>
      <c r="Z306" s="6">
        <v>151.2</v>
      </c>
      <c r="AA306" s="6">
        <v>160.3</v>
      </c>
      <c r="AB306" s="6">
        <v>159.6</v>
      </c>
      <c r="AC306" s="6">
        <v>155</v>
      </c>
      <c r="AD306" s="6">
        <v>161.8</v>
      </c>
      <c r="AE306" s="6" t="str">
        <f t="shared" si="4"/>
        <v>Urban|2021|July</v>
      </c>
    </row>
    <row r="307" spans="1:31">
      <c r="A307" s="6" t="s">
        <v>52</v>
      </c>
      <c r="B307" s="6">
        <v>2021</v>
      </c>
      <c r="C307" s="6" t="s">
        <v>58</v>
      </c>
      <c r="D307" s="6">
        <v>146.4</v>
      </c>
      <c r="E307" s="6">
        <v>206.8</v>
      </c>
      <c r="F307" s="6">
        <v>182.2</v>
      </c>
      <c r="G307" s="6">
        <v>157.5</v>
      </c>
      <c r="H307" s="6">
        <v>182.1</v>
      </c>
      <c r="I307" s="6">
        <v>163.9</v>
      </c>
      <c r="J307" s="6">
        <v>164.2</v>
      </c>
      <c r="K307" s="6">
        <v>164</v>
      </c>
      <c r="L307" s="6">
        <v>114.5</v>
      </c>
      <c r="M307" s="6">
        <v>168.3</v>
      </c>
      <c r="N307" s="6">
        <v>160.9</v>
      </c>
      <c r="O307" s="6">
        <v>172.2</v>
      </c>
      <c r="P307" s="6">
        <v>164</v>
      </c>
      <c r="Q307" s="6">
        <v>191.2</v>
      </c>
      <c r="R307" s="6">
        <v>162.8</v>
      </c>
      <c r="S307" s="6">
        <v>153.1</v>
      </c>
      <c r="T307" s="6">
        <v>161.4</v>
      </c>
      <c r="U307" s="6">
        <v>161.5</v>
      </c>
      <c r="V307" s="6">
        <v>160.7</v>
      </c>
      <c r="W307" s="6">
        <v>155.8</v>
      </c>
      <c r="X307" s="6">
        <v>167</v>
      </c>
      <c r="Y307" s="6">
        <v>153.1</v>
      </c>
      <c r="Z307" s="6">
        <v>155.3</v>
      </c>
      <c r="AA307" s="6">
        <v>163.2</v>
      </c>
      <c r="AB307" s="6">
        <v>160.1</v>
      </c>
      <c r="AC307" s="6">
        <v>159</v>
      </c>
      <c r="AD307" s="6">
        <v>162.5</v>
      </c>
      <c r="AE307" s="6" t="str">
        <f t="shared" si="4"/>
        <v>Rural+Urban|2021|July</v>
      </c>
    </row>
    <row r="308" spans="1:31">
      <c r="A308" s="6" t="s">
        <v>49</v>
      </c>
      <c r="B308" s="6">
        <v>2021</v>
      </c>
      <c r="C308" s="6" t="s">
        <v>59</v>
      </c>
      <c r="D308" s="6">
        <v>144.9</v>
      </c>
      <c r="E308" s="6">
        <v>202.3</v>
      </c>
      <c r="F308" s="6">
        <v>176.5</v>
      </c>
      <c r="G308" s="6">
        <v>157.5</v>
      </c>
      <c r="H308" s="6">
        <v>190.9</v>
      </c>
      <c r="I308" s="6">
        <v>155.7</v>
      </c>
      <c r="J308" s="6">
        <v>153.9</v>
      </c>
      <c r="K308" s="6">
        <v>162.8</v>
      </c>
      <c r="L308" s="6">
        <v>115.2</v>
      </c>
      <c r="M308" s="6">
        <v>169.8</v>
      </c>
      <c r="N308" s="6">
        <v>167.6</v>
      </c>
      <c r="O308" s="6">
        <v>171.9</v>
      </c>
      <c r="P308" s="6">
        <v>161.8</v>
      </c>
      <c r="Q308" s="6">
        <v>190.2</v>
      </c>
      <c r="R308" s="6">
        <v>167</v>
      </c>
      <c r="S308" s="6">
        <v>162.6</v>
      </c>
      <c r="T308" s="6">
        <v>166.3</v>
      </c>
      <c r="V308" s="6">
        <v>163.1</v>
      </c>
      <c r="W308" s="6">
        <v>160.9</v>
      </c>
      <c r="X308" s="6">
        <v>171.1</v>
      </c>
      <c r="Y308" s="6">
        <v>157.7</v>
      </c>
      <c r="Z308" s="6">
        <v>161.1</v>
      </c>
      <c r="AA308" s="6">
        <v>167.5</v>
      </c>
      <c r="AB308" s="6">
        <v>160.3</v>
      </c>
      <c r="AC308" s="6">
        <v>163.3</v>
      </c>
      <c r="AD308" s="6">
        <v>163.6</v>
      </c>
      <c r="AE308" s="6" t="str">
        <f t="shared" si="4"/>
        <v>Rural|2021|August</v>
      </c>
    </row>
    <row r="309" spans="1:31">
      <c r="A309" s="6" t="s">
        <v>51</v>
      </c>
      <c r="B309" s="6">
        <v>2021</v>
      </c>
      <c r="C309" s="6" t="s">
        <v>59</v>
      </c>
      <c r="D309" s="6">
        <v>149.3</v>
      </c>
      <c r="E309" s="6">
        <v>207.4</v>
      </c>
      <c r="F309" s="6">
        <v>174.1</v>
      </c>
      <c r="G309" s="6">
        <v>159.2</v>
      </c>
      <c r="H309" s="6">
        <v>175</v>
      </c>
      <c r="I309" s="6">
        <v>161.3</v>
      </c>
      <c r="J309" s="6">
        <v>183.3</v>
      </c>
      <c r="K309" s="6">
        <v>164.5</v>
      </c>
      <c r="L309" s="6">
        <v>120.4</v>
      </c>
      <c r="M309" s="6">
        <v>166.2</v>
      </c>
      <c r="N309" s="6">
        <v>154.8</v>
      </c>
      <c r="O309" s="6">
        <v>175.1</v>
      </c>
      <c r="P309" s="6">
        <v>167.3</v>
      </c>
      <c r="Q309" s="6">
        <v>196.5</v>
      </c>
      <c r="R309" s="6">
        <v>159.8</v>
      </c>
      <c r="S309" s="6">
        <v>143.6</v>
      </c>
      <c r="T309" s="6">
        <v>157.3</v>
      </c>
      <c r="U309" s="6">
        <v>162.1</v>
      </c>
      <c r="V309" s="6">
        <v>160.7</v>
      </c>
      <c r="W309" s="6">
        <v>153.2</v>
      </c>
      <c r="X309" s="6">
        <v>162.8</v>
      </c>
      <c r="Y309" s="6">
        <v>150.4</v>
      </c>
      <c r="Z309" s="6">
        <v>153.7</v>
      </c>
      <c r="AA309" s="6">
        <v>160.4</v>
      </c>
      <c r="AB309" s="6">
        <v>159.6</v>
      </c>
      <c r="AC309" s="6">
        <v>156</v>
      </c>
      <c r="AD309" s="6">
        <v>162.3</v>
      </c>
      <c r="AE309" s="6" t="str">
        <f t="shared" si="4"/>
        <v>Urban|2021|August</v>
      </c>
    </row>
    <row r="310" spans="1:31">
      <c r="A310" s="6" t="s">
        <v>52</v>
      </c>
      <c r="B310" s="6">
        <v>2021</v>
      </c>
      <c r="C310" s="6" t="s">
        <v>59</v>
      </c>
      <c r="D310" s="6">
        <v>146.6</v>
      </c>
      <c r="E310" s="6">
        <v>204</v>
      </c>
      <c r="F310" s="6">
        <v>172.8</v>
      </c>
      <c r="G310" s="6">
        <v>158.4</v>
      </c>
      <c r="H310" s="6">
        <v>188</v>
      </c>
      <c r="I310" s="6">
        <v>156.8</v>
      </c>
      <c r="J310" s="6">
        <v>162.2</v>
      </c>
      <c r="K310" s="6">
        <v>164.1</v>
      </c>
      <c r="L310" s="6">
        <v>119.7</v>
      </c>
      <c r="M310" s="6">
        <v>168.8</v>
      </c>
      <c r="N310" s="6">
        <v>162.7</v>
      </c>
      <c r="O310" s="6">
        <v>173.9</v>
      </c>
      <c r="P310" s="6">
        <v>164</v>
      </c>
      <c r="Q310" s="6">
        <v>192.1</v>
      </c>
      <c r="R310" s="6">
        <v>164.5</v>
      </c>
      <c r="S310" s="6">
        <v>155.3</v>
      </c>
      <c r="T310" s="6">
        <v>163.2</v>
      </c>
      <c r="U310" s="6">
        <v>162.1</v>
      </c>
      <c r="V310" s="6">
        <v>162.6</v>
      </c>
      <c r="W310" s="6">
        <v>157.5</v>
      </c>
      <c r="X310" s="6">
        <v>168.4</v>
      </c>
      <c r="Y310" s="6">
        <v>154</v>
      </c>
      <c r="Z310" s="6">
        <v>157.6</v>
      </c>
      <c r="AA310" s="6">
        <v>163.8</v>
      </c>
      <c r="AB310" s="6">
        <v>160</v>
      </c>
      <c r="AC310" s="6">
        <v>160</v>
      </c>
      <c r="AD310" s="6">
        <v>163.2</v>
      </c>
      <c r="AE310" s="6" t="str">
        <f t="shared" si="4"/>
        <v>Rural+Urban|2021|August</v>
      </c>
    </row>
    <row r="311" spans="1:31">
      <c r="A311" s="6" t="s">
        <v>49</v>
      </c>
      <c r="B311" s="6">
        <v>2021</v>
      </c>
      <c r="C311" s="6" t="s">
        <v>60</v>
      </c>
      <c r="D311" s="6">
        <v>145.4</v>
      </c>
      <c r="E311" s="6">
        <v>202.1</v>
      </c>
      <c r="F311" s="6">
        <v>172</v>
      </c>
      <c r="G311" s="6">
        <v>158</v>
      </c>
      <c r="H311" s="6">
        <v>195.5</v>
      </c>
      <c r="I311" s="6">
        <v>152.7</v>
      </c>
      <c r="J311" s="6">
        <v>151.4</v>
      </c>
      <c r="K311" s="6">
        <v>163.9</v>
      </c>
      <c r="L311" s="6">
        <v>119.3</v>
      </c>
      <c r="M311" s="6">
        <v>170.1</v>
      </c>
      <c r="N311" s="6">
        <v>168.3</v>
      </c>
      <c r="O311" s="6">
        <v>172.8</v>
      </c>
      <c r="P311" s="6">
        <v>162.1</v>
      </c>
      <c r="Q311" s="6">
        <v>190.5</v>
      </c>
      <c r="R311" s="6">
        <v>167.7</v>
      </c>
      <c r="S311" s="6">
        <v>163.6</v>
      </c>
      <c r="T311" s="6">
        <v>167.1</v>
      </c>
      <c r="V311" s="6">
        <v>163.7</v>
      </c>
      <c r="W311" s="6">
        <v>161.3</v>
      </c>
      <c r="X311" s="6">
        <v>171.9</v>
      </c>
      <c r="Y311" s="6">
        <v>157.8</v>
      </c>
      <c r="Z311" s="6">
        <v>162.7</v>
      </c>
      <c r="AA311" s="6">
        <v>168.5</v>
      </c>
      <c r="AB311" s="6">
        <v>160.2</v>
      </c>
      <c r="AC311" s="6">
        <v>163.8</v>
      </c>
      <c r="AD311" s="6">
        <v>164</v>
      </c>
      <c r="AE311" s="6" t="str">
        <f t="shared" si="4"/>
        <v>Rural|2021|September</v>
      </c>
    </row>
    <row r="312" spans="1:31">
      <c r="A312" s="6" t="s">
        <v>51</v>
      </c>
      <c r="B312" s="6">
        <v>2021</v>
      </c>
      <c r="C312" s="6" t="s">
        <v>60</v>
      </c>
      <c r="D312" s="6">
        <v>149.3</v>
      </c>
      <c r="E312" s="6">
        <v>207.4</v>
      </c>
      <c r="F312" s="6">
        <v>174.1</v>
      </c>
      <c r="G312" s="6">
        <v>159.1</v>
      </c>
      <c r="H312" s="6">
        <v>175</v>
      </c>
      <c r="I312" s="6">
        <v>161.2</v>
      </c>
      <c r="J312" s="6">
        <v>183.5</v>
      </c>
      <c r="K312" s="6">
        <v>164.5</v>
      </c>
      <c r="L312" s="6">
        <v>120.4</v>
      </c>
      <c r="M312" s="6">
        <v>166.2</v>
      </c>
      <c r="N312" s="6">
        <v>154.8</v>
      </c>
      <c r="O312" s="6">
        <v>175.1</v>
      </c>
      <c r="P312" s="6">
        <v>167.3</v>
      </c>
      <c r="Q312" s="6">
        <v>196.5</v>
      </c>
      <c r="R312" s="6">
        <v>159.8</v>
      </c>
      <c r="S312" s="6">
        <v>143.6</v>
      </c>
      <c r="T312" s="6">
        <v>157.4</v>
      </c>
      <c r="U312" s="6">
        <v>162.1</v>
      </c>
      <c r="V312" s="6">
        <v>160.8</v>
      </c>
      <c r="W312" s="6">
        <v>153.3</v>
      </c>
      <c r="X312" s="6">
        <v>162.8</v>
      </c>
      <c r="Y312" s="6">
        <v>150.5</v>
      </c>
      <c r="Z312" s="6">
        <v>153.9</v>
      </c>
      <c r="AA312" s="6">
        <v>160.3</v>
      </c>
      <c r="AB312" s="6">
        <v>159.6</v>
      </c>
      <c r="AC312" s="6">
        <v>156</v>
      </c>
      <c r="AD312" s="6">
        <v>162.3</v>
      </c>
      <c r="AE312" s="6" t="str">
        <f t="shared" si="4"/>
        <v>Urban|2021|September</v>
      </c>
    </row>
    <row r="313" spans="1:31">
      <c r="A313" s="6" t="s">
        <v>52</v>
      </c>
      <c r="B313" s="6">
        <v>2021</v>
      </c>
      <c r="C313" s="6" t="s">
        <v>60</v>
      </c>
      <c r="D313" s="6">
        <v>146.6</v>
      </c>
      <c r="E313" s="6">
        <v>204</v>
      </c>
      <c r="F313" s="6">
        <v>172.8</v>
      </c>
      <c r="G313" s="6">
        <v>158.4</v>
      </c>
      <c r="H313" s="6">
        <v>188</v>
      </c>
      <c r="I313" s="6">
        <v>156.7</v>
      </c>
      <c r="J313" s="6">
        <v>162.3</v>
      </c>
      <c r="K313" s="6">
        <v>164.1</v>
      </c>
      <c r="L313" s="6">
        <v>119.7</v>
      </c>
      <c r="M313" s="6">
        <v>168.8</v>
      </c>
      <c r="N313" s="6">
        <v>162.7</v>
      </c>
      <c r="O313" s="6">
        <v>173.9</v>
      </c>
      <c r="P313" s="6">
        <v>164</v>
      </c>
      <c r="Q313" s="6">
        <v>192.1</v>
      </c>
      <c r="R313" s="6">
        <v>164.6</v>
      </c>
      <c r="S313" s="6">
        <v>155.3</v>
      </c>
      <c r="T313" s="6">
        <v>163.3</v>
      </c>
      <c r="U313" s="6">
        <v>162.1</v>
      </c>
      <c r="V313" s="6">
        <v>162.6</v>
      </c>
      <c r="W313" s="6">
        <v>157.5</v>
      </c>
      <c r="X313" s="6">
        <v>168.4</v>
      </c>
      <c r="Y313" s="6">
        <v>154</v>
      </c>
      <c r="Z313" s="6">
        <v>157.7</v>
      </c>
      <c r="AA313" s="6">
        <v>163.7</v>
      </c>
      <c r="AB313" s="6">
        <v>160</v>
      </c>
      <c r="AC313" s="6">
        <v>160</v>
      </c>
      <c r="AD313" s="6">
        <v>163.2</v>
      </c>
      <c r="AE313" s="6" t="str">
        <f t="shared" si="4"/>
        <v>Rural+Urban|2021|September</v>
      </c>
    </row>
    <row r="314" spans="1:31">
      <c r="A314" s="6" t="s">
        <v>49</v>
      </c>
      <c r="B314" s="6">
        <v>2021</v>
      </c>
      <c r="C314" s="6" t="s">
        <v>61</v>
      </c>
      <c r="D314" s="6">
        <v>146.1</v>
      </c>
      <c r="E314" s="6">
        <v>202.5</v>
      </c>
      <c r="F314" s="6">
        <v>170.1</v>
      </c>
      <c r="G314" s="6">
        <v>158.4</v>
      </c>
      <c r="H314" s="6">
        <v>198.8</v>
      </c>
      <c r="I314" s="6">
        <v>152.6</v>
      </c>
      <c r="J314" s="6">
        <v>170.4</v>
      </c>
      <c r="K314" s="6">
        <v>165.2</v>
      </c>
      <c r="L314" s="6">
        <v>121.6</v>
      </c>
      <c r="M314" s="6">
        <v>170.6</v>
      </c>
      <c r="N314" s="6">
        <v>168.8</v>
      </c>
      <c r="O314" s="6">
        <v>173.6</v>
      </c>
      <c r="P314" s="6">
        <v>165.5</v>
      </c>
      <c r="Q314" s="6">
        <v>191.2</v>
      </c>
      <c r="R314" s="6">
        <v>168.9</v>
      </c>
      <c r="S314" s="6">
        <v>164.8</v>
      </c>
      <c r="T314" s="6">
        <v>168.3</v>
      </c>
      <c r="V314" s="6">
        <v>165.5</v>
      </c>
      <c r="W314" s="6">
        <v>162</v>
      </c>
      <c r="X314" s="6">
        <v>172.5</v>
      </c>
      <c r="Y314" s="6">
        <v>159.5</v>
      </c>
      <c r="Z314" s="6">
        <v>163.2</v>
      </c>
      <c r="AA314" s="6">
        <v>169</v>
      </c>
      <c r="AB314" s="6">
        <v>161.1</v>
      </c>
      <c r="AC314" s="6">
        <v>164.7</v>
      </c>
      <c r="AD314" s="6">
        <v>166.3</v>
      </c>
      <c r="AE314" s="6" t="str">
        <f t="shared" si="4"/>
        <v>Rural|2021|October</v>
      </c>
    </row>
    <row r="315" spans="1:31">
      <c r="A315" s="6" t="s">
        <v>51</v>
      </c>
      <c r="B315" s="6">
        <v>2021</v>
      </c>
      <c r="C315" s="6" t="s">
        <v>61</v>
      </c>
      <c r="D315" s="6">
        <v>150.1</v>
      </c>
      <c r="E315" s="6">
        <v>208.4</v>
      </c>
      <c r="F315" s="6">
        <v>173</v>
      </c>
      <c r="G315" s="6">
        <v>159.2</v>
      </c>
      <c r="H315" s="6">
        <v>176.6</v>
      </c>
      <c r="I315" s="6">
        <v>159.3</v>
      </c>
      <c r="J315" s="6">
        <v>214.4</v>
      </c>
      <c r="K315" s="6">
        <v>165.3</v>
      </c>
      <c r="L315" s="6">
        <v>122.5</v>
      </c>
      <c r="M315" s="6">
        <v>166.8</v>
      </c>
      <c r="N315" s="6">
        <v>155.4</v>
      </c>
      <c r="O315" s="6">
        <v>175.9</v>
      </c>
      <c r="P315" s="6">
        <v>171.5</v>
      </c>
      <c r="Q315" s="6">
        <v>197</v>
      </c>
      <c r="R315" s="6">
        <v>160.8</v>
      </c>
      <c r="S315" s="6">
        <v>144.4</v>
      </c>
      <c r="T315" s="6">
        <v>158.3</v>
      </c>
      <c r="U315" s="6">
        <v>163.6</v>
      </c>
      <c r="V315" s="6">
        <v>162.2</v>
      </c>
      <c r="W315" s="6">
        <v>154.3</v>
      </c>
      <c r="X315" s="6">
        <v>163.5</v>
      </c>
      <c r="Y315" s="6">
        <v>152.2</v>
      </c>
      <c r="Z315" s="6">
        <v>155.1</v>
      </c>
      <c r="AA315" s="6">
        <v>160.3</v>
      </c>
      <c r="AB315" s="6">
        <v>160.3</v>
      </c>
      <c r="AC315" s="6">
        <v>157</v>
      </c>
      <c r="AD315" s="6">
        <v>164.6</v>
      </c>
      <c r="AE315" s="6" t="str">
        <f t="shared" si="4"/>
        <v>Urban|2021|October</v>
      </c>
    </row>
    <row r="316" spans="1:31">
      <c r="A316" s="6" t="s">
        <v>52</v>
      </c>
      <c r="B316" s="6">
        <v>2021</v>
      </c>
      <c r="C316" s="6" t="s">
        <v>61</v>
      </c>
      <c r="D316" s="6">
        <v>147.4</v>
      </c>
      <c r="E316" s="6">
        <v>204.6</v>
      </c>
      <c r="F316" s="6">
        <v>171.2</v>
      </c>
      <c r="G316" s="6">
        <v>158.7</v>
      </c>
      <c r="H316" s="6">
        <v>190.6</v>
      </c>
      <c r="I316" s="6">
        <v>155.7</v>
      </c>
      <c r="J316" s="6">
        <v>185.3</v>
      </c>
      <c r="K316" s="6">
        <v>165.2</v>
      </c>
      <c r="L316" s="6">
        <v>121.9</v>
      </c>
      <c r="M316" s="6">
        <v>169.3</v>
      </c>
      <c r="N316" s="6">
        <v>163.2</v>
      </c>
      <c r="O316" s="6">
        <v>174.7</v>
      </c>
      <c r="P316" s="6">
        <v>167.7</v>
      </c>
      <c r="Q316" s="6">
        <v>192.7</v>
      </c>
      <c r="R316" s="6">
        <v>165.7</v>
      </c>
      <c r="S316" s="6">
        <v>156.3</v>
      </c>
      <c r="T316" s="6">
        <v>164.3</v>
      </c>
      <c r="U316" s="6">
        <v>163.6</v>
      </c>
      <c r="V316" s="6">
        <v>164.2</v>
      </c>
      <c r="W316" s="6">
        <v>158.4</v>
      </c>
      <c r="X316" s="6">
        <v>169.1</v>
      </c>
      <c r="Y316" s="6">
        <v>155.7</v>
      </c>
      <c r="Z316" s="6">
        <v>158.6</v>
      </c>
      <c r="AA316" s="6">
        <v>163.9</v>
      </c>
      <c r="AB316" s="6">
        <v>160.8</v>
      </c>
      <c r="AC316" s="6">
        <v>161</v>
      </c>
      <c r="AD316" s="6">
        <v>165.5</v>
      </c>
      <c r="AE316" s="6" t="str">
        <f t="shared" si="4"/>
        <v>Rural+Urban|2021|October</v>
      </c>
    </row>
    <row r="317" spans="1:31">
      <c r="A317" s="6" t="s">
        <v>49</v>
      </c>
      <c r="B317" s="6">
        <v>2021</v>
      </c>
      <c r="C317" s="6" t="s">
        <v>62</v>
      </c>
      <c r="D317" s="6">
        <v>146.9</v>
      </c>
      <c r="E317" s="6">
        <v>199.8</v>
      </c>
      <c r="F317" s="6">
        <v>171.5</v>
      </c>
      <c r="G317" s="6">
        <v>159.1</v>
      </c>
      <c r="H317" s="6">
        <v>198.4</v>
      </c>
      <c r="I317" s="6">
        <v>153.2</v>
      </c>
      <c r="J317" s="6">
        <v>183.9</v>
      </c>
      <c r="K317" s="6">
        <v>165.4</v>
      </c>
      <c r="L317" s="6">
        <v>122.1</v>
      </c>
      <c r="M317" s="6">
        <v>170.8</v>
      </c>
      <c r="N317" s="6">
        <v>169.1</v>
      </c>
      <c r="O317" s="6">
        <v>174.3</v>
      </c>
      <c r="P317" s="6">
        <v>167.5</v>
      </c>
      <c r="Q317" s="6">
        <v>191.4</v>
      </c>
      <c r="R317" s="6">
        <v>170.4</v>
      </c>
      <c r="S317" s="6">
        <v>166</v>
      </c>
      <c r="T317" s="6">
        <v>169.8</v>
      </c>
      <c r="V317" s="6">
        <v>165.3</v>
      </c>
      <c r="W317" s="6">
        <v>162.9</v>
      </c>
      <c r="X317" s="6">
        <v>173.4</v>
      </c>
      <c r="Y317" s="6">
        <v>158.9</v>
      </c>
      <c r="Z317" s="6">
        <v>163.8</v>
      </c>
      <c r="AA317" s="6">
        <v>169.3</v>
      </c>
      <c r="AB317" s="6">
        <v>162.4</v>
      </c>
      <c r="AC317" s="6">
        <v>165.2</v>
      </c>
      <c r="AD317" s="6">
        <v>167.6</v>
      </c>
      <c r="AE317" s="6" t="str">
        <f t="shared" si="4"/>
        <v>Rural|2021|November</v>
      </c>
    </row>
    <row r="318" spans="1:31">
      <c r="A318" s="6" t="s">
        <v>51</v>
      </c>
      <c r="B318" s="6">
        <v>2021</v>
      </c>
      <c r="C318" s="6" t="s">
        <v>62</v>
      </c>
      <c r="D318" s="6">
        <v>151</v>
      </c>
      <c r="E318" s="6">
        <v>204.9</v>
      </c>
      <c r="F318" s="6">
        <v>175.4</v>
      </c>
      <c r="G318" s="6">
        <v>159.6</v>
      </c>
      <c r="H318" s="6">
        <v>175.8</v>
      </c>
      <c r="I318" s="6">
        <v>160.3</v>
      </c>
      <c r="J318" s="6">
        <v>229.1</v>
      </c>
      <c r="K318" s="6">
        <v>165.1</v>
      </c>
      <c r="L318" s="6">
        <v>123.1</v>
      </c>
      <c r="M318" s="6">
        <v>167.2</v>
      </c>
      <c r="N318" s="6">
        <v>156.1</v>
      </c>
      <c r="O318" s="6">
        <v>176.8</v>
      </c>
      <c r="P318" s="6">
        <v>173.5</v>
      </c>
      <c r="Q318" s="6">
        <v>197</v>
      </c>
      <c r="R318" s="6">
        <v>162.3</v>
      </c>
      <c r="S318" s="6">
        <v>145.3</v>
      </c>
      <c r="T318" s="6">
        <v>159.7</v>
      </c>
      <c r="U318" s="6">
        <v>164.2</v>
      </c>
      <c r="V318" s="6">
        <v>161.6</v>
      </c>
      <c r="W318" s="6">
        <v>155.2</v>
      </c>
      <c r="X318" s="6">
        <v>164.2</v>
      </c>
      <c r="Y318" s="6">
        <v>151.2</v>
      </c>
      <c r="Z318" s="6">
        <v>156.7</v>
      </c>
      <c r="AA318" s="6">
        <v>160.8</v>
      </c>
      <c r="AB318" s="6">
        <v>161.8</v>
      </c>
      <c r="AC318" s="6">
        <v>157.3</v>
      </c>
      <c r="AD318" s="6">
        <v>165.6</v>
      </c>
      <c r="AE318" s="6" t="str">
        <f t="shared" si="4"/>
        <v>Urban|2021|November</v>
      </c>
    </row>
    <row r="319" spans="1:31">
      <c r="A319" s="6" t="s">
        <v>52</v>
      </c>
      <c r="B319" s="6">
        <v>2021</v>
      </c>
      <c r="C319" s="6" t="s">
        <v>62</v>
      </c>
      <c r="D319" s="6">
        <v>148.2</v>
      </c>
      <c r="E319" s="6">
        <v>201.6</v>
      </c>
      <c r="F319" s="6">
        <v>173</v>
      </c>
      <c r="G319" s="6">
        <v>159.3</v>
      </c>
      <c r="H319" s="6">
        <v>190.1</v>
      </c>
      <c r="I319" s="6">
        <v>156.5</v>
      </c>
      <c r="J319" s="6">
        <v>199.2</v>
      </c>
      <c r="K319" s="6">
        <v>165.3</v>
      </c>
      <c r="L319" s="6">
        <v>122.4</v>
      </c>
      <c r="M319" s="6">
        <v>169.6</v>
      </c>
      <c r="N319" s="6">
        <v>163.7</v>
      </c>
      <c r="O319" s="6">
        <v>175.5</v>
      </c>
      <c r="P319" s="6">
        <v>169.7</v>
      </c>
      <c r="Q319" s="6">
        <v>192.9</v>
      </c>
      <c r="R319" s="6">
        <v>167.2</v>
      </c>
      <c r="S319" s="6">
        <v>157.4</v>
      </c>
      <c r="T319" s="6">
        <v>165.8</v>
      </c>
      <c r="U319" s="6">
        <v>164.2</v>
      </c>
      <c r="V319" s="6">
        <v>163.9</v>
      </c>
      <c r="W319" s="6">
        <v>159.3</v>
      </c>
      <c r="X319" s="6">
        <v>169.9</v>
      </c>
      <c r="Y319" s="6">
        <v>154.8</v>
      </c>
      <c r="Z319" s="6">
        <v>159.8</v>
      </c>
      <c r="AA319" s="6">
        <v>164.3</v>
      </c>
      <c r="AB319" s="6">
        <v>162.2</v>
      </c>
      <c r="AC319" s="6">
        <v>161.4</v>
      </c>
      <c r="AD319" s="6">
        <v>166.7</v>
      </c>
      <c r="AE319" s="6" t="str">
        <f t="shared" si="4"/>
        <v>Rural+Urban|2021|November</v>
      </c>
    </row>
    <row r="320" spans="1:31">
      <c r="A320" s="6" t="s">
        <v>49</v>
      </c>
      <c r="B320" s="6">
        <v>2021</v>
      </c>
      <c r="C320" s="6" t="s">
        <v>63</v>
      </c>
      <c r="D320" s="6">
        <v>147.4</v>
      </c>
      <c r="E320" s="6">
        <v>197</v>
      </c>
      <c r="F320" s="6">
        <v>176.5</v>
      </c>
      <c r="G320" s="6">
        <v>159.8</v>
      </c>
      <c r="H320" s="6">
        <v>195.8</v>
      </c>
      <c r="I320" s="6">
        <v>152</v>
      </c>
      <c r="J320" s="6">
        <v>172.3</v>
      </c>
      <c r="K320" s="6">
        <v>164.5</v>
      </c>
      <c r="L320" s="6">
        <v>120.6</v>
      </c>
      <c r="M320" s="6">
        <v>171.7</v>
      </c>
      <c r="N320" s="6">
        <v>169.7</v>
      </c>
      <c r="O320" s="6">
        <v>175.1</v>
      </c>
      <c r="P320" s="6">
        <v>165.8</v>
      </c>
      <c r="Q320" s="6">
        <v>190.8</v>
      </c>
      <c r="R320" s="6">
        <v>171.8</v>
      </c>
      <c r="S320" s="6">
        <v>167.3</v>
      </c>
      <c r="T320" s="6">
        <v>171.2</v>
      </c>
      <c r="V320" s="6">
        <v>165.6</v>
      </c>
      <c r="W320" s="6">
        <v>163.9</v>
      </c>
      <c r="X320" s="6">
        <v>174</v>
      </c>
      <c r="Y320" s="6">
        <v>160.1</v>
      </c>
      <c r="Z320" s="6">
        <v>164.5</v>
      </c>
      <c r="AA320" s="6">
        <v>169.7</v>
      </c>
      <c r="AB320" s="6">
        <v>162.8</v>
      </c>
      <c r="AC320" s="6">
        <v>166</v>
      </c>
      <c r="AD320" s="6">
        <v>167</v>
      </c>
      <c r="AE320" s="6" t="str">
        <f t="shared" si="4"/>
        <v>Rural|2021|December</v>
      </c>
    </row>
    <row r="321" spans="1:31">
      <c r="A321" s="6" t="s">
        <v>51</v>
      </c>
      <c r="B321" s="6">
        <v>2021</v>
      </c>
      <c r="C321" s="6" t="s">
        <v>63</v>
      </c>
      <c r="D321" s="6">
        <v>151.6</v>
      </c>
      <c r="E321" s="6">
        <v>202.2</v>
      </c>
      <c r="F321" s="6">
        <v>180</v>
      </c>
      <c r="G321" s="6">
        <v>160</v>
      </c>
      <c r="H321" s="6">
        <v>173.5</v>
      </c>
      <c r="I321" s="6">
        <v>158.3</v>
      </c>
      <c r="J321" s="6">
        <v>219.5</v>
      </c>
      <c r="K321" s="6">
        <v>164.2</v>
      </c>
      <c r="L321" s="6">
        <v>121.9</v>
      </c>
      <c r="M321" s="6">
        <v>168.2</v>
      </c>
      <c r="N321" s="6">
        <v>156.5</v>
      </c>
      <c r="O321" s="6">
        <v>178.2</v>
      </c>
      <c r="P321" s="6">
        <v>172.2</v>
      </c>
      <c r="Q321" s="6">
        <v>196.8</v>
      </c>
      <c r="R321" s="6">
        <v>163.3</v>
      </c>
      <c r="S321" s="6">
        <v>146.7</v>
      </c>
      <c r="T321" s="6">
        <v>160.7</v>
      </c>
      <c r="U321" s="6">
        <v>163.4</v>
      </c>
      <c r="V321" s="6">
        <v>161.7</v>
      </c>
      <c r="W321" s="6">
        <v>156</v>
      </c>
      <c r="X321" s="6">
        <v>165.1</v>
      </c>
      <c r="Y321" s="6">
        <v>151.8</v>
      </c>
      <c r="Z321" s="6">
        <v>157.6</v>
      </c>
      <c r="AA321" s="6">
        <v>160.6</v>
      </c>
      <c r="AB321" s="6">
        <v>162.4</v>
      </c>
      <c r="AC321" s="6">
        <v>157.8</v>
      </c>
      <c r="AD321" s="6">
        <v>165.2</v>
      </c>
      <c r="AE321" s="6" t="str">
        <f t="shared" si="4"/>
        <v>Urban|2021|December</v>
      </c>
    </row>
    <row r="322" spans="1:31">
      <c r="A322" s="6" t="s">
        <v>52</v>
      </c>
      <c r="B322" s="6">
        <v>2021</v>
      </c>
      <c r="C322" s="6" t="s">
        <v>63</v>
      </c>
      <c r="D322" s="6">
        <v>148.7</v>
      </c>
      <c r="E322" s="6">
        <v>198.8</v>
      </c>
      <c r="F322" s="6">
        <v>177.9</v>
      </c>
      <c r="G322" s="6">
        <v>159.9</v>
      </c>
      <c r="H322" s="6">
        <v>187.6</v>
      </c>
      <c r="I322" s="6">
        <v>154.9</v>
      </c>
      <c r="J322" s="6">
        <v>188.3</v>
      </c>
      <c r="K322" s="6">
        <v>164.4</v>
      </c>
      <c r="L322" s="6">
        <v>121</v>
      </c>
      <c r="M322" s="6">
        <v>170.5</v>
      </c>
      <c r="N322" s="6">
        <v>164.2</v>
      </c>
      <c r="O322" s="6">
        <v>176.5</v>
      </c>
      <c r="P322" s="6">
        <v>168.2</v>
      </c>
      <c r="Q322" s="6">
        <v>192.4</v>
      </c>
      <c r="R322" s="6">
        <v>168.5</v>
      </c>
      <c r="S322" s="6">
        <v>158.7</v>
      </c>
      <c r="T322" s="6">
        <v>167</v>
      </c>
      <c r="U322" s="6">
        <v>163.4</v>
      </c>
      <c r="V322" s="6">
        <v>164.1</v>
      </c>
      <c r="W322" s="6">
        <v>160.2</v>
      </c>
      <c r="X322" s="6">
        <v>170.6</v>
      </c>
      <c r="Y322" s="6">
        <v>155.7</v>
      </c>
      <c r="Z322" s="6">
        <v>160.6</v>
      </c>
      <c r="AA322" s="6">
        <v>164.4</v>
      </c>
      <c r="AB322" s="6">
        <v>162.6</v>
      </c>
      <c r="AC322" s="6">
        <v>162</v>
      </c>
      <c r="AD322" s="6">
        <v>166.2</v>
      </c>
      <c r="AE322" s="6" t="str">
        <f t="shared" ref="AE322:AE373" si="5">A322&amp;"|"&amp;B322&amp;"|"&amp;C322</f>
        <v>Rural+Urban|2021|December</v>
      </c>
    </row>
    <row r="323" spans="1:31">
      <c r="A323" s="6" t="s">
        <v>49</v>
      </c>
      <c r="B323" s="6">
        <v>2022</v>
      </c>
      <c r="C323" s="6" t="s">
        <v>50</v>
      </c>
      <c r="D323" s="6">
        <v>148.3</v>
      </c>
      <c r="E323" s="6">
        <v>196.9</v>
      </c>
      <c r="F323" s="6">
        <v>178</v>
      </c>
      <c r="G323" s="6">
        <v>160.5</v>
      </c>
      <c r="H323" s="6">
        <v>192.6</v>
      </c>
      <c r="I323" s="6">
        <v>151.2</v>
      </c>
      <c r="J323" s="6">
        <v>159.2</v>
      </c>
      <c r="K323" s="6">
        <v>164</v>
      </c>
      <c r="L323" s="6">
        <v>119.3</v>
      </c>
      <c r="M323" s="6">
        <v>173.3</v>
      </c>
      <c r="N323" s="6">
        <v>169.8</v>
      </c>
      <c r="O323" s="6">
        <v>175.8</v>
      </c>
      <c r="P323" s="6">
        <v>164.1</v>
      </c>
      <c r="Q323" s="6">
        <v>190.7</v>
      </c>
      <c r="R323" s="6">
        <v>173.2</v>
      </c>
      <c r="S323" s="6">
        <v>169.3</v>
      </c>
      <c r="T323" s="6">
        <v>172.7</v>
      </c>
      <c r="V323" s="6">
        <v>165.8</v>
      </c>
      <c r="W323" s="6">
        <v>164.9</v>
      </c>
      <c r="X323" s="6">
        <v>174.7</v>
      </c>
      <c r="Y323" s="6">
        <v>160.8</v>
      </c>
      <c r="Z323" s="6">
        <v>164.9</v>
      </c>
      <c r="AA323" s="6">
        <v>169.9</v>
      </c>
      <c r="AB323" s="6">
        <v>163.2</v>
      </c>
      <c r="AC323" s="6">
        <v>166.6</v>
      </c>
      <c r="AD323" s="6">
        <v>166.4</v>
      </c>
      <c r="AE323" s="6" t="str">
        <f t="shared" si="5"/>
        <v>Rural|2022|January</v>
      </c>
    </row>
    <row r="324" spans="1:31">
      <c r="A324" s="6" t="s">
        <v>51</v>
      </c>
      <c r="B324" s="6">
        <v>2022</v>
      </c>
      <c r="C324" s="6" t="s">
        <v>50</v>
      </c>
      <c r="D324" s="6">
        <v>152.2</v>
      </c>
      <c r="E324" s="6">
        <v>202.1</v>
      </c>
      <c r="F324" s="6">
        <v>180.1</v>
      </c>
      <c r="G324" s="6">
        <v>160.4</v>
      </c>
      <c r="H324" s="6">
        <v>171</v>
      </c>
      <c r="I324" s="6">
        <v>156.5</v>
      </c>
      <c r="J324" s="6">
        <v>203.6</v>
      </c>
      <c r="K324" s="6">
        <v>163.8</v>
      </c>
      <c r="L324" s="6">
        <v>121.3</v>
      </c>
      <c r="M324" s="6">
        <v>169.8</v>
      </c>
      <c r="N324" s="6">
        <v>156.6</v>
      </c>
      <c r="O324" s="6">
        <v>179</v>
      </c>
      <c r="P324" s="6">
        <v>170.3</v>
      </c>
      <c r="Q324" s="6">
        <v>196.4</v>
      </c>
      <c r="R324" s="6">
        <v>164.7</v>
      </c>
      <c r="S324" s="6">
        <v>148.5</v>
      </c>
      <c r="T324" s="6">
        <v>162.2</v>
      </c>
      <c r="U324" s="6">
        <v>164.5</v>
      </c>
      <c r="V324" s="6">
        <v>161.6</v>
      </c>
      <c r="W324" s="6">
        <v>156.8</v>
      </c>
      <c r="X324" s="6">
        <v>166.1</v>
      </c>
      <c r="Y324" s="6">
        <v>152.7</v>
      </c>
      <c r="Z324" s="6">
        <v>158.4</v>
      </c>
      <c r="AA324" s="6">
        <v>161</v>
      </c>
      <c r="AB324" s="6">
        <v>162.8</v>
      </c>
      <c r="AC324" s="6">
        <v>158.6</v>
      </c>
      <c r="AD324" s="6">
        <v>165</v>
      </c>
      <c r="AE324" s="6" t="str">
        <f t="shared" si="5"/>
        <v>Urban|2022|January</v>
      </c>
    </row>
    <row r="325" spans="1:31">
      <c r="A325" s="6" t="s">
        <v>52</v>
      </c>
      <c r="B325" s="6">
        <v>2022</v>
      </c>
      <c r="C325" s="6" t="s">
        <v>50</v>
      </c>
      <c r="D325" s="6">
        <v>149.5</v>
      </c>
      <c r="E325" s="6">
        <v>198.7</v>
      </c>
      <c r="F325" s="6">
        <v>178.8</v>
      </c>
      <c r="G325" s="6">
        <v>160.5</v>
      </c>
      <c r="H325" s="6">
        <v>184.7</v>
      </c>
      <c r="I325" s="6">
        <v>153.7</v>
      </c>
      <c r="J325" s="6">
        <v>174.3</v>
      </c>
      <c r="K325" s="6">
        <v>163.9</v>
      </c>
      <c r="L325" s="6">
        <v>120</v>
      </c>
      <c r="M325" s="6">
        <v>172.1</v>
      </c>
      <c r="N325" s="6">
        <v>164.3</v>
      </c>
      <c r="O325" s="6">
        <v>177.3</v>
      </c>
      <c r="P325" s="6">
        <v>166.4</v>
      </c>
      <c r="Q325" s="6">
        <v>192.2</v>
      </c>
      <c r="R325" s="6">
        <v>169.9</v>
      </c>
      <c r="S325" s="6">
        <v>160.7</v>
      </c>
      <c r="T325" s="6">
        <v>168.5</v>
      </c>
      <c r="U325" s="6">
        <v>164.5</v>
      </c>
      <c r="V325" s="6">
        <v>164.2</v>
      </c>
      <c r="W325" s="6">
        <v>161.1</v>
      </c>
      <c r="X325" s="6">
        <v>171.4</v>
      </c>
      <c r="Y325" s="6">
        <v>156.5</v>
      </c>
      <c r="Z325" s="6">
        <v>161.2</v>
      </c>
      <c r="AA325" s="6">
        <v>164.7</v>
      </c>
      <c r="AB325" s="6">
        <v>163</v>
      </c>
      <c r="AC325" s="6">
        <v>162.7</v>
      </c>
      <c r="AD325" s="6">
        <v>165.7</v>
      </c>
      <c r="AE325" s="6" t="str">
        <f t="shared" si="5"/>
        <v>Rural+Urban|2022|January</v>
      </c>
    </row>
    <row r="326" spans="1:31">
      <c r="A326" s="6" t="s">
        <v>49</v>
      </c>
      <c r="B326" s="6">
        <v>2022</v>
      </c>
      <c r="C326" s="6" t="s">
        <v>53</v>
      </c>
      <c r="D326" s="6">
        <v>148.8</v>
      </c>
      <c r="E326" s="6">
        <v>198.1</v>
      </c>
      <c r="F326" s="6">
        <v>175.5</v>
      </c>
      <c r="G326" s="6">
        <v>160.7</v>
      </c>
      <c r="H326" s="6">
        <v>192.6</v>
      </c>
      <c r="I326" s="6">
        <v>151.4</v>
      </c>
      <c r="J326" s="6">
        <v>155.2</v>
      </c>
      <c r="K326" s="6">
        <v>163.9</v>
      </c>
      <c r="L326" s="6">
        <v>118.1</v>
      </c>
      <c r="M326" s="6">
        <v>175.4</v>
      </c>
      <c r="N326" s="6">
        <v>170.5</v>
      </c>
      <c r="O326" s="6">
        <v>176.3</v>
      </c>
      <c r="P326" s="6">
        <v>163.9</v>
      </c>
      <c r="Q326" s="6">
        <v>191.5</v>
      </c>
      <c r="R326" s="6">
        <v>174.1</v>
      </c>
      <c r="S326" s="6">
        <v>171</v>
      </c>
      <c r="T326" s="6">
        <v>173.7</v>
      </c>
      <c r="V326" s="6">
        <v>167.4</v>
      </c>
      <c r="W326" s="6">
        <v>165.7</v>
      </c>
      <c r="X326" s="6">
        <v>175.3</v>
      </c>
      <c r="Y326" s="6">
        <v>161.2</v>
      </c>
      <c r="Z326" s="6">
        <v>165.5</v>
      </c>
      <c r="AA326" s="6">
        <v>170.3</v>
      </c>
      <c r="AB326" s="6">
        <v>164.5</v>
      </c>
      <c r="AC326" s="6">
        <v>167.3</v>
      </c>
      <c r="AD326" s="6">
        <v>166.7</v>
      </c>
      <c r="AE326" s="6" t="str">
        <f t="shared" si="5"/>
        <v>Rural|2022|February</v>
      </c>
    </row>
    <row r="327" spans="1:31">
      <c r="A327" s="6" t="s">
        <v>51</v>
      </c>
      <c r="B327" s="6">
        <v>2022</v>
      </c>
      <c r="C327" s="6" t="s">
        <v>53</v>
      </c>
      <c r="D327" s="6">
        <v>152.5</v>
      </c>
      <c r="E327" s="6">
        <v>205.2</v>
      </c>
      <c r="F327" s="6">
        <v>176.4</v>
      </c>
      <c r="G327" s="6">
        <v>160.6</v>
      </c>
      <c r="H327" s="6">
        <v>171.5</v>
      </c>
      <c r="I327" s="6">
        <v>156.4</v>
      </c>
      <c r="J327" s="6">
        <v>198</v>
      </c>
      <c r="K327" s="6">
        <v>163.2</v>
      </c>
      <c r="L327" s="6">
        <v>120.6</v>
      </c>
      <c r="M327" s="6">
        <v>172.2</v>
      </c>
      <c r="N327" s="6">
        <v>156.7</v>
      </c>
      <c r="O327" s="6">
        <v>180</v>
      </c>
      <c r="P327" s="6">
        <v>170.2</v>
      </c>
      <c r="Q327" s="6">
        <v>196.5</v>
      </c>
      <c r="R327" s="6">
        <v>165.7</v>
      </c>
      <c r="S327" s="6">
        <v>150.4</v>
      </c>
      <c r="T327" s="6">
        <v>163.4</v>
      </c>
      <c r="U327" s="6">
        <v>165.5</v>
      </c>
      <c r="V327" s="6">
        <v>163</v>
      </c>
      <c r="W327" s="6">
        <v>157.4</v>
      </c>
      <c r="X327" s="6">
        <v>167.2</v>
      </c>
      <c r="Y327" s="6">
        <v>153.1</v>
      </c>
      <c r="Z327" s="6">
        <v>159.5</v>
      </c>
      <c r="AA327" s="6">
        <v>162</v>
      </c>
      <c r="AB327" s="6">
        <v>164.2</v>
      </c>
      <c r="AC327" s="6">
        <v>159.4</v>
      </c>
      <c r="AD327" s="6">
        <v>165.5</v>
      </c>
      <c r="AE327" s="6" t="str">
        <f t="shared" si="5"/>
        <v>Urban|2022|February</v>
      </c>
    </row>
    <row r="328" spans="1:31">
      <c r="A328" s="6" t="s">
        <v>52</v>
      </c>
      <c r="B328" s="6">
        <v>2022</v>
      </c>
      <c r="C328" s="6" t="s">
        <v>53</v>
      </c>
      <c r="D328" s="6">
        <v>150</v>
      </c>
      <c r="E328" s="6">
        <v>200.6</v>
      </c>
      <c r="F328" s="6">
        <v>175.8</v>
      </c>
      <c r="G328" s="6">
        <v>160.7</v>
      </c>
      <c r="H328" s="6">
        <v>184.9</v>
      </c>
      <c r="I328" s="6">
        <v>153.7</v>
      </c>
      <c r="J328" s="6">
        <v>169.7</v>
      </c>
      <c r="K328" s="6">
        <v>163.7</v>
      </c>
      <c r="L328" s="6">
        <v>118.9</v>
      </c>
      <c r="M328" s="6">
        <v>174.3</v>
      </c>
      <c r="N328" s="6">
        <v>164.7</v>
      </c>
      <c r="O328" s="6">
        <v>178</v>
      </c>
      <c r="P328" s="6">
        <v>166.2</v>
      </c>
      <c r="Q328" s="6">
        <v>192.8</v>
      </c>
      <c r="R328" s="6">
        <v>170.8</v>
      </c>
      <c r="S328" s="6">
        <v>162.4</v>
      </c>
      <c r="T328" s="6">
        <v>169.6</v>
      </c>
      <c r="U328" s="6">
        <v>165.5</v>
      </c>
      <c r="V328" s="6">
        <v>165.7</v>
      </c>
      <c r="W328" s="6">
        <v>161.8</v>
      </c>
      <c r="X328" s="6">
        <v>172.2</v>
      </c>
      <c r="Y328" s="6">
        <v>156.9</v>
      </c>
      <c r="Z328" s="6">
        <v>162.1</v>
      </c>
      <c r="AA328" s="6">
        <v>165.4</v>
      </c>
      <c r="AB328" s="6">
        <v>164.4</v>
      </c>
      <c r="AC328" s="6">
        <v>163.5</v>
      </c>
      <c r="AD328" s="6">
        <v>166.1</v>
      </c>
      <c r="AE328" s="6" t="str">
        <f t="shared" si="5"/>
        <v>Rural+Urban|2022|February</v>
      </c>
    </row>
    <row r="329" spans="1:31">
      <c r="A329" s="6" t="s">
        <v>49</v>
      </c>
      <c r="B329" s="6">
        <v>2022</v>
      </c>
      <c r="C329" s="6" t="s">
        <v>54</v>
      </c>
      <c r="D329" s="6">
        <v>150.2</v>
      </c>
      <c r="E329" s="6">
        <v>208</v>
      </c>
      <c r="F329" s="6">
        <v>167.9</v>
      </c>
      <c r="G329" s="6">
        <v>162</v>
      </c>
      <c r="H329" s="6">
        <v>203.1</v>
      </c>
      <c r="I329" s="6">
        <v>155.9</v>
      </c>
      <c r="J329" s="6">
        <v>155.8</v>
      </c>
      <c r="K329" s="6">
        <v>164.2</v>
      </c>
      <c r="L329" s="6">
        <v>118.1</v>
      </c>
      <c r="M329" s="6">
        <v>178.7</v>
      </c>
      <c r="N329" s="6">
        <v>171.2</v>
      </c>
      <c r="O329" s="6">
        <v>177.4</v>
      </c>
      <c r="P329" s="6">
        <v>166.6</v>
      </c>
      <c r="Q329" s="6">
        <v>192.3</v>
      </c>
      <c r="R329" s="6">
        <v>175.4</v>
      </c>
      <c r="S329" s="6">
        <v>173.2</v>
      </c>
      <c r="T329" s="6">
        <v>175.1</v>
      </c>
      <c r="V329" s="6">
        <v>168.9</v>
      </c>
      <c r="W329" s="6">
        <v>166.5</v>
      </c>
      <c r="X329" s="6">
        <v>176</v>
      </c>
      <c r="Y329" s="6">
        <v>162</v>
      </c>
      <c r="Z329" s="6">
        <v>166.6</v>
      </c>
      <c r="AA329" s="6">
        <v>170.6</v>
      </c>
      <c r="AB329" s="6">
        <v>167.4</v>
      </c>
      <c r="AC329" s="6">
        <v>168.3</v>
      </c>
      <c r="AD329" s="6">
        <v>168.7</v>
      </c>
      <c r="AE329" s="6" t="str">
        <f t="shared" si="5"/>
        <v>Rural|2022|March</v>
      </c>
    </row>
    <row r="330" spans="1:31">
      <c r="A330" s="6" t="s">
        <v>51</v>
      </c>
      <c r="B330" s="6">
        <v>2022</v>
      </c>
      <c r="C330" s="6" t="s">
        <v>54</v>
      </c>
      <c r="D330" s="6">
        <v>153.7</v>
      </c>
      <c r="E330" s="6">
        <v>215.8</v>
      </c>
      <c r="F330" s="6">
        <v>167.7</v>
      </c>
      <c r="G330" s="6">
        <v>162.6</v>
      </c>
      <c r="H330" s="6">
        <v>180</v>
      </c>
      <c r="I330" s="6">
        <v>159.6</v>
      </c>
      <c r="J330" s="6">
        <v>188.4</v>
      </c>
      <c r="K330" s="6">
        <v>163.4</v>
      </c>
      <c r="L330" s="6">
        <v>120.3</v>
      </c>
      <c r="M330" s="6">
        <v>174.7</v>
      </c>
      <c r="N330" s="6">
        <v>157.1</v>
      </c>
      <c r="O330" s="6">
        <v>181.5</v>
      </c>
      <c r="P330" s="6">
        <v>171.5</v>
      </c>
      <c r="Q330" s="6">
        <v>197.5</v>
      </c>
      <c r="R330" s="6">
        <v>167.1</v>
      </c>
      <c r="S330" s="6">
        <v>152.6</v>
      </c>
      <c r="T330" s="6">
        <v>164.9</v>
      </c>
      <c r="U330" s="6">
        <v>165.3</v>
      </c>
      <c r="V330" s="6">
        <v>164.5</v>
      </c>
      <c r="W330" s="6">
        <v>158.6</v>
      </c>
      <c r="X330" s="6">
        <v>168.2</v>
      </c>
      <c r="Y330" s="6">
        <v>154.2</v>
      </c>
      <c r="Z330" s="6">
        <v>160.8</v>
      </c>
      <c r="AA330" s="6">
        <v>162.7</v>
      </c>
      <c r="AB330" s="6">
        <v>166.8</v>
      </c>
      <c r="AC330" s="6">
        <v>160.6</v>
      </c>
      <c r="AD330" s="6">
        <v>166.5</v>
      </c>
      <c r="AE330" s="6" t="str">
        <f t="shared" si="5"/>
        <v>Urban|2022|March</v>
      </c>
    </row>
    <row r="331" spans="1:31">
      <c r="A331" s="6" t="s">
        <v>52</v>
      </c>
      <c r="B331" s="6">
        <v>2022</v>
      </c>
      <c r="C331" s="6" t="s">
        <v>54</v>
      </c>
      <c r="D331" s="6">
        <v>151.3</v>
      </c>
      <c r="E331" s="6">
        <v>210.7</v>
      </c>
      <c r="F331" s="6">
        <v>167.8</v>
      </c>
      <c r="G331" s="6">
        <v>162.2</v>
      </c>
      <c r="H331" s="6">
        <v>194.6</v>
      </c>
      <c r="I331" s="6">
        <v>157.6</v>
      </c>
      <c r="J331" s="6">
        <v>166.9</v>
      </c>
      <c r="K331" s="6">
        <v>163.9</v>
      </c>
      <c r="L331" s="6">
        <v>118.8</v>
      </c>
      <c r="M331" s="6">
        <v>177.4</v>
      </c>
      <c r="N331" s="6">
        <v>165.3</v>
      </c>
      <c r="O331" s="6">
        <v>179.3</v>
      </c>
      <c r="P331" s="6">
        <v>168.4</v>
      </c>
      <c r="Q331" s="6">
        <v>193.7</v>
      </c>
      <c r="R331" s="6">
        <v>172.1</v>
      </c>
      <c r="S331" s="6">
        <v>164.6</v>
      </c>
      <c r="T331" s="6">
        <v>171.1</v>
      </c>
      <c r="U331" s="6">
        <v>165.3</v>
      </c>
      <c r="V331" s="6">
        <v>167.2</v>
      </c>
      <c r="W331" s="6">
        <v>162.8</v>
      </c>
      <c r="X331" s="6">
        <v>173</v>
      </c>
      <c r="Y331" s="6">
        <v>157.9</v>
      </c>
      <c r="Z331" s="6">
        <v>163.3</v>
      </c>
      <c r="AA331" s="6">
        <v>166</v>
      </c>
      <c r="AB331" s="6">
        <v>167.2</v>
      </c>
      <c r="AC331" s="6">
        <v>164.6</v>
      </c>
      <c r="AD331" s="6">
        <v>167.7</v>
      </c>
      <c r="AE331" s="6" t="str">
        <f t="shared" si="5"/>
        <v>Rural+Urban|2022|March</v>
      </c>
    </row>
    <row r="332" spans="1:31">
      <c r="A332" s="6" t="s">
        <v>49</v>
      </c>
      <c r="B332" s="6">
        <v>2022</v>
      </c>
      <c r="C332" s="6" t="s">
        <v>55</v>
      </c>
      <c r="D332" s="6">
        <v>151.8</v>
      </c>
      <c r="E332" s="6">
        <v>209.7</v>
      </c>
      <c r="F332" s="6">
        <v>164.5</v>
      </c>
      <c r="G332" s="6">
        <v>163.8</v>
      </c>
      <c r="H332" s="6">
        <v>207.4</v>
      </c>
      <c r="I332" s="6">
        <v>169.7</v>
      </c>
      <c r="J332" s="6">
        <v>153.6</v>
      </c>
      <c r="K332" s="6">
        <v>165.1</v>
      </c>
      <c r="L332" s="6">
        <v>118.2</v>
      </c>
      <c r="M332" s="6">
        <v>182.9</v>
      </c>
      <c r="N332" s="6">
        <v>172.4</v>
      </c>
      <c r="O332" s="6">
        <v>178.9</v>
      </c>
      <c r="P332" s="6">
        <v>168.6</v>
      </c>
      <c r="Q332" s="6">
        <v>192.8</v>
      </c>
      <c r="R332" s="6">
        <v>177.5</v>
      </c>
      <c r="S332" s="6">
        <v>175.1</v>
      </c>
      <c r="T332" s="6">
        <v>177.1</v>
      </c>
      <c r="V332" s="6">
        <v>173.3</v>
      </c>
      <c r="W332" s="6">
        <v>167.7</v>
      </c>
      <c r="X332" s="6">
        <v>177</v>
      </c>
      <c r="Y332" s="6">
        <v>166.2</v>
      </c>
      <c r="Z332" s="6">
        <v>167.2</v>
      </c>
      <c r="AA332" s="6">
        <v>170.9</v>
      </c>
      <c r="AB332" s="6">
        <v>169</v>
      </c>
      <c r="AC332" s="6">
        <v>170.2</v>
      </c>
      <c r="AD332" s="6">
        <v>170.8</v>
      </c>
      <c r="AE332" s="6" t="str">
        <f t="shared" si="5"/>
        <v>Rural|2022|April</v>
      </c>
    </row>
    <row r="333" spans="1:31">
      <c r="A333" s="6" t="s">
        <v>51</v>
      </c>
      <c r="B333" s="6">
        <v>2022</v>
      </c>
      <c r="C333" s="6" t="s">
        <v>55</v>
      </c>
      <c r="D333" s="6">
        <v>155.4</v>
      </c>
      <c r="E333" s="6">
        <v>215.8</v>
      </c>
      <c r="F333" s="6">
        <v>164.6</v>
      </c>
      <c r="G333" s="6">
        <v>164.2</v>
      </c>
      <c r="H333" s="6">
        <v>186</v>
      </c>
      <c r="I333" s="6">
        <v>175.9</v>
      </c>
      <c r="J333" s="6">
        <v>190.7</v>
      </c>
      <c r="K333" s="6">
        <v>164</v>
      </c>
      <c r="L333" s="6">
        <v>120.5</v>
      </c>
      <c r="M333" s="6">
        <v>178</v>
      </c>
      <c r="N333" s="6">
        <v>157.5</v>
      </c>
      <c r="O333" s="6">
        <v>183.3</v>
      </c>
      <c r="P333" s="6">
        <v>174.5</v>
      </c>
      <c r="Q333" s="6">
        <v>197.1</v>
      </c>
      <c r="R333" s="6">
        <v>168.4</v>
      </c>
      <c r="S333" s="6">
        <v>154.5</v>
      </c>
      <c r="T333" s="6">
        <v>166.3</v>
      </c>
      <c r="U333" s="6">
        <v>167</v>
      </c>
      <c r="V333" s="6">
        <v>170.5</v>
      </c>
      <c r="W333" s="6">
        <v>159.8</v>
      </c>
      <c r="X333" s="6">
        <v>169</v>
      </c>
      <c r="Y333" s="6">
        <v>159.3</v>
      </c>
      <c r="Z333" s="6">
        <v>162.2</v>
      </c>
      <c r="AA333" s="6">
        <v>164</v>
      </c>
      <c r="AB333" s="6">
        <v>168.4</v>
      </c>
      <c r="AC333" s="6">
        <v>163.1</v>
      </c>
      <c r="AD333" s="6">
        <v>169.2</v>
      </c>
      <c r="AE333" s="6" t="str">
        <f t="shared" si="5"/>
        <v>Urban|2022|April</v>
      </c>
    </row>
    <row r="334" spans="1:31">
      <c r="A334" s="6" t="s">
        <v>52</v>
      </c>
      <c r="B334" s="6">
        <v>2022</v>
      </c>
      <c r="C334" s="6" t="s">
        <v>55</v>
      </c>
      <c r="D334" s="6">
        <v>152.9</v>
      </c>
      <c r="E334" s="6">
        <v>211.8</v>
      </c>
      <c r="F334" s="6">
        <v>164.5</v>
      </c>
      <c r="G334" s="6">
        <v>163.9</v>
      </c>
      <c r="H334" s="6">
        <v>199.5</v>
      </c>
      <c r="I334" s="6">
        <v>172.6</v>
      </c>
      <c r="J334" s="6">
        <v>166.2</v>
      </c>
      <c r="K334" s="6">
        <v>164.7</v>
      </c>
      <c r="L334" s="6">
        <v>119</v>
      </c>
      <c r="M334" s="6">
        <v>181.3</v>
      </c>
      <c r="N334" s="6">
        <v>166.2</v>
      </c>
      <c r="O334" s="6">
        <v>180.9</v>
      </c>
      <c r="P334" s="6">
        <v>170.8</v>
      </c>
      <c r="Q334" s="6">
        <v>193.9</v>
      </c>
      <c r="R334" s="6">
        <v>173.9</v>
      </c>
      <c r="S334" s="6">
        <v>166.5</v>
      </c>
      <c r="T334" s="6">
        <v>172.8</v>
      </c>
      <c r="U334" s="6">
        <v>167</v>
      </c>
      <c r="V334" s="6">
        <v>172.2</v>
      </c>
      <c r="W334" s="6">
        <v>164</v>
      </c>
      <c r="X334" s="6">
        <v>174</v>
      </c>
      <c r="Y334" s="6">
        <v>162.6</v>
      </c>
      <c r="Z334" s="6">
        <v>164.4</v>
      </c>
      <c r="AA334" s="6">
        <v>166.9</v>
      </c>
      <c r="AB334" s="6">
        <v>168.8</v>
      </c>
      <c r="AC334" s="6">
        <v>166.8</v>
      </c>
      <c r="AD334" s="6">
        <v>170.1</v>
      </c>
      <c r="AE334" s="6" t="str">
        <f t="shared" si="5"/>
        <v>Rural+Urban|2022|April</v>
      </c>
    </row>
    <row r="335" spans="1:31">
      <c r="A335" s="6" t="s">
        <v>49</v>
      </c>
      <c r="B335" s="6">
        <v>2022</v>
      </c>
      <c r="C335" s="6" t="s">
        <v>56</v>
      </c>
      <c r="D335" s="6">
        <v>152.9</v>
      </c>
      <c r="E335" s="6">
        <v>214.7</v>
      </c>
      <c r="F335" s="6">
        <v>161.4</v>
      </c>
      <c r="G335" s="6">
        <v>164.6</v>
      </c>
      <c r="H335" s="6">
        <v>209.9</v>
      </c>
      <c r="I335" s="6">
        <v>168</v>
      </c>
      <c r="J335" s="6">
        <v>160.4</v>
      </c>
      <c r="K335" s="6">
        <v>165</v>
      </c>
      <c r="L335" s="6">
        <v>118.9</v>
      </c>
      <c r="M335" s="6">
        <v>186.6</v>
      </c>
      <c r="N335" s="6">
        <v>173.2</v>
      </c>
      <c r="O335" s="6">
        <v>180.4</v>
      </c>
      <c r="P335" s="6">
        <v>170.8</v>
      </c>
      <c r="Q335" s="6">
        <v>192.9</v>
      </c>
      <c r="R335" s="6">
        <v>179.3</v>
      </c>
      <c r="S335" s="6">
        <v>177.2</v>
      </c>
      <c r="T335" s="6">
        <v>179</v>
      </c>
      <c r="V335" s="6">
        <v>175.3</v>
      </c>
      <c r="W335" s="6">
        <v>168.9</v>
      </c>
      <c r="X335" s="6">
        <v>177.7</v>
      </c>
      <c r="Y335" s="6">
        <v>167.1</v>
      </c>
      <c r="Z335" s="6">
        <v>167.6</v>
      </c>
      <c r="AA335" s="6">
        <v>171.8</v>
      </c>
      <c r="AB335" s="6">
        <v>168.5</v>
      </c>
      <c r="AC335" s="6">
        <v>170.9</v>
      </c>
      <c r="AD335" s="6">
        <v>172.5</v>
      </c>
      <c r="AE335" s="6" t="str">
        <f t="shared" si="5"/>
        <v>Rural|2022|May</v>
      </c>
    </row>
    <row r="336" spans="1:31">
      <c r="A336" s="6" t="s">
        <v>51</v>
      </c>
      <c r="B336" s="6">
        <v>2022</v>
      </c>
      <c r="C336" s="6" t="s">
        <v>56</v>
      </c>
      <c r="D336" s="6">
        <v>156.7</v>
      </c>
      <c r="E336" s="6">
        <v>221.2</v>
      </c>
      <c r="F336" s="6">
        <v>164.1</v>
      </c>
      <c r="G336" s="6">
        <v>165.4</v>
      </c>
      <c r="H336" s="6">
        <v>189.5</v>
      </c>
      <c r="I336" s="6">
        <v>174.5</v>
      </c>
      <c r="J336" s="6">
        <v>203.2</v>
      </c>
      <c r="K336" s="6">
        <v>164.1</v>
      </c>
      <c r="L336" s="6">
        <v>121.2</v>
      </c>
      <c r="M336" s="6">
        <v>181.4</v>
      </c>
      <c r="N336" s="6">
        <v>158.5</v>
      </c>
      <c r="O336" s="6">
        <v>184.9</v>
      </c>
      <c r="P336" s="6">
        <v>177.5</v>
      </c>
      <c r="Q336" s="6">
        <v>197.5</v>
      </c>
      <c r="R336" s="6">
        <v>170</v>
      </c>
      <c r="S336" s="6">
        <v>155.9</v>
      </c>
      <c r="T336" s="6">
        <v>167.8</v>
      </c>
      <c r="U336" s="6">
        <v>167.5</v>
      </c>
      <c r="V336" s="6">
        <v>173.5</v>
      </c>
      <c r="W336" s="6">
        <v>161.1</v>
      </c>
      <c r="X336" s="6">
        <v>170.1</v>
      </c>
      <c r="Y336" s="6">
        <v>159.4</v>
      </c>
      <c r="Z336" s="6">
        <v>163.2</v>
      </c>
      <c r="AA336" s="6">
        <v>165.2</v>
      </c>
      <c r="AB336" s="6">
        <v>168.2</v>
      </c>
      <c r="AC336" s="6">
        <v>163.8</v>
      </c>
      <c r="AD336" s="6">
        <v>170.8</v>
      </c>
      <c r="AE336" s="6" t="str">
        <f t="shared" si="5"/>
        <v>Urban|2022|May</v>
      </c>
    </row>
    <row r="337" spans="1:31">
      <c r="A337" s="6" t="s">
        <v>52</v>
      </c>
      <c r="B337" s="6">
        <v>2022</v>
      </c>
      <c r="C337" s="6" t="s">
        <v>56</v>
      </c>
      <c r="D337" s="6">
        <v>154.1</v>
      </c>
      <c r="E337" s="6">
        <v>217</v>
      </c>
      <c r="F337" s="6">
        <v>162.4</v>
      </c>
      <c r="G337" s="6">
        <v>164.9</v>
      </c>
      <c r="H337" s="6">
        <v>202.4</v>
      </c>
      <c r="I337" s="6">
        <v>171</v>
      </c>
      <c r="J337" s="6">
        <v>174.9</v>
      </c>
      <c r="K337" s="6">
        <v>164.7</v>
      </c>
      <c r="L337" s="6">
        <v>119.7</v>
      </c>
      <c r="M337" s="6">
        <v>184.9</v>
      </c>
      <c r="N337" s="6">
        <v>167.1</v>
      </c>
      <c r="O337" s="6">
        <v>182.5</v>
      </c>
      <c r="P337" s="6">
        <v>173.3</v>
      </c>
      <c r="Q337" s="6">
        <v>194.1</v>
      </c>
      <c r="R337" s="6">
        <v>175.6</v>
      </c>
      <c r="S337" s="6">
        <v>168.4</v>
      </c>
      <c r="T337" s="6">
        <v>174.6</v>
      </c>
      <c r="U337" s="6">
        <v>167.5</v>
      </c>
      <c r="V337" s="6">
        <v>174.6</v>
      </c>
      <c r="W337" s="6">
        <v>165.2</v>
      </c>
      <c r="X337" s="6">
        <v>174.8</v>
      </c>
      <c r="Y337" s="6">
        <v>163</v>
      </c>
      <c r="Z337" s="6">
        <v>165.1</v>
      </c>
      <c r="AA337" s="6">
        <v>167.9</v>
      </c>
      <c r="AB337" s="6">
        <v>168.4</v>
      </c>
      <c r="AC337" s="6">
        <v>167.5</v>
      </c>
      <c r="AD337" s="6">
        <v>171.7</v>
      </c>
      <c r="AE337" s="6" t="str">
        <f t="shared" si="5"/>
        <v>Rural+Urban|2022|May</v>
      </c>
    </row>
    <row r="338" spans="1:31">
      <c r="A338" s="6" t="s">
        <v>49</v>
      </c>
      <c r="B338" s="6">
        <v>2022</v>
      </c>
      <c r="C338" s="6" t="s">
        <v>57</v>
      </c>
      <c r="D338" s="6">
        <v>153.8</v>
      </c>
      <c r="E338" s="6">
        <v>217.2</v>
      </c>
      <c r="F338" s="6">
        <v>169.6</v>
      </c>
      <c r="G338" s="6">
        <v>165.4</v>
      </c>
      <c r="H338" s="6">
        <v>208.1</v>
      </c>
      <c r="I338" s="6">
        <v>165.8</v>
      </c>
      <c r="J338" s="6">
        <v>167.3</v>
      </c>
      <c r="K338" s="6">
        <v>164.6</v>
      </c>
      <c r="L338" s="6">
        <v>119.1</v>
      </c>
      <c r="M338" s="6">
        <v>188.9</v>
      </c>
      <c r="N338" s="6">
        <v>174.2</v>
      </c>
      <c r="O338" s="6">
        <v>181.9</v>
      </c>
      <c r="P338" s="6">
        <v>172.4</v>
      </c>
      <c r="Q338" s="6">
        <v>192.9</v>
      </c>
      <c r="R338" s="6">
        <v>180.7</v>
      </c>
      <c r="S338" s="6">
        <v>178.7</v>
      </c>
      <c r="T338" s="6">
        <v>180.4</v>
      </c>
      <c r="V338" s="6">
        <v>176.7</v>
      </c>
      <c r="W338" s="6">
        <v>170.3</v>
      </c>
      <c r="X338" s="6">
        <v>178.2</v>
      </c>
      <c r="Y338" s="6">
        <v>165.5</v>
      </c>
      <c r="Z338" s="6">
        <v>168</v>
      </c>
      <c r="AA338" s="6">
        <v>172.6</v>
      </c>
      <c r="AB338" s="6">
        <v>169.5</v>
      </c>
      <c r="AC338" s="6">
        <v>171</v>
      </c>
      <c r="AD338" s="6">
        <v>173.6</v>
      </c>
      <c r="AE338" s="6" t="str">
        <f t="shared" si="5"/>
        <v>Rural|2022|June</v>
      </c>
    </row>
    <row r="339" spans="1:31">
      <c r="A339" s="6" t="s">
        <v>51</v>
      </c>
      <c r="B339" s="6">
        <v>2022</v>
      </c>
      <c r="C339" s="6" t="s">
        <v>57</v>
      </c>
      <c r="D339" s="6">
        <v>157.5</v>
      </c>
      <c r="E339" s="6">
        <v>223.4</v>
      </c>
      <c r="F339" s="6">
        <v>172.8</v>
      </c>
      <c r="G339" s="6">
        <v>166.4</v>
      </c>
      <c r="H339" s="6">
        <v>188.6</v>
      </c>
      <c r="I339" s="6">
        <v>174.1</v>
      </c>
      <c r="J339" s="6">
        <v>211.5</v>
      </c>
      <c r="K339" s="6">
        <v>163.6</v>
      </c>
      <c r="L339" s="6">
        <v>121.4</v>
      </c>
      <c r="M339" s="6">
        <v>183.5</v>
      </c>
      <c r="N339" s="6">
        <v>159.1</v>
      </c>
      <c r="O339" s="6">
        <v>186.3</v>
      </c>
      <c r="P339" s="6">
        <v>179.3</v>
      </c>
      <c r="Q339" s="6">
        <v>198.3</v>
      </c>
      <c r="R339" s="6">
        <v>171.6</v>
      </c>
      <c r="S339" s="6">
        <v>157.4</v>
      </c>
      <c r="T339" s="6">
        <v>169.4</v>
      </c>
      <c r="U339" s="6">
        <v>166.8</v>
      </c>
      <c r="V339" s="6">
        <v>174.9</v>
      </c>
      <c r="W339" s="6">
        <v>162.1</v>
      </c>
      <c r="X339" s="6">
        <v>170.9</v>
      </c>
      <c r="Y339" s="6">
        <v>157.2</v>
      </c>
      <c r="Z339" s="6">
        <v>164.1</v>
      </c>
      <c r="AA339" s="6">
        <v>166.5</v>
      </c>
      <c r="AB339" s="6">
        <v>169.2</v>
      </c>
      <c r="AC339" s="6">
        <v>163.8</v>
      </c>
      <c r="AD339" s="6">
        <v>171.4</v>
      </c>
      <c r="AE339" s="6" t="str">
        <f t="shared" si="5"/>
        <v>Urban|2022|June</v>
      </c>
    </row>
    <row r="340" spans="1:31">
      <c r="A340" s="6" t="s">
        <v>52</v>
      </c>
      <c r="B340" s="6">
        <v>2022</v>
      </c>
      <c r="C340" s="6" t="s">
        <v>57</v>
      </c>
      <c r="D340" s="6">
        <v>155</v>
      </c>
      <c r="E340" s="6">
        <v>219.4</v>
      </c>
      <c r="F340" s="6">
        <v>170.8</v>
      </c>
      <c r="G340" s="6">
        <v>165.8</v>
      </c>
      <c r="H340" s="6">
        <v>200.9</v>
      </c>
      <c r="I340" s="6">
        <v>169.7</v>
      </c>
      <c r="J340" s="6">
        <v>182.3</v>
      </c>
      <c r="K340" s="6">
        <v>164.3</v>
      </c>
      <c r="L340" s="6">
        <v>119.9</v>
      </c>
      <c r="M340" s="6">
        <v>187.1</v>
      </c>
      <c r="N340" s="6">
        <v>167.9</v>
      </c>
      <c r="O340" s="6">
        <v>183.9</v>
      </c>
      <c r="P340" s="6">
        <v>174.9</v>
      </c>
      <c r="Q340" s="6">
        <v>194.3</v>
      </c>
      <c r="R340" s="6">
        <v>177.1</v>
      </c>
      <c r="S340" s="6">
        <v>169.9</v>
      </c>
      <c r="T340" s="6">
        <v>176</v>
      </c>
      <c r="U340" s="6">
        <v>166.8</v>
      </c>
      <c r="V340" s="6">
        <v>176</v>
      </c>
      <c r="W340" s="6">
        <v>166.4</v>
      </c>
      <c r="X340" s="6">
        <v>175.4</v>
      </c>
      <c r="Y340" s="6">
        <v>161.1</v>
      </c>
      <c r="Z340" s="6">
        <v>165.8</v>
      </c>
      <c r="AA340" s="6">
        <v>169</v>
      </c>
      <c r="AB340" s="6">
        <v>169.4</v>
      </c>
      <c r="AC340" s="6">
        <v>167.5</v>
      </c>
      <c r="AD340" s="6">
        <v>172.6</v>
      </c>
      <c r="AE340" s="6" t="str">
        <f t="shared" si="5"/>
        <v>Rural+Urban|2022|June</v>
      </c>
    </row>
    <row r="341" spans="1:31">
      <c r="A341" s="6" t="s">
        <v>49</v>
      </c>
      <c r="B341" s="6">
        <v>2022</v>
      </c>
      <c r="C341" s="6" t="s">
        <v>58</v>
      </c>
      <c r="D341" s="6">
        <v>155.2</v>
      </c>
      <c r="E341" s="6">
        <v>210.8</v>
      </c>
      <c r="F341" s="6">
        <v>174.3</v>
      </c>
      <c r="G341" s="6">
        <v>166.3</v>
      </c>
      <c r="H341" s="6">
        <v>202.2</v>
      </c>
      <c r="I341" s="6">
        <v>169.6</v>
      </c>
      <c r="J341" s="6">
        <v>168.6</v>
      </c>
      <c r="K341" s="6">
        <v>164.4</v>
      </c>
      <c r="L341" s="6">
        <v>119.2</v>
      </c>
      <c r="M341" s="6">
        <v>191.8</v>
      </c>
      <c r="N341" s="6">
        <v>174.5</v>
      </c>
      <c r="O341" s="6">
        <v>183.1</v>
      </c>
      <c r="P341" s="6">
        <v>172.5</v>
      </c>
      <c r="Q341" s="6">
        <v>193.2</v>
      </c>
      <c r="R341" s="6">
        <v>182</v>
      </c>
      <c r="S341" s="6">
        <v>180.3</v>
      </c>
      <c r="T341" s="6">
        <v>181.7</v>
      </c>
      <c r="V341" s="6">
        <v>179.6</v>
      </c>
      <c r="W341" s="6">
        <v>171.3</v>
      </c>
      <c r="X341" s="6">
        <v>178.8</v>
      </c>
      <c r="Y341" s="6">
        <v>166.3</v>
      </c>
      <c r="Z341" s="6">
        <v>168.6</v>
      </c>
      <c r="AA341" s="6">
        <v>174.7</v>
      </c>
      <c r="AB341" s="6">
        <v>169.7</v>
      </c>
      <c r="AC341" s="6">
        <v>171.8</v>
      </c>
      <c r="AD341" s="6">
        <v>174.3</v>
      </c>
      <c r="AE341" s="6" t="str">
        <f t="shared" si="5"/>
        <v>Rural|2022|July</v>
      </c>
    </row>
    <row r="342" spans="1:31">
      <c r="A342" s="6" t="s">
        <v>51</v>
      </c>
      <c r="B342" s="6">
        <v>2022</v>
      </c>
      <c r="C342" s="6" t="s">
        <v>58</v>
      </c>
      <c r="D342" s="6">
        <v>159.3</v>
      </c>
      <c r="E342" s="6">
        <v>217.1</v>
      </c>
      <c r="F342" s="6">
        <v>176.6</v>
      </c>
      <c r="G342" s="6">
        <v>167.1</v>
      </c>
      <c r="H342" s="6">
        <v>184.8</v>
      </c>
      <c r="I342" s="6">
        <v>179.5</v>
      </c>
      <c r="J342" s="6">
        <v>208.5</v>
      </c>
      <c r="K342" s="6">
        <v>164</v>
      </c>
      <c r="L342" s="6">
        <v>121.5</v>
      </c>
      <c r="M342" s="6">
        <v>186.3</v>
      </c>
      <c r="N342" s="6">
        <v>159.8</v>
      </c>
      <c r="O342" s="6">
        <v>187.7</v>
      </c>
      <c r="P342" s="6">
        <v>179.4</v>
      </c>
      <c r="Q342" s="6">
        <v>198.6</v>
      </c>
      <c r="R342" s="6">
        <v>172.7</v>
      </c>
      <c r="S342" s="6">
        <v>158.7</v>
      </c>
      <c r="T342" s="6">
        <v>170.6</v>
      </c>
      <c r="U342" s="6">
        <v>167.8</v>
      </c>
      <c r="V342" s="6">
        <v>179.5</v>
      </c>
      <c r="W342" s="6">
        <v>163.1</v>
      </c>
      <c r="X342" s="6">
        <v>171.7</v>
      </c>
      <c r="Y342" s="6">
        <v>157.4</v>
      </c>
      <c r="Z342" s="6">
        <v>164.6</v>
      </c>
      <c r="AA342" s="6">
        <v>169.1</v>
      </c>
      <c r="AB342" s="6">
        <v>169.8</v>
      </c>
      <c r="AC342" s="6">
        <v>164.7</v>
      </c>
      <c r="AD342" s="6">
        <v>172.3</v>
      </c>
      <c r="AE342" s="6" t="str">
        <f t="shared" si="5"/>
        <v>Urban|2022|July</v>
      </c>
    </row>
    <row r="343" spans="1:31">
      <c r="A343" s="6" t="s">
        <v>52</v>
      </c>
      <c r="B343" s="6">
        <v>2022</v>
      </c>
      <c r="C343" s="6" t="s">
        <v>58</v>
      </c>
      <c r="D343" s="6">
        <v>156.5</v>
      </c>
      <c r="E343" s="6">
        <v>213</v>
      </c>
      <c r="F343" s="6">
        <v>175.2</v>
      </c>
      <c r="G343" s="6">
        <v>166.6</v>
      </c>
      <c r="H343" s="6">
        <v>195.8</v>
      </c>
      <c r="I343" s="6">
        <v>174.2</v>
      </c>
      <c r="J343" s="6">
        <v>182.1</v>
      </c>
      <c r="K343" s="6">
        <v>164.3</v>
      </c>
      <c r="L343" s="6">
        <v>120</v>
      </c>
      <c r="M343" s="6">
        <v>190</v>
      </c>
      <c r="N343" s="6">
        <v>168.4</v>
      </c>
      <c r="O343" s="6">
        <v>185.2</v>
      </c>
      <c r="P343" s="6">
        <v>175</v>
      </c>
      <c r="Q343" s="6">
        <v>194.6</v>
      </c>
      <c r="R343" s="6">
        <v>178.3</v>
      </c>
      <c r="S343" s="6">
        <v>171.3</v>
      </c>
      <c r="T343" s="6">
        <v>177.3</v>
      </c>
      <c r="U343" s="6">
        <v>167.8</v>
      </c>
      <c r="V343" s="6">
        <v>179.6</v>
      </c>
      <c r="W343" s="6">
        <v>167.4</v>
      </c>
      <c r="X343" s="6">
        <v>176.1</v>
      </c>
      <c r="Y343" s="6">
        <v>161.6</v>
      </c>
      <c r="Z343" s="6">
        <v>166.3</v>
      </c>
      <c r="AA343" s="6">
        <v>171.4</v>
      </c>
      <c r="AB343" s="6">
        <v>169.7</v>
      </c>
      <c r="AC343" s="6">
        <v>168.4</v>
      </c>
      <c r="AD343" s="6">
        <v>173.4</v>
      </c>
      <c r="AE343" s="6" t="str">
        <f t="shared" si="5"/>
        <v>Rural+Urban|2022|July</v>
      </c>
    </row>
    <row r="344" spans="1:31">
      <c r="A344" s="6" t="s">
        <v>49</v>
      </c>
      <c r="B344" s="6">
        <v>2022</v>
      </c>
      <c r="C344" s="6" t="s">
        <v>59</v>
      </c>
      <c r="D344" s="6">
        <v>159.5</v>
      </c>
      <c r="E344" s="6">
        <v>204.1</v>
      </c>
      <c r="F344" s="6">
        <v>168.3</v>
      </c>
      <c r="G344" s="6">
        <v>167.9</v>
      </c>
      <c r="H344" s="6">
        <v>198.1</v>
      </c>
      <c r="I344" s="6">
        <v>169.2</v>
      </c>
      <c r="J344" s="6">
        <v>173.1</v>
      </c>
      <c r="K344" s="6">
        <v>167.1</v>
      </c>
      <c r="L344" s="6">
        <v>120.2</v>
      </c>
      <c r="M344" s="6">
        <v>195.6</v>
      </c>
      <c r="N344" s="6">
        <v>174.8</v>
      </c>
      <c r="O344" s="6">
        <v>184</v>
      </c>
      <c r="P344" s="6">
        <v>173.9</v>
      </c>
      <c r="Q344" s="6">
        <v>193.7</v>
      </c>
      <c r="R344" s="6">
        <v>183.2</v>
      </c>
      <c r="S344" s="6">
        <v>181.7</v>
      </c>
      <c r="T344" s="6">
        <v>183</v>
      </c>
      <c r="V344" s="6">
        <v>179.1</v>
      </c>
      <c r="W344" s="6">
        <v>172.3</v>
      </c>
      <c r="X344" s="6">
        <v>179.4</v>
      </c>
      <c r="Y344" s="6">
        <v>166.6</v>
      </c>
      <c r="Z344" s="6">
        <v>169.3</v>
      </c>
      <c r="AA344" s="6">
        <v>175.7</v>
      </c>
      <c r="AB344" s="6">
        <v>171.1</v>
      </c>
      <c r="AC344" s="6">
        <v>172.6</v>
      </c>
      <c r="AD344" s="6">
        <v>175.3</v>
      </c>
      <c r="AE344" s="6" t="str">
        <f t="shared" si="5"/>
        <v>Rural|2022|August</v>
      </c>
    </row>
    <row r="345" spans="1:31">
      <c r="A345" s="6" t="s">
        <v>51</v>
      </c>
      <c r="B345" s="6">
        <v>2022</v>
      </c>
      <c r="C345" s="6" t="s">
        <v>59</v>
      </c>
      <c r="D345" s="6">
        <v>162.1</v>
      </c>
      <c r="E345" s="6">
        <v>210.9</v>
      </c>
      <c r="F345" s="6">
        <v>170.6</v>
      </c>
      <c r="G345" s="6">
        <v>168.4</v>
      </c>
      <c r="H345" s="6">
        <v>182.5</v>
      </c>
      <c r="I345" s="6">
        <v>177.1</v>
      </c>
      <c r="J345" s="6">
        <v>213.1</v>
      </c>
      <c r="K345" s="6">
        <v>167.3</v>
      </c>
      <c r="L345" s="6">
        <v>122.2</v>
      </c>
      <c r="M345" s="6">
        <v>189.7</v>
      </c>
      <c r="N345" s="6">
        <v>160.5</v>
      </c>
      <c r="O345" s="6">
        <v>188.9</v>
      </c>
      <c r="P345" s="6">
        <v>180.4</v>
      </c>
      <c r="Q345" s="6">
        <v>198.7</v>
      </c>
      <c r="R345" s="6">
        <v>173.7</v>
      </c>
      <c r="S345" s="6">
        <v>160</v>
      </c>
      <c r="T345" s="6">
        <v>171.6</v>
      </c>
      <c r="U345" s="6">
        <v>169</v>
      </c>
      <c r="V345" s="6">
        <v>178.4</v>
      </c>
      <c r="W345" s="6">
        <v>164.2</v>
      </c>
      <c r="X345" s="6">
        <v>172.6</v>
      </c>
      <c r="Y345" s="6">
        <v>157.7</v>
      </c>
      <c r="Z345" s="6">
        <v>165.1</v>
      </c>
      <c r="AA345" s="6">
        <v>169.9</v>
      </c>
      <c r="AB345" s="6">
        <v>171.4</v>
      </c>
      <c r="AC345" s="6">
        <v>165.4</v>
      </c>
      <c r="AD345" s="6">
        <v>173.1</v>
      </c>
      <c r="AE345" s="6" t="str">
        <f t="shared" si="5"/>
        <v>Urban|2022|August</v>
      </c>
    </row>
    <row r="346" spans="1:31">
      <c r="A346" s="6" t="s">
        <v>52</v>
      </c>
      <c r="B346" s="6">
        <v>2022</v>
      </c>
      <c r="C346" s="6" t="s">
        <v>59</v>
      </c>
      <c r="D346" s="6">
        <v>160.3</v>
      </c>
      <c r="E346" s="6">
        <v>206.5</v>
      </c>
      <c r="F346" s="6">
        <v>169.2</v>
      </c>
      <c r="G346" s="6">
        <v>168.1</v>
      </c>
      <c r="H346" s="6">
        <v>192.4</v>
      </c>
      <c r="I346" s="6">
        <v>172.9</v>
      </c>
      <c r="J346" s="6">
        <v>186.7</v>
      </c>
      <c r="K346" s="6">
        <v>167.2</v>
      </c>
      <c r="L346" s="6">
        <v>120.9</v>
      </c>
      <c r="M346" s="6">
        <v>193.6</v>
      </c>
      <c r="N346" s="6">
        <v>168.8</v>
      </c>
      <c r="O346" s="6">
        <v>186.3</v>
      </c>
      <c r="P346" s="6">
        <v>176.3</v>
      </c>
      <c r="Q346" s="6">
        <v>195</v>
      </c>
      <c r="R346" s="6">
        <v>179.5</v>
      </c>
      <c r="S346" s="6">
        <v>172.7</v>
      </c>
      <c r="T346" s="6">
        <v>178.5</v>
      </c>
      <c r="U346" s="6">
        <v>169</v>
      </c>
      <c r="V346" s="6">
        <v>178.8</v>
      </c>
      <c r="W346" s="6">
        <v>168.5</v>
      </c>
      <c r="X346" s="6">
        <v>176.8</v>
      </c>
      <c r="Y346" s="6">
        <v>161.9</v>
      </c>
      <c r="Z346" s="6">
        <v>166.9</v>
      </c>
      <c r="AA346" s="6">
        <v>172.3</v>
      </c>
      <c r="AB346" s="6">
        <v>171.2</v>
      </c>
      <c r="AC346" s="6">
        <v>169.1</v>
      </c>
      <c r="AD346" s="6">
        <v>174.3</v>
      </c>
      <c r="AE346" s="6" t="str">
        <f t="shared" si="5"/>
        <v>Rural+Urban|2022|August</v>
      </c>
    </row>
    <row r="347" spans="1:31">
      <c r="A347" s="6" t="s">
        <v>49</v>
      </c>
      <c r="B347" s="6">
        <v>2022</v>
      </c>
      <c r="C347" s="6" t="s">
        <v>60</v>
      </c>
      <c r="D347" s="6">
        <v>162.9</v>
      </c>
      <c r="E347" s="6">
        <v>206.7</v>
      </c>
      <c r="F347" s="6">
        <v>169</v>
      </c>
      <c r="G347" s="6">
        <v>169.5</v>
      </c>
      <c r="H347" s="6">
        <v>194.1</v>
      </c>
      <c r="I347" s="6">
        <v>164.1</v>
      </c>
      <c r="J347" s="6">
        <v>176.9</v>
      </c>
      <c r="K347" s="6">
        <v>169</v>
      </c>
      <c r="L347" s="6">
        <v>120.8</v>
      </c>
      <c r="M347" s="6">
        <v>199.1</v>
      </c>
      <c r="N347" s="6">
        <v>175.4</v>
      </c>
      <c r="O347" s="6">
        <v>184.8</v>
      </c>
      <c r="P347" s="6">
        <v>175.5</v>
      </c>
      <c r="Q347" s="6">
        <v>194.5</v>
      </c>
      <c r="R347" s="6">
        <v>184.7</v>
      </c>
      <c r="S347" s="6">
        <v>183.3</v>
      </c>
      <c r="T347" s="6">
        <v>184.5</v>
      </c>
      <c r="V347" s="6">
        <v>179.7</v>
      </c>
      <c r="W347" s="6">
        <v>173.6</v>
      </c>
      <c r="X347" s="6">
        <v>180.2</v>
      </c>
      <c r="Y347" s="6">
        <v>166.9</v>
      </c>
      <c r="Z347" s="6">
        <v>170</v>
      </c>
      <c r="AA347" s="6">
        <v>176.2</v>
      </c>
      <c r="AB347" s="6">
        <v>170.8</v>
      </c>
      <c r="AC347" s="6">
        <v>173.1</v>
      </c>
      <c r="AD347" s="6">
        <v>176.4</v>
      </c>
      <c r="AE347" s="6" t="str">
        <f t="shared" si="5"/>
        <v>Rural|2022|September</v>
      </c>
    </row>
    <row r="348" spans="1:31">
      <c r="A348" s="6" t="s">
        <v>51</v>
      </c>
      <c r="B348" s="6">
        <v>2022</v>
      </c>
      <c r="C348" s="6" t="s">
        <v>60</v>
      </c>
      <c r="D348" s="6">
        <v>164.9</v>
      </c>
      <c r="E348" s="6">
        <v>213.7</v>
      </c>
      <c r="F348" s="6">
        <v>170.9</v>
      </c>
      <c r="G348" s="6">
        <v>170.1</v>
      </c>
      <c r="H348" s="6">
        <v>179.3</v>
      </c>
      <c r="I348" s="6">
        <v>167.5</v>
      </c>
      <c r="J348" s="6">
        <v>220.8</v>
      </c>
      <c r="K348" s="6">
        <v>169.2</v>
      </c>
      <c r="L348" s="6">
        <v>123.1</v>
      </c>
      <c r="M348" s="6">
        <v>193.6</v>
      </c>
      <c r="N348" s="6">
        <v>161.1</v>
      </c>
      <c r="O348" s="6">
        <v>190.4</v>
      </c>
      <c r="P348" s="6">
        <v>181.8</v>
      </c>
      <c r="Q348" s="6">
        <v>199.7</v>
      </c>
      <c r="R348" s="6">
        <v>175</v>
      </c>
      <c r="S348" s="6">
        <v>161.7</v>
      </c>
      <c r="T348" s="6">
        <v>173</v>
      </c>
      <c r="U348" s="6">
        <v>169.5</v>
      </c>
      <c r="V348" s="6">
        <v>179.2</v>
      </c>
      <c r="W348" s="6">
        <v>165</v>
      </c>
      <c r="X348" s="6">
        <v>173.8</v>
      </c>
      <c r="Y348" s="6">
        <v>158.2</v>
      </c>
      <c r="Z348" s="6">
        <v>165.8</v>
      </c>
      <c r="AA348" s="6">
        <v>170.9</v>
      </c>
      <c r="AB348" s="6">
        <v>171.1</v>
      </c>
      <c r="AC348" s="6">
        <v>166.1</v>
      </c>
      <c r="AD348" s="6">
        <v>174.1</v>
      </c>
      <c r="AE348" s="6" t="str">
        <f t="shared" si="5"/>
        <v>Urban|2022|September</v>
      </c>
    </row>
    <row r="349" spans="1:31">
      <c r="A349" s="6" t="s">
        <v>52</v>
      </c>
      <c r="B349" s="6">
        <v>2022</v>
      </c>
      <c r="C349" s="6" t="s">
        <v>60</v>
      </c>
      <c r="D349" s="6">
        <v>163.5</v>
      </c>
      <c r="E349" s="6">
        <v>209.2</v>
      </c>
      <c r="F349" s="6">
        <v>169.7</v>
      </c>
      <c r="G349" s="6">
        <v>169.7</v>
      </c>
      <c r="H349" s="6">
        <v>188.7</v>
      </c>
      <c r="I349" s="6">
        <v>165.7</v>
      </c>
      <c r="J349" s="6">
        <v>191.8</v>
      </c>
      <c r="K349" s="6">
        <v>169.1</v>
      </c>
      <c r="L349" s="6">
        <v>121.6</v>
      </c>
      <c r="M349" s="6">
        <v>197.3</v>
      </c>
      <c r="N349" s="6">
        <v>169.4</v>
      </c>
      <c r="O349" s="6">
        <v>187.4</v>
      </c>
      <c r="P349" s="6">
        <v>177.8</v>
      </c>
      <c r="Q349" s="6">
        <v>195.9</v>
      </c>
      <c r="R349" s="6">
        <v>180.9</v>
      </c>
      <c r="S349" s="6">
        <v>174.3</v>
      </c>
      <c r="T349" s="6">
        <v>179.9</v>
      </c>
      <c r="U349" s="6">
        <v>169.5</v>
      </c>
      <c r="V349" s="6">
        <v>179.5</v>
      </c>
      <c r="W349" s="6">
        <v>169.5</v>
      </c>
      <c r="X349" s="6">
        <v>177.8</v>
      </c>
      <c r="Y349" s="6">
        <v>162.3</v>
      </c>
      <c r="Z349" s="6">
        <v>167.6</v>
      </c>
      <c r="AA349" s="6">
        <v>173.1</v>
      </c>
      <c r="AB349" s="6">
        <v>170.9</v>
      </c>
      <c r="AC349" s="6">
        <v>169.7</v>
      </c>
      <c r="AD349" s="6">
        <v>175.3</v>
      </c>
      <c r="AE349" s="6" t="str">
        <f t="shared" si="5"/>
        <v>Rural+Urban|2022|September</v>
      </c>
    </row>
    <row r="350" spans="1:31">
      <c r="A350" s="6" t="s">
        <v>49</v>
      </c>
      <c r="B350" s="6">
        <v>2022</v>
      </c>
      <c r="C350" s="6" t="s">
        <v>61</v>
      </c>
      <c r="D350" s="6">
        <v>164.7</v>
      </c>
      <c r="E350" s="6">
        <v>208.8</v>
      </c>
      <c r="F350" s="6">
        <v>170.3</v>
      </c>
      <c r="G350" s="6">
        <v>170.9</v>
      </c>
      <c r="H350" s="6">
        <v>191.6</v>
      </c>
      <c r="I350" s="6">
        <v>162.2</v>
      </c>
      <c r="J350" s="6">
        <v>184.8</v>
      </c>
      <c r="K350" s="6">
        <v>169.7</v>
      </c>
      <c r="L350" s="6">
        <v>121.1</v>
      </c>
      <c r="M350" s="6">
        <v>201.6</v>
      </c>
      <c r="N350" s="6">
        <v>175.8</v>
      </c>
      <c r="O350" s="6">
        <v>185.6</v>
      </c>
      <c r="P350" s="6">
        <v>177.4</v>
      </c>
      <c r="Q350" s="6">
        <v>194.9</v>
      </c>
      <c r="R350" s="6">
        <v>186.1</v>
      </c>
      <c r="S350" s="6">
        <v>184.4</v>
      </c>
      <c r="T350" s="6">
        <v>185.9</v>
      </c>
      <c r="V350" s="6">
        <v>180.8</v>
      </c>
      <c r="W350" s="6">
        <v>174.4</v>
      </c>
      <c r="X350" s="6">
        <v>181.2</v>
      </c>
      <c r="Y350" s="6">
        <v>167.4</v>
      </c>
      <c r="Z350" s="6">
        <v>170.6</v>
      </c>
      <c r="AA350" s="6">
        <v>176.5</v>
      </c>
      <c r="AB350" s="6">
        <v>172</v>
      </c>
      <c r="AC350" s="6">
        <v>173.9</v>
      </c>
      <c r="AD350" s="6">
        <v>177.9</v>
      </c>
      <c r="AE350" s="6" t="str">
        <f t="shared" si="5"/>
        <v>Rural|2022|October</v>
      </c>
    </row>
    <row r="351" spans="1:31">
      <c r="A351" s="6" t="s">
        <v>51</v>
      </c>
      <c r="B351" s="6">
        <v>2022</v>
      </c>
      <c r="C351" s="6" t="s">
        <v>61</v>
      </c>
      <c r="D351" s="6">
        <v>166.4</v>
      </c>
      <c r="E351" s="6">
        <v>214.9</v>
      </c>
      <c r="F351" s="6">
        <v>171.9</v>
      </c>
      <c r="G351" s="6">
        <v>171</v>
      </c>
      <c r="H351" s="6">
        <v>177.7</v>
      </c>
      <c r="I351" s="6">
        <v>165.7</v>
      </c>
      <c r="J351" s="6">
        <v>228.6</v>
      </c>
      <c r="K351" s="6">
        <v>169.9</v>
      </c>
      <c r="L351" s="6">
        <v>123.4</v>
      </c>
      <c r="M351" s="6">
        <v>196.4</v>
      </c>
      <c r="N351" s="6">
        <v>161.6</v>
      </c>
      <c r="O351" s="6">
        <v>191.5</v>
      </c>
      <c r="P351" s="6">
        <v>183.3</v>
      </c>
      <c r="Q351" s="6">
        <v>200.1</v>
      </c>
      <c r="R351" s="6">
        <v>175.5</v>
      </c>
      <c r="S351" s="6">
        <v>162.6</v>
      </c>
      <c r="T351" s="6">
        <v>173.6</v>
      </c>
      <c r="U351" s="6">
        <v>171.2</v>
      </c>
      <c r="V351" s="6">
        <v>180</v>
      </c>
      <c r="W351" s="6">
        <v>166</v>
      </c>
      <c r="X351" s="6">
        <v>174.7</v>
      </c>
      <c r="Y351" s="6">
        <v>158.8</v>
      </c>
      <c r="Z351" s="6">
        <v>166.3</v>
      </c>
      <c r="AA351" s="6">
        <v>171.2</v>
      </c>
      <c r="AB351" s="6">
        <v>172.3</v>
      </c>
      <c r="AC351" s="6">
        <v>166.8</v>
      </c>
      <c r="AD351" s="6">
        <v>175.3</v>
      </c>
      <c r="AE351" s="6" t="str">
        <f t="shared" si="5"/>
        <v>Urban|2022|October</v>
      </c>
    </row>
    <row r="352" spans="1:31">
      <c r="A352" s="6" t="s">
        <v>52</v>
      </c>
      <c r="B352" s="6">
        <v>2022</v>
      </c>
      <c r="C352" s="6" t="s">
        <v>61</v>
      </c>
      <c r="D352" s="6">
        <v>165.2</v>
      </c>
      <c r="E352" s="6">
        <v>210.9</v>
      </c>
      <c r="F352" s="6">
        <v>170.9</v>
      </c>
      <c r="G352" s="6">
        <v>170.9</v>
      </c>
      <c r="H352" s="6">
        <v>186.5</v>
      </c>
      <c r="I352" s="6">
        <v>163.8</v>
      </c>
      <c r="J352" s="6">
        <v>199.7</v>
      </c>
      <c r="K352" s="6">
        <v>169.8</v>
      </c>
      <c r="L352" s="6">
        <v>121.9</v>
      </c>
      <c r="M352" s="6">
        <v>199.9</v>
      </c>
      <c r="N352" s="6">
        <v>169.9</v>
      </c>
      <c r="O352" s="6">
        <v>188.3</v>
      </c>
      <c r="P352" s="6">
        <v>179.6</v>
      </c>
      <c r="Q352" s="6">
        <v>196.3</v>
      </c>
      <c r="R352" s="6">
        <v>181.9</v>
      </c>
      <c r="S352" s="6">
        <v>175.3</v>
      </c>
      <c r="T352" s="6">
        <v>181</v>
      </c>
      <c r="U352" s="6">
        <v>171.2</v>
      </c>
      <c r="V352" s="6">
        <v>180.5</v>
      </c>
      <c r="W352" s="6">
        <v>170.4</v>
      </c>
      <c r="X352" s="6">
        <v>178.7</v>
      </c>
      <c r="Y352" s="6">
        <v>162.9</v>
      </c>
      <c r="Z352" s="6">
        <v>168.2</v>
      </c>
      <c r="AA352" s="6">
        <v>173.4</v>
      </c>
      <c r="AB352" s="6">
        <v>172.1</v>
      </c>
      <c r="AC352" s="6">
        <v>170.5</v>
      </c>
      <c r="AD352" s="6">
        <v>176.7</v>
      </c>
      <c r="AE352" s="6" t="str">
        <f t="shared" si="5"/>
        <v>Rural+Urban|2022|October</v>
      </c>
    </row>
    <row r="353" spans="1:31">
      <c r="A353" s="6" t="s">
        <v>49</v>
      </c>
      <c r="B353" s="6">
        <v>2022</v>
      </c>
      <c r="C353" s="6" t="s">
        <v>62</v>
      </c>
      <c r="D353" s="6">
        <v>166.9</v>
      </c>
      <c r="E353" s="6">
        <v>207.2</v>
      </c>
      <c r="F353" s="6">
        <v>180.2</v>
      </c>
      <c r="G353" s="6">
        <v>172.3</v>
      </c>
      <c r="H353" s="6">
        <v>194</v>
      </c>
      <c r="I353" s="6">
        <v>159.1</v>
      </c>
      <c r="J353" s="6">
        <v>171.6</v>
      </c>
      <c r="K353" s="6">
        <v>170.2</v>
      </c>
      <c r="L353" s="6">
        <v>121.5</v>
      </c>
      <c r="M353" s="6">
        <v>204.8</v>
      </c>
      <c r="N353" s="6">
        <v>176.4</v>
      </c>
      <c r="O353" s="6">
        <v>186.9</v>
      </c>
      <c r="P353" s="6">
        <v>176.6</v>
      </c>
      <c r="Q353" s="6">
        <v>195.5</v>
      </c>
      <c r="R353" s="6">
        <v>187.2</v>
      </c>
      <c r="S353" s="6">
        <v>185.2</v>
      </c>
      <c r="T353" s="6">
        <v>186.9</v>
      </c>
      <c r="V353" s="6">
        <v>181.9</v>
      </c>
      <c r="W353" s="6">
        <v>175.5</v>
      </c>
      <c r="X353" s="6">
        <v>182.3</v>
      </c>
      <c r="Y353" s="6">
        <v>167.5</v>
      </c>
      <c r="Z353" s="6">
        <v>170.8</v>
      </c>
      <c r="AA353" s="6">
        <v>176.9</v>
      </c>
      <c r="AB353" s="6">
        <v>173.4</v>
      </c>
      <c r="AC353" s="6">
        <v>174.6</v>
      </c>
      <c r="AD353" s="6">
        <v>177.8</v>
      </c>
      <c r="AE353" s="6" t="str">
        <f t="shared" si="5"/>
        <v>Rural|2022|November</v>
      </c>
    </row>
    <row r="354" spans="1:31">
      <c r="A354" s="6" t="s">
        <v>51</v>
      </c>
      <c r="B354" s="6">
        <v>2022</v>
      </c>
      <c r="C354" s="6" t="s">
        <v>62</v>
      </c>
      <c r="D354" s="6">
        <v>168.4</v>
      </c>
      <c r="E354" s="6">
        <v>213.4</v>
      </c>
      <c r="F354" s="6">
        <v>183.2</v>
      </c>
      <c r="G354" s="6">
        <v>172.3</v>
      </c>
      <c r="H354" s="6">
        <v>180</v>
      </c>
      <c r="I354" s="6">
        <v>162.6</v>
      </c>
      <c r="J354" s="6">
        <v>205.5</v>
      </c>
      <c r="K354" s="6">
        <v>171</v>
      </c>
      <c r="L354" s="6">
        <v>123.4</v>
      </c>
      <c r="M354" s="6">
        <v>198.8</v>
      </c>
      <c r="N354" s="6">
        <v>162.1</v>
      </c>
      <c r="O354" s="6">
        <v>192.4</v>
      </c>
      <c r="P354" s="6">
        <v>181.3</v>
      </c>
      <c r="Q354" s="6">
        <v>200.6</v>
      </c>
      <c r="R354" s="6">
        <v>176.7</v>
      </c>
      <c r="S354" s="6">
        <v>163.5</v>
      </c>
      <c r="T354" s="6">
        <v>174.7</v>
      </c>
      <c r="U354" s="6">
        <v>171.8</v>
      </c>
      <c r="V354" s="6">
        <v>180.3</v>
      </c>
      <c r="W354" s="6">
        <v>166.9</v>
      </c>
      <c r="X354" s="6">
        <v>175.8</v>
      </c>
      <c r="Y354" s="6">
        <v>158.9</v>
      </c>
      <c r="Z354" s="6">
        <v>166.7</v>
      </c>
      <c r="AA354" s="6">
        <v>171.5</v>
      </c>
      <c r="AB354" s="6">
        <v>173.8</v>
      </c>
      <c r="AC354" s="6">
        <v>167.4</v>
      </c>
      <c r="AD354" s="6">
        <v>174.1</v>
      </c>
      <c r="AE354" s="6" t="str">
        <f t="shared" si="5"/>
        <v>Urban|2022|November</v>
      </c>
    </row>
    <row r="355" spans="1:31">
      <c r="A355" s="6" t="s">
        <v>52</v>
      </c>
      <c r="B355" s="6">
        <v>2022</v>
      </c>
      <c r="C355" s="6" t="s">
        <v>62</v>
      </c>
      <c r="D355" s="6">
        <v>167.4</v>
      </c>
      <c r="E355" s="6">
        <v>209.4</v>
      </c>
      <c r="F355" s="6">
        <v>181.4</v>
      </c>
      <c r="G355" s="6">
        <v>172.3</v>
      </c>
      <c r="H355" s="6">
        <v>188.9</v>
      </c>
      <c r="I355" s="6">
        <v>160.7</v>
      </c>
      <c r="J355" s="6">
        <v>183.1</v>
      </c>
      <c r="K355" s="6">
        <v>170.5</v>
      </c>
      <c r="L355" s="6">
        <v>122.1</v>
      </c>
      <c r="M355" s="6">
        <v>202.8</v>
      </c>
      <c r="N355" s="6">
        <v>170.4</v>
      </c>
      <c r="O355" s="6">
        <v>189.5</v>
      </c>
      <c r="P355" s="6">
        <v>178.3</v>
      </c>
      <c r="Q355" s="6">
        <v>196.9</v>
      </c>
      <c r="R355" s="6">
        <v>183.1</v>
      </c>
      <c r="S355" s="6">
        <v>176.2</v>
      </c>
      <c r="T355" s="6">
        <v>182.1</v>
      </c>
      <c r="U355" s="6">
        <v>171.8</v>
      </c>
      <c r="V355" s="6">
        <v>181.3</v>
      </c>
      <c r="W355" s="6">
        <v>171.4</v>
      </c>
      <c r="X355" s="6">
        <v>179.8</v>
      </c>
      <c r="Y355" s="6">
        <v>163</v>
      </c>
      <c r="Z355" s="6">
        <v>168.5</v>
      </c>
      <c r="AA355" s="6">
        <v>173.7</v>
      </c>
      <c r="AB355" s="6">
        <v>173.6</v>
      </c>
      <c r="AC355" s="6">
        <v>171.1</v>
      </c>
      <c r="AD355" s="6">
        <v>176.5</v>
      </c>
      <c r="AE355" s="6" t="str">
        <f t="shared" si="5"/>
        <v>Rural+Urban|2022|November</v>
      </c>
    </row>
    <row r="356" spans="1:31">
      <c r="A356" s="6" t="s">
        <v>49</v>
      </c>
      <c r="B356" s="6">
        <v>2022</v>
      </c>
      <c r="C356" s="6" t="s">
        <v>63</v>
      </c>
      <c r="D356" s="6">
        <v>168.8</v>
      </c>
      <c r="E356" s="6">
        <v>206.9</v>
      </c>
      <c r="F356" s="6">
        <v>189.1</v>
      </c>
      <c r="G356" s="6">
        <v>173.4</v>
      </c>
      <c r="H356" s="6">
        <v>193.9</v>
      </c>
      <c r="I356" s="6">
        <v>156.7</v>
      </c>
      <c r="J356" s="6">
        <v>150.2</v>
      </c>
      <c r="K356" s="6">
        <v>170.5</v>
      </c>
      <c r="L356" s="6">
        <v>121.2</v>
      </c>
      <c r="M356" s="6">
        <v>207.5</v>
      </c>
      <c r="N356" s="6">
        <v>176.8</v>
      </c>
      <c r="O356" s="6">
        <v>187.7</v>
      </c>
      <c r="P356" s="6">
        <v>174.4</v>
      </c>
      <c r="Q356" s="6">
        <v>195.9</v>
      </c>
      <c r="R356" s="6">
        <v>188.1</v>
      </c>
      <c r="S356" s="6">
        <v>185.9</v>
      </c>
      <c r="T356" s="6">
        <v>187.8</v>
      </c>
      <c r="V356" s="6">
        <v>182.8</v>
      </c>
      <c r="W356" s="6">
        <v>176.4</v>
      </c>
      <c r="X356" s="6">
        <v>183.5</v>
      </c>
      <c r="Y356" s="6">
        <v>167.8</v>
      </c>
      <c r="Z356" s="6">
        <v>171.2</v>
      </c>
      <c r="AA356" s="6">
        <v>177.3</v>
      </c>
      <c r="AB356" s="6">
        <v>175.7</v>
      </c>
      <c r="AC356" s="6">
        <v>175.5</v>
      </c>
      <c r="AD356" s="6">
        <v>177.1</v>
      </c>
      <c r="AE356" s="6" t="str">
        <f t="shared" si="5"/>
        <v>Rural|2022|December</v>
      </c>
    </row>
    <row r="357" spans="1:31">
      <c r="A357" s="6" t="s">
        <v>51</v>
      </c>
      <c r="B357" s="6">
        <v>2022</v>
      </c>
      <c r="C357" s="6" t="s">
        <v>63</v>
      </c>
      <c r="D357" s="6">
        <v>170.2</v>
      </c>
      <c r="E357" s="6">
        <v>212.9</v>
      </c>
      <c r="F357" s="6">
        <v>191.9</v>
      </c>
      <c r="G357" s="6">
        <v>173.9</v>
      </c>
      <c r="H357" s="6">
        <v>179.1</v>
      </c>
      <c r="I357" s="6">
        <v>159.5</v>
      </c>
      <c r="J357" s="6">
        <v>178.7</v>
      </c>
      <c r="K357" s="6">
        <v>171.3</v>
      </c>
      <c r="L357" s="6">
        <v>123.1</v>
      </c>
      <c r="M357" s="6">
        <v>200.5</v>
      </c>
      <c r="N357" s="6">
        <v>162.8</v>
      </c>
      <c r="O357" s="6">
        <v>193.3</v>
      </c>
      <c r="P357" s="6">
        <v>178.6</v>
      </c>
      <c r="Q357" s="6">
        <v>201.1</v>
      </c>
      <c r="R357" s="6">
        <v>177.7</v>
      </c>
      <c r="S357" s="6">
        <v>164.5</v>
      </c>
      <c r="T357" s="6">
        <v>175.7</v>
      </c>
      <c r="U357" s="6">
        <v>170.7</v>
      </c>
      <c r="V357" s="6">
        <v>180.6</v>
      </c>
      <c r="W357" s="6">
        <v>167.3</v>
      </c>
      <c r="X357" s="6">
        <v>177.2</v>
      </c>
      <c r="Y357" s="6">
        <v>159.4</v>
      </c>
      <c r="Z357" s="6">
        <v>167.1</v>
      </c>
      <c r="AA357" s="6">
        <v>171.8</v>
      </c>
      <c r="AB357" s="6">
        <v>176</v>
      </c>
      <c r="AC357" s="6">
        <v>168.2</v>
      </c>
      <c r="AD357" s="6">
        <v>174.1</v>
      </c>
      <c r="AE357" s="6" t="str">
        <f t="shared" si="5"/>
        <v>Urban|2022|December</v>
      </c>
    </row>
    <row r="358" spans="1:31">
      <c r="A358" s="6" t="s">
        <v>52</v>
      </c>
      <c r="B358" s="6">
        <v>2022</v>
      </c>
      <c r="C358" s="6" t="s">
        <v>63</v>
      </c>
      <c r="D358" s="6">
        <v>169.2</v>
      </c>
      <c r="E358" s="6">
        <v>209</v>
      </c>
      <c r="F358" s="6">
        <v>190.2</v>
      </c>
      <c r="G358" s="6">
        <v>173.6</v>
      </c>
      <c r="H358" s="6">
        <v>188.5</v>
      </c>
      <c r="I358" s="6">
        <v>158</v>
      </c>
      <c r="J358" s="6">
        <v>159.9</v>
      </c>
      <c r="K358" s="6">
        <v>170.8</v>
      </c>
      <c r="L358" s="6">
        <v>121.8</v>
      </c>
      <c r="M358" s="6">
        <v>205.2</v>
      </c>
      <c r="N358" s="6">
        <v>171</v>
      </c>
      <c r="O358" s="6">
        <v>190.3</v>
      </c>
      <c r="P358" s="6">
        <v>175.9</v>
      </c>
      <c r="Q358" s="6">
        <v>197.3</v>
      </c>
      <c r="R358" s="6">
        <v>184</v>
      </c>
      <c r="S358" s="6">
        <v>177</v>
      </c>
      <c r="T358" s="6">
        <v>183</v>
      </c>
      <c r="U358" s="6">
        <v>170.7</v>
      </c>
      <c r="V358" s="6">
        <v>182</v>
      </c>
      <c r="W358" s="6">
        <v>172.1</v>
      </c>
      <c r="X358" s="6">
        <v>181.1</v>
      </c>
      <c r="Y358" s="6">
        <v>163.4</v>
      </c>
      <c r="Z358" s="6">
        <v>168.9</v>
      </c>
      <c r="AA358" s="6">
        <v>174.1</v>
      </c>
      <c r="AB358" s="6">
        <v>175.8</v>
      </c>
      <c r="AC358" s="6">
        <v>172</v>
      </c>
      <c r="AD358" s="6">
        <v>175.7</v>
      </c>
      <c r="AE358" s="6" t="str">
        <f t="shared" si="5"/>
        <v>Rural+Urban|2022|December</v>
      </c>
    </row>
    <row r="359" spans="1:31">
      <c r="A359" s="6" t="s">
        <v>49</v>
      </c>
      <c r="B359" s="6">
        <v>2023</v>
      </c>
      <c r="C359" s="6" t="s">
        <v>50</v>
      </c>
      <c r="D359" s="6">
        <v>174</v>
      </c>
      <c r="E359" s="6">
        <v>208.3</v>
      </c>
      <c r="F359" s="6">
        <v>192.9</v>
      </c>
      <c r="G359" s="6">
        <v>174.3</v>
      </c>
      <c r="H359" s="6">
        <v>192.6</v>
      </c>
      <c r="I359" s="6">
        <v>156.3</v>
      </c>
      <c r="J359" s="6">
        <v>142.9</v>
      </c>
      <c r="K359" s="6">
        <v>170.7</v>
      </c>
      <c r="L359" s="6">
        <v>120.3</v>
      </c>
      <c r="M359" s="6">
        <v>210.5</v>
      </c>
      <c r="N359" s="6">
        <v>176.9</v>
      </c>
      <c r="O359" s="6">
        <v>188.5</v>
      </c>
      <c r="P359" s="6">
        <v>175</v>
      </c>
      <c r="Q359" s="6">
        <v>196.9</v>
      </c>
      <c r="R359" s="6">
        <v>189</v>
      </c>
      <c r="S359" s="6">
        <v>186.3</v>
      </c>
      <c r="T359" s="6">
        <v>188.6</v>
      </c>
      <c r="V359" s="6">
        <v>183.2</v>
      </c>
      <c r="W359" s="6">
        <v>177.2</v>
      </c>
      <c r="X359" s="6">
        <v>184.7</v>
      </c>
      <c r="Y359" s="6">
        <v>168.2</v>
      </c>
      <c r="Z359" s="6">
        <v>171.8</v>
      </c>
      <c r="AA359" s="6">
        <v>177.8</v>
      </c>
      <c r="AB359" s="6">
        <v>178.4</v>
      </c>
      <c r="AC359" s="6">
        <v>176.5</v>
      </c>
      <c r="AD359" s="6">
        <v>177.8</v>
      </c>
      <c r="AE359" s="6" t="str">
        <f t="shared" si="5"/>
        <v>Rural|2023|January</v>
      </c>
    </row>
    <row r="360" spans="1:31">
      <c r="A360" s="6" t="s">
        <v>51</v>
      </c>
      <c r="B360" s="6">
        <v>2023</v>
      </c>
      <c r="C360" s="6" t="s">
        <v>50</v>
      </c>
      <c r="D360" s="6">
        <v>173.3</v>
      </c>
      <c r="E360" s="6">
        <v>215.2</v>
      </c>
      <c r="F360" s="6">
        <v>197</v>
      </c>
      <c r="G360" s="6">
        <v>175.2</v>
      </c>
      <c r="H360" s="6">
        <v>178</v>
      </c>
      <c r="I360" s="6">
        <v>160.5</v>
      </c>
      <c r="J360" s="6">
        <v>175.3</v>
      </c>
      <c r="K360" s="6">
        <v>171.2</v>
      </c>
      <c r="L360" s="6">
        <v>122.7</v>
      </c>
      <c r="M360" s="6">
        <v>204.3</v>
      </c>
      <c r="N360" s="6">
        <v>163.7</v>
      </c>
      <c r="O360" s="6">
        <v>194.3</v>
      </c>
      <c r="P360" s="6">
        <v>179.5</v>
      </c>
      <c r="Q360" s="6">
        <v>201.6</v>
      </c>
      <c r="R360" s="6">
        <v>178.7</v>
      </c>
      <c r="S360" s="6">
        <v>165.3</v>
      </c>
      <c r="T360" s="6">
        <v>176.6</v>
      </c>
      <c r="U360" s="6">
        <v>172.1</v>
      </c>
      <c r="V360" s="6">
        <v>180.1</v>
      </c>
      <c r="W360" s="6">
        <v>168</v>
      </c>
      <c r="X360" s="6">
        <v>178.5</v>
      </c>
      <c r="Y360" s="6">
        <v>159.5</v>
      </c>
      <c r="Z360" s="6">
        <v>167.8</v>
      </c>
      <c r="AA360" s="6">
        <v>171.8</v>
      </c>
      <c r="AB360" s="6">
        <v>178.8</v>
      </c>
      <c r="AC360" s="6">
        <v>168.9</v>
      </c>
      <c r="AD360" s="6">
        <v>174.9</v>
      </c>
      <c r="AE360" s="6" t="str">
        <f t="shared" si="5"/>
        <v>Urban|2023|January</v>
      </c>
    </row>
    <row r="361" spans="1:31">
      <c r="A361" s="6" t="s">
        <v>52</v>
      </c>
      <c r="B361" s="6">
        <v>2023</v>
      </c>
      <c r="C361" s="6" t="s">
        <v>50</v>
      </c>
      <c r="D361" s="6">
        <v>173.8</v>
      </c>
      <c r="E361" s="6">
        <v>210.7</v>
      </c>
      <c r="F361" s="6">
        <v>194.5</v>
      </c>
      <c r="G361" s="6">
        <v>174.6</v>
      </c>
      <c r="H361" s="6">
        <v>187.2</v>
      </c>
      <c r="I361" s="6">
        <v>158.3</v>
      </c>
      <c r="J361" s="6">
        <v>153.9</v>
      </c>
      <c r="K361" s="6">
        <v>170.9</v>
      </c>
      <c r="L361" s="6">
        <v>121.1</v>
      </c>
      <c r="M361" s="6">
        <v>208.4</v>
      </c>
      <c r="N361" s="6">
        <v>171.4</v>
      </c>
      <c r="O361" s="6">
        <v>191.2</v>
      </c>
      <c r="P361" s="6">
        <v>176.7</v>
      </c>
      <c r="Q361" s="6">
        <v>198.2</v>
      </c>
      <c r="R361" s="6">
        <v>184.9</v>
      </c>
      <c r="S361" s="6">
        <v>177.6</v>
      </c>
      <c r="T361" s="6">
        <v>183.8</v>
      </c>
      <c r="U361" s="6">
        <v>172.1</v>
      </c>
      <c r="V361" s="6">
        <v>182</v>
      </c>
      <c r="W361" s="6">
        <v>172.9</v>
      </c>
      <c r="X361" s="6">
        <v>182.3</v>
      </c>
      <c r="Y361" s="6">
        <v>163.6</v>
      </c>
      <c r="Z361" s="6">
        <v>169.5</v>
      </c>
      <c r="AA361" s="6">
        <v>174.3</v>
      </c>
      <c r="AB361" s="6">
        <v>178.6</v>
      </c>
      <c r="AC361" s="6">
        <v>172.8</v>
      </c>
      <c r="AD361" s="6">
        <v>176.5</v>
      </c>
      <c r="AE361" s="6" t="str">
        <f t="shared" si="5"/>
        <v>Rural+Urban|2023|January</v>
      </c>
    </row>
    <row r="362" spans="1:31">
      <c r="A362" s="6" t="s">
        <v>49</v>
      </c>
      <c r="B362" s="6">
        <v>2023</v>
      </c>
      <c r="C362" s="6" t="s">
        <v>53</v>
      </c>
      <c r="D362" s="6">
        <v>174.2</v>
      </c>
      <c r="E362" s="6">
        <v>205.2</v>
      </c>
      <c r="F362" s="6">
        <v>173.9</v>
      </c>
      <c r="G362" s="6">
        <v>177</v>
      </c>
      <c r="H362" s="6">
        <v>183.4</v>
      </c>
      <c r="I362" s="6">
        <v>167.2</v>
      </c>
      <c r="J362" s="6">
        <v>140.9</v>
      </c>
      <c r="K362" s="6">
        <v>170.4</v>
      </c>
      <c r="L362" s="6">
        <v>119.1</v>
      </c>
      <c r="M362" s="6">
        <v>212.1</v>
      </c>
      <c r="N362" s="6">
        <v>177.6</v>
      </c>
      <c r="O362" s="6">
        <v>189.9</v>
      </c>
      <c r="P362" s="6">
        <v>174.8</v>
      </c>
      <c r="Q362" s="6">
        <v>198.3</v>
      </c>
      <c r="R362" s="6">
        <v>190</v>
      </c>
      <c r="S362" s="6">
        <v>187</v>
      </c>
      <c r="T362" s="6">
        <v>189.6</v>
      </c>
      <c r="V362" s="6">
        <v>181.6</v>
      </c>
      <c r="W362" s="6">
        <v>178.6</v>
      </c>
      <c r="X362" s="6">
        <v>186.6</v>
      </c>
      <c r="Y362" s="6">
        <v>169</v>
      </c>
      <c r="Z362" s="6">
        <v>172.8</v>
      </c>
      <c r="AA362" s="6">
        <v>178.5</v>
      </c>
      <c r="AB362" s="6">
        <v>180.7</v>
      </c>
      <c r="AC362" s="6">
        <v>177.9</v>
      </c>
      <c r="AD362" s="6">
        <v>178</v>
      </c>
      <c r="AE362" s="6" t="str">
        <f t="shared" si="5"/>
        <v>Rural|2023|February</v>
      </c>
    </row>
    <row r="363" spans="1:31">
      <c r="A363" s="6" t="s">
        <v>51</v>
      </c>
      <c r="B363" s="6">
        <v>2023</v>
      </c>
      <c r="C363" s="6" t="s">
        <v>53</v>
      </c>
      <c r="D363" s="6">
        <v>174.7</v>
      </c>
      <c r="E363" s="6">
        <v>212.2</v>
      </c>
      <c r="F363" s="6">
        <v>177.2</v>
      </c>
      <c r="G363" s="6">
        <v>177.9</v>
      </c>
      <c r="H363" s="6">
        <v>172.2</v>
      </c>
      <c r="I363" s="6">
        <v>172.1</v>
      </c>
      <c r="J363" s="6">
        <v>175.8</v>
      </c>
      <c r="K363" s="6">
        <v>172.2</v>
      </c>
      <c r="L363" s="6">
        <v>121.9</v>
      </c>
      <c r="M363" s="6">
        <v>204.8</v>
      </c>
      <c r="N363" s="6">
        <v>164.9</v>
      </c>
      <c r="O363" s="6">
        <v>196.6</v>
      </c>
      <c r="P363" s="6">
        <v>180.7</v>
      </c>
      <c r="Q363" s="6">
        <v>202.7</v>
      </c>
      <c r="R363" s="6">
        <v>180.3</v>
      </c>
      <c r="S363" s="6">
        <v>167</v>
      </c>
      <c r="T363" s="6">
        <v>178.2</v>
      </c>
      <c r="U363" s="6">
        <v>173.5</v>
      </c>
      <c r="V363" s="6">
        <v>182.8</v>
      </c>
      <c r="W363" s="6">
        <v>169.2</v>
      </c>
      <c r="X363" s="6">
        <v>180.8</v>
      </c>
      <c r="Y363" s="6">
        <v>159.8</v>
      </c>
      <c r="Z363" s="6">
        <v>168.4</v>
      </c>
      <c r="AA363" s="6">
        <v>172.5</v>
      </c>
      <c r="AB363" s="6">
        <v>181.4</v>
      </c>
      <c r="AC363" s="6">
        <v>170</v>
      </c>
      <c r="AD363" s="6">
        <v>176.3</v>
      </c>
      <c r="AE363" s="6" t="str">
        <f t="shared" si="5"/>
        <v>Urban|2023|February</v>
      </c>
    </row>
    <row r="364" spans="1:31">
      <c r="A364" s="6" t="s">
        <v>52</v>
      </c>
      <c r="B364" s="6">
        <v>2023</v>
      </c>
      <c r="C364" s="6" t="s">
        <v>53</v>
      </c>
      <c r="D364" s="6">
        <v>174.4</v>
      </c>
      <c r="E364" s="6">
        <v>207.7</v>
      </c>
      <c r="F364" s="6">
        <v>175.2</v>
      </c>
      <c r="G364" s="6">
        <v>177.3</v>
      </c>
      <c r="H364" s="6">
        <v>179.3</v>
      </c>
      <c r="I364" s="6">
        <v>169.5</v>
      </c>
      <c r="J364" s="6">
        <v>152.7</v>
      </c>
      <c r="K364" s="6">
        <v>171</v>
      </c>
      <c r="L364" s="6">
        <v>120</v>
      </c>
      <c r="M364" s="6">
        <v>209.7</v>
      </c>
      <c r="N364" s="6">
        <v>172.3</v>
      </c>
      <c r="O364" s="6">
        <v>193</v>
      </c>
      <c r="P364" s="6">
        <v>177</v>
      </c>
      <c r="Q364" s="6">
        <v>199.5</v>
      </c>
      <c r="R364" s="6">
        <v>186.2</v>
      </c>
      <c r="S364" s="6">
        <v>178.7</v>
      </c>
      <c r="T364" s="6">
        <v>185.1</v>
      </c>
      <c r="U364" s="6">
        <v>173.5</v>
      </c>
      <c r="V364" s="6">
        <v>182.1</v>
      </c>
      <c r="W364" s="6">
        <v>174.2</v>
      </c>
      <c r="X364" s="6">
        <v>184.4</v>
      </c>
      <c r="Y364" s="6">
        <v>164.2</v>
      </c>
      <c r="Z364" s="6">
        <v>170.3</v>
      </c>
      <c r="AA364" s="6">
        <v>175</v>
      </c>
      <c r="AB364" s="6">
        <v>181</v>
      </c>
      <c r="AC364" s="6">
        <v>174.1</v>
      </c>
      <c r="AD364" s="6">
        <v>177.2</v>
      </c>
      <c r="AE364" s="6" t="str">
        <f t="shared" si="5"/>
        <v>Rural+Urban|2023|February</v>
      </c>
    </row>
    <row r="365" spans="1:31">
      <c r="A365" s="6" t="s">
        <v>49</v>
      </c>
      <c r="B365" s="6">
        <v>2023</v>
      </c>
      <c r="C365" s="6" t="s">
        <v>54</v>
      </c>
      <c r="D365" s="6">
        <v>174.3</v>
      </c>
      <c r="E365" s="6">
        <v>205.2</v>
      </c>
      <c r="F365" s="6">
        <v>173.9</v>
      </c>
      <c r="G365" s="6">
        <v>177</v>
      </c>
      <c r="H365" s="6">
        <v>183.3</v>
      </c>
      <c r="I365" s="6">
        <v>167.2</v>
      </c>
      <c r="J365" s="6">
        <v>140.9</v>
      </c>
      <c r="K365" s="6">
        <v>170.5</v>
      </c>
      <c r="L365" s="6">
        <v>119.1</v>
      </c>
      <c r="M365" s="6">
        <v>212.1</v>
      </c>
      <c r="N365" s="6">
        <v>177.6</v>
      </c>
      <c r="O365" s="6">
        <v>189.9</v>
      </c>
      <c r="P365" s="6">
        <v>174.8</v>
      </c>
      <c r="Q365" s="6">
        <v>198.4</v>
      </c>
      <c r="R365" s="6">
        <v>190</v>
      </c>
      <c r="S365" s="6">
        <v>187</v>
      </c>
      <c r="T365" s="6">
        <v>189.6</v>
      </c>
      <c r="V365" s="6">
        <v>181.4</v>
      </c>
      <c r="W365" s="6">
        <v>178.6</v>
      </c>
      <c r="X365" s="6">
        <v>186.6</v>
      </c>
      <c r="Y365" s="6">
        <v>169</v>
      </c>
      <c r="Z365" s="6">
        <v>172.8</v>
      </c>
      <c r="AA365" s="6">
        <v>178.5</v>
      </c>
      <c r="AB365" s="6">
        <v>180.7</v>
      </c>
      <c r="AC365" s="6">
        <v>177.9</v>
      </c>
      <c r="AD365" s="6">
        <v>178</v>
      </c>
      <c r="AE365" s="6" t="str">
        <f t="shared" si="5"/>
        <v>Rural|2023|March</v>
      </c>
    </row>
    <row r="366" spans="1:31">
      <c r="A366" s="6" t="s">
        <v>51</v>
      </c>
      <c r="B366" s="6">
        <v>2023</v>
      </c>
      <c r="C366" s="6" t="s">
        <v>54</v>
      </c>
      <c r="D366" s="6">
        <v>174.7</v>
      </c>
      <c r="E366" s="6">
        <v>212.2</v>
      </c>
      <c r="F366" s="6">
        <v>177.2</v>
      </c>
      <c r="G366" s="6">
        <v>177.9</v>
      </c>
      <c r="H366" s="6">
        <v>172.2</v>
      </c>
      <c r="I366" s="6">
        <v>172.1</v>
      </c>
      <c r="J366" s="6">
        <v>175.9</v>
      </c>
      <c r="K366" s="6">
        <v>172.2</v>
      </c>
      <c r="L366" s="6">
        <v>121.9</v>
      </c>
      <c r="M366" s="6">
        <v>204.8</v>
      </c>
      <c r="N366" s="6">
        <v>164.9</v>
      </c>
      <c r="O366" s="6">
        <v>196.6</v>
      </c>
      <c r="P366" s="6">
        <v>180.8</v>
      </c>
      <c r="Q366" s="6">
        <v>202.7</v>
      </c>
      <c r="R366" s="6">
        <v>180.2</v>
      </c>
      <c r="S366" s="6">
        <v>167</v>
      </c>
      <c r="T366" s="6">
        <v>178.2</v>
      </c>
      <c r="U366" s="6">
        <v>173.5</v>
      </c>
      <c r="V366" s="6">
        <v>182.6</v>
      </c>
      <c r="W366" s="6">
        <v>169.2</v>
      </c>
      <c r="X366" s="6">
        <v>180.8</v>
      </c>
      <c r="Y366" s="6">
        <v>159.8</v>
      </c>
      <c r="Z366" s="6">
        <v>168.4</v>
      </c>
      <c r="AA366" s="6">
        <v>172.5</v>
      </c>
      <c r="AB366" s="6">
        <v>181.5</v>
      </c>
      <c r="AC366" s="6">
        <v>170</v>
      </c>
      <c r="AD366" s="6">
        <v>176.3</v>
      </c>
      <c r="AE366" s="6" t="str">
        <f t="shared" si="5"/>
        <v>Urban|2023|March</v>
      </c>
    </row>
    <row r="367" spans="1:31">
      <c r="A367" s="6" t="s">
        <v>52</v>
      </c>
      <c r="B367" s="6">
        <v>2023</v>
      </c>
      <c r="C367" s="6" t="s">
        <v>54</v>
      </c>
      <c r="D367" s="6">
        <v>174.4</v>
      </c>
      <c r="E367" s="6">
        <v>207.7</v>
      </c>
      <c r="F367" s="6">
        <v>175.2</v>
      </c>
      <c r="G367" s="6">
        <v>177.3</v>
      </c>
      <c r="H367" s="6">
        <v>179.2</v>
      </c>
      <c r="I367" s="6">
        <v>169.5</v>
      </c>
      <c r="J367" s="6">
        <v>152.8</v>
      </c>
      <c r="K367" s="6">
        <v>171.1</v>
      </c>
      <c r="L367" s="6">
        <v>120</v>
      </c>
      <c r="M367" s="6">
        <v>209.7</v>
      </c>
      <c r="N367" s="6">
        <v>172.3</v>
      </c>
      <c r="O367" s="6">
        <v>193</v>
      </c>
      <c r="P367" s="6">
        <v>177</v>
      </c>
      <c r="Q367" s="6">
        <v>199.5</v>
      </c>
      <c r="R367" s="6">
        <v>186.1</v>
      </c>
      <c r="S367" s="6">
        <v>178.7</v>
      </c>
      <c r="T367" s="6">
        <v>185.1</v>
      </c>
      <c r="U367" s="6">
        <v>173.5</v>
      </c>
      <c r="V367" s="6">
        <v>181.9</v>
      </c>
      <c r="W367" s="6">
        <v>174.2</v>
      </c>
      <c r="X367" s="6">
        <v>184.4</v>
      </c>
      <c r="Y367" s="6">
        <v>164.2</v>
      </c>
      <c r="Z367" s="6">
        <v>170.3</v>
      </c>
      <c r="AA367" s="6">
        <v>175</v>
      </c>
      <c r="AB367" s="6">
        <v>181</v>
      </c>
      <c r="AC367" s="6">
        <v>174.1</v>
      </c>
      <c r="AD367" s="6">
        <v>177.2</v>
      </c>
      <c r="AE367" s="6" t="str">
        <f t="shared" si="5"/>
        <v>Rural+Urban|2023|March</v>
      </c>
    </row>
    <row r="368" spans="1:31">
      <c r="A368" s="6" t="s">
        <v>49</v>
      </c>
      <c r="B368" s="6">
        <v>2023</v>
      </c>
      <c r="C368" s="6" t="s">
        <v>55</v>
      </c>
      <c r="D368" s="6">
        <v>173.3</v>
      </c>
      <c r="E368" s="6">
        <v>206.9</v>
      </c>
      <c r="F368" s="6">
        <v>167.9</v>
      </c>
      <c r="G368" s="6">
        <v>178.2</v>
      </c>
      <c r="H368" s="6">
        <v>178.5</v>
      </c>
      <c r="I368" s="6">
        <v>173.7</v>
      </c>
      <c r="J368" s="6">
        <v>142.8</v>
      </c>
      <c r="K368" s="6">
        <v>172.8</v>
      </c>
      <c r="L368" s="6">
        <v>120.4</v>
      </c>
      <c r="M368" s="6">
        <v>215.5</v>
      </c>
      <c r="N368" s="6">
        <v>178.2</v>
      </c>
      <c r="O368" s="6">
        <v>190.5</v>
      </c>
      <c r="P368" s="6">
        <v>175.5</v>
      </c>
      <c r="Q368" s="6">
        <v>199.5</v>
      </c>
      <c r="R368" s="6">
        <v>190.7</v>
      </c>
      <c r="S368" s="6">
        <v>187.3</v>
      </c>
      <c r="T368" s="6">
        <v>190.2</v>
      </c>
      <c r="V368" s="6">
        <v>181.5</v>
      </c>
      <c r="W368" s="6">
        <v>179.1</v>
      </c>
      <c r="X368" s="6">
        <v>187.2</v>
      </c>
      <c r="Y368" s="6">
        <v>169.4</v>
      </c>
      <c r="Z368" s="6">
        <v>173.2</v>
      </c>
      <c r="AA368" s="6">
        <v>179.4</v>
      </c>
      <c r="AB368" s="6">
        <v>183.8</v>
      </c>
      <c r="AC368" s="6">
        <v>178.9</v>
      </c>
      <c r="AD368" s="6">
        <v>178.8</v>
      </c>
      <c r="AE368" s="6" t="str">
        <f t="shared" si="5"/>
        <v>Rural|2023|April</v>
      </c>
    </row>
    <row r="369" spans="1:31">
      <c r="A369" s="6" t="s">
        <v>51</v>
      </c>
      <c r="B369" s="6">
        <v>2023</v>
      </c>
      <c r="C369" s="6" t="s">
        <v>55</v>
      </c>
      <c r="D369" s="6">
        <v>174.8</v>
      </c>
      <c r="E369" s="6">
        <v>213.7</v>
      </c>
      <c r="F369" s="6">
        <v>172.4</v>
      </c>
      <c r="G369" s="6">
        <v>178.8</v>
      </c>
      <c r="H369" s="6">
        <v>168.7</v>
      </c>
      <c r="I369" s="6">
        <v>179.2</v>
      </c>
      <c r="J369" s="6">
        <v>179.9</v>
      </c>
      <c r="K369" s="6">
        <v>174.7</v>
      </c>
      <c r="L369" s="6">
        <v>123.1</v>
      </c>
      <c r="M369" s="6">
        <v>207.8</v>
      </c>
      <c r="N369" s="6">
        <v>165.5</v>
      </c>
      <c r="O369" s="6">
        <v>197</v>
      </c>
      <c r="P369" s="6">
        <v>182.1</v>
      </c>
      <c r="Q369" s="6">
        <v>203.5</v>
      </c>
      <c r="R369" s="6">
        <v>181</v>
      </c>
      <c r="S369" s="6">
        <v>167.7</v>
      </c>
      <c r="T369" s="6">
        <v>178.9</v>
      </c>
      <c r="U369" s="6">
        <v>175.2</v>
      </c>
      <c r="V369" s="6">
        <v>182.1</v>
      </c>
      <c r="W369" s="6">
        <v>169.6</v>
      </c>
      <c r="X369" s="6">
        <v>181.5</v>
      </c>
      <c r="Y369" s="6">
        <v>160.1</v>
      </c>
      <c r="Z369" s="6">
        <v>168.8</v>
      </c>
      <c r="AA369" s="6">
        <v>174.2</v>
      </c>
      <c r="AB369" s="6">
        <v>184.4</v>
      </c>
      <c r="AC369" s="6">
        <v>170.9</v>
      </c>
      <c r="AD369" s="6">
        <v>177.4</v>
      </c>
      <c r="AE369" s="6" t="str">
        <f t="shared" si="5"/>
        <v>Urban|2023|April</v>
      </c>
    </row>
    <row r="370" spans="1:31">
      <c r="A370" s="6" t="s">
        <v>52</v>
      </c>
      <c r="B370" s="6">
        <v>2023</v>
      </c>
      <c r="C370" s="6" t="s">
        <v>55</v>
      </c>
      <c r="D370" s="6">
        <v>173.8</v>
      </c>
      <c r="E370" s="6">
        <v>209.3</v>
      </c>
      <c r="F370" s="6">
        <v>169.6</v>
      </c>
      <c r="G370" s="6">
        <v>178.4</v>
      </c>
      <c r="H370" s="6">
        <v>174.9</v>
      </c>
      <c r="I370" s="6">
        <v>176.3</v>
      </c>
      <c r="J370" s="6">
        <v>155.4</v>
      </c>
      <c r="K370" s="6">
        <v>173.4</v>
      </c>
      <c r="L370" s="6">
        <v>121.3</v>
      </c>
      <c r="M370" s="6">
        <v>212.9</v>
      </c>
      <c r="N370" s="6">
        <v>172.9</v>
      </c>
      <c r="O370" s="6">
        <v>193.5</v>
      </c>
      <c r="P370" s="6">
        <v>177.9</v>
      </c>
      <c r="Q370" s="6">
        <v>200.6</v>
      </c>
      <c r="R370" s="6">
        <v>186.9</v>
      </c>
      <c r="S370" s="6">
        <v>179.2</v>
      </c>
      <c r="T370" s="6">
        <v>185.7</v>
      </c>
      <c r="U370" s="6">
        <v>175.2</v>
      </c>
      <c r="V370" s="6">
        <v>181.7</v>
      </c>
      <c r="W370" s="6">
        <v>174.6</v>
      </c>
      <c r="X370" s="6">
        <v>185</v>
      </c>
      <c r="Y370" s="6">
        <v>164.5</v>
      </c>
      <c r="Z370" s="6">
        <v>170.7</v>
      </c>
      <c r="AA370" s="6">
        <v>176.4</v>
      </c>
      <c r="AB370" s="6">
        <v>184</v>
      </c>
      <c r="AC370" s="6">
        <v>175</v>
      </c>
      <c r="AD370" s="6">
        <v>178.1</v>
      </c>
      <c r="AE370" s="6" t="str">
        <f t="shared" si="5"/>
        <v>Rural+Urban|2023|April</v>
      </c>
    </row>
    <row r="371" spans="1:31">
      <c r="A371" s="6" t="s">
        <v>49</v>
      </c>
      <c r="B371" s="6">
        <v>2023</v>
      </c>
      <c r="C371" s="6" t="s">
        <v>56</v>
      </c>
      <c r="D371" s="6">
        <v>173.2</v>
      </c>
      <c r="E371" s="6">
        <v>211.5</v>
      </c>
      <c r="F371" s="6">
        <v>171</v>
      </c>
      <c r="G371" s="6">
        <v>179.6</v>
      </c>
      <c r="H371" s="6">
        <v>173.3</v>
      </c>
      <c r="I371" s="6">
        <v>169</v>
      </c>
      <c r="J371" s="6">
        <v>148.7</v>
      </c>
      <c r="K371" s="6">
        <v>174.9</v>
      </c>
      <c r="L371" s="6">
        <v>121.9</v>
      </c>
      <c r="M371" s="6">
        <v>221</v>
      </c>
      <c r="N371" s="6">
        <v>178.7</v>
      </c>
      <c r="O371" s="6">
        <v>191.1</v>
      </c>
      <c r="P371" s="6">
        <v>176.8</v>
      </c>
      <c r="Q371" s="6">
        <v>199.9</v>
      </c>
      <c r="R371" s="6">
        <v>191.2</v>
      </c>
      <c r="S371" s="6">
        <v>187.9</v>
      </c>
      <c r="T371" s="6">
        <v>190.8</v>
      </c>
      <c r="V371" s="6">
        <v>182.5</v>
      </c>
      <c r="W371" s="6">
        <v>179.8</v>
      </c>
      <c r="X371" s="6">
        <v>187.8</v>
      </c>
      <c r="Y371" s="6">
        <v>169.7</v>
      </c>
      <c r="Z371" s="6">
        <v>173.8</v>
      </c>
      <c r="AA371" s="6">
        <v>180.3</v>
      </c>
      <c r="AB371" s="6">
        <v>184.9</v>
      </c>
      <c r="AC371" s="6">
        <v>179.5</v>
      </c>
      <c r="AD371" s="6">
        <v>179.8</v>
      </c>
      <c r="AE371" s="6" t="str">
        <f t="shared" si="5"/>
        <v>Rural|2023|May</v>
      </c>
    </row>
    <row r="372" spans="1:31">
      <c r="A372" s="6" t="s">
        <v>51</v>
      </c>
      <c r="B372" s="6">
        <v>2023</v>
      </c>
      <c r="C372" s="6" t="s">
        <v>56</v>
      </c>
      <c r="D372" s="6">
        <v>174.7</v>
      </c>
      <c r="E372" s="6">
        <v>219.4</v>
      </c>
      <c r="F372" s="6">
        <v>176.7</v>
      </c>
      <c r="G372" s="6">
        <v>179.4</v>
      </c>
      <c r="H372" s="6">
        <v>164.4</v>
      </c>
      <c r="I372" s="6">
        <v>175.8</v>
      </c>
      <c r="J372" s="6">
        <v>185</v>
      </c>
      <c r="K372" s="6">
        <v>176.9</v>
      </c>
      <c r="L372" s="6">
        <v>124.2</v>
      </c>
      <c r="M372" s="6">
        <v>211.9</v>
      </c>
      <c r="N372" s="6">
        <v>165.9</v>
      </c>
      <c r="O372" s="6">
        <v>197.7</v>
      </c>
      <c r="P372" s="6">
        <v>183.1</v>
      </c>
      <c r="Q372" s="6">
        <v>204.2</v>
      </c>
      <c r="R372" s="6">
        <v>181.3</v>
      </c>
      <c r="S372" s="6">
        <v>168.1</v>
      </c>
      <c r="T372" s="6">
        <v>179.3</v>
      </c>
      <c r="U372" s="6">
        <v>175.6</v>
      </c>
      <c r="V372" s="6">
        <v>183.4</v>
      </c>
      <c r="W372" s="6">
        <v>170.1</v>
      </c>
      <c r="X372" s="6">
        <v>182.2</v>
      </c>
      <c r="Y372" s="6">
        <v>160.4</v>
      </c>
      <c r="Z372" s="6">
        <v>169.2</v>
      </c>
      <c r="AA372" s="6">
        <v>174.8</v>
      </c>
      <c r="AB372" s="6">
        <v>185.6</v>
      </c>
      <c r="AC372" s="6">
        <v>171.6</v>
      </c>
      <c r="AD372" s="6">
        <v>178.2</v>
      </c>
      <c r="AE372" s="6" t="str">
        <f t="shared" si="5"/>
        <v>Urban|2023|May</v>
      </c>
    </row>
    <row r="373" spans="1:31">
      <c r="A373" s="6" t="s">
        <v>52</v>
      </c>
      <c r="B373" s="6">
        <v>2023</v>
      </c>
      <c r="C373" s="6" t="s">
        <v>56</v>
      </c>
      <c r="D373" s="6">
        <v>173.7</v>
      </c>
      <c r="E373" s="6">
        <v>214.3</v>
      </c>
      <c r="F373" s="6">
        <v>173.2</v>
      </c>
      <c r="G373" s="6">
        <v>179.5</v>
      </c>
      <c r="H373" s="6">
        <v>170</v>
      </c>
      <c r="I373" s="6">
        <v>172.2</v>
      </c>
      <c r="J373" s="6">
        <v>161</v>
      </c>
      <c r="K373" s="6">
        <v>175.6</v>
      </c>
      <c r="L373" s="6">
        <v>122.7</v>
      </c>
      <c r="M373" s="6">
        <v>218</v>
      </c>
      <c r="N373" s="6">
        <v>173.4</v>
      </c>
      <c r="O373" s="6">
        <v>194.2</v>
      </c>
      <c r="P373" s="6">
        <v>179.1</v>
      </c>
      <c r="Q373" s="6">
        <v>201</v>
      </c>
      <c r="R373" s="6">
        <v>187.3</v>
      </c>
      <c r="S373" s="6">
        <v>179.7</v>
      </c>
      <c r="T373" s="6">
        <v>186.2</v>
      </c>
      <c r="U373" s="6">
        <v>175.6</v>
      </c>
      <c r="V373" s="6">
        <v>182.8</v>
      </c>
      <c r="W373" s="6">
        <v>175.2</v>
      </c>
      <c r="X373" s="6">
        <v>185.7</v>
      </c>
      <c r="Y373" s="6">
        <v>164.8</v>
      </c>
      <c r="Z373" s="6">
        <v>171.2</v>
      </c>
      <c r="AA373" s="6">
        <v>177.1</v>
      </c>
      <c r="AB373" s="6">
        <v>185.2</v>
      </c>
      <c r="AC373" s="6">
        <v>175.7</v>
      </c>
      <c r="AD373" s="6">
        <v>179.1</v>
      </c>
      <c r="AE373" s="6" t="str">
        <f t="shared" si="5"/>
        <v>Rural+Urban|2023|May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9"/>
  <sheetViews>
    <sheetView workbookViewId="0">
      <pane xSplit="6" ySplit="4" topLeftCell="G5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33" width="12" customWidth="1"/>
  </cols>
  <sheetData>
    <row r="1" ht="17.4" spans="1:33">
      <c r="A1" s="1" t="s">
        <v>64</v>
      </c>
    </row>
    <row r="2" spans="1:33">
      <c r="A2" s="2" t="s">
        <v>65</v>
      </c>
    </row>
    <row r="4" ht="45" customHeight="1" spans="1:33">
      <c r="A4" s="8" t="s">
        <v>19</v>
      </c>
      <c r="B4" s="8" t="s">
        <v>66</v>
      </c>
      <c r="C4" s="8" t="s">
        <v>20</v>
      </c>
      <c r="D4" s="8" t="s">
        <v>67</v>
      </c>
      <c r="E4" s="8" t="s">
        <v>48</v>
      </c>
      <c r="F4" s="8" t="s">
        <v>68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44</v>
      </c>
      <c r="AE4" s="8" t="s">
        <v>45</v>
      </c>
      <c r="AF4" s="8" t="s">
        <v>46</v>
      </c>
      <c r="AG4" s="8" t="s">
        <v>47</v>
      </c>
    </row>
    <row r="5" spans="1:33">
      <c r="A5" s="6">
        <v>2013</v>
      </c>
      <c r="B5" s="6">
        <v>1</v>
      </c>
      <c r="C5" s="6" t="s">
        <v>50</v>
      </c>
      <c r="D5" s="9">
        <f t="shared" ref="D5:D68" si="0">DATE(A5,B5,1)</f>
        <v>41275</v>
      </c>
      <c r="E5" s="6" t="str">
        <f t="shared" ref="E5:E68" si="1">"Rural+Urban|"&amp;A5&amp;"|"&amp;C5</f>
        <v>Rural+Urban|2013|January</v>
      </c>
      <c r="F5" s="6">
        <f>IFERROR(MATCH(E5,Data!$AE$1:$AE$373,0),0)</f>
        <v>4</v>
      </c>
      <c r="G5" s="6">
        <f>IF($F5=0,"",IF(ISNUMBER(INDEX(Data!D$1:D$373,$F5)),INDEX(Data!D$1:D$373,$F5),""))</f>
        <v>108.4</v>
      </c>
      <c r="H5" s="6">
        <f>IF($F5=0,"",IF(ISNUMBER(INDEX(Data!E$1:E$373,$F5)),INDEX(Data!E$1:E$373,$F5),""))</f>
        <v>107.3</v>
      </c>
      <c r="I5" s="6">
        <f>IF($F5=0,"",IF(ISNUMBER(INDEX(Data!F$1:F$373,$F5)),INDEX(Data!F$1:F$373,$F5),""))</f>
        <v>110</v>
      </c>
      <c r="J5" s="6">
        <f>IF($F5=0,"",IF(ISNUMBER(INDEX(Data!G$1:G$373,$F5)),INDEX(Data!G$1:G$373,$F5),""))</f>
        <v>104.4</v>
      </c>
      <c r="K5" s="6">
        <f>IF($F5=0,"",IF(ISNUMBER(INDEX(Data!H$1:H$373,$F5)),INDEX(Data!H$1:H$373,$F5),""))</f>
        <v>105.1</v>
      </c>
      <c r="L5" s="6">
        <f>IF($F5=0,"",IF(ISNUMBER(INDEX(Data!I$1:I$373,$F5)),INDEX(Data!I$1:I$373,$F5),""))</f>
        <v>103.2</v>
      </c>
      <c r="M5" s="6">
        <f>IF($F5=0,"",IF(ISNUMBER(INDEX(Data!J$1:J$373,$F5)),INDEX(Data!J$1:J$373,$F5),""))</f>
        <v>102.2</v>
      </c>
      <c r="N5" s="6">
        <f>IF($F5=0,"",IF(ISNUMBER(INDEX(Data!K$1:K$373,$F5)),INDEX(Data!K$1:K$373,$F5),""))</f>
        <v>106</v>
      </c>
      <c r="O5" s="6">
        <f>IF($F5=0,"",IF(ISNUMBER(INDEX(Data!L$1:L$373,$F5)),INDEX(Data!L$1:L$373,$F5),""))</f>
        <v>106.2</v>
      </c>
      <c r="P5" s="6">
        <f>IF($F5=0,"",IF(ISNUMBER(INDEX(Data!M$1:M$373,$F5)),INDEX(Data!M$1:M$373,$F5),""))</f>
        <v>102.7</v>
      </c>
      <c r="Q5" s="6">
        <f>IF($F5=0,"",IF(ISNUMBER(INDEX(Data!N$1:N$373,$F5)),INDEX(Data!N$1:N$373,$F5),""))</f>
        <v>104.9</v>
      </c>
      <c r="R5" s="6">
        <f>IF($F5=0,"",IF(ISNUMBER(INDEX(Data!O$1:O$373,$F5)),INDEX(Data!O$1:O$373,$F5),""))</f>
        <v>107.3</v>
      </c>
      <c r="S5" s="6">
        <f>IF($F5=0,"",IF(ISNUMBER(INDEX(Data!P$1:P$373,$F5)),INDEX(Data!P$1:P$373,$F5),""))</f>
        <v>105.6</v>
      </c>
      <c r="T5" s="6">
        <f>IF($F5=0,"",IF(ISNUMBER(INDEX(Data!Q$1:Q$373,$F5)),INDEX(Data!Q$1:Q$373,$F5),""))</f>
        <v>105.1</v>
      </c>
      <c r="U5" s="6">
        <f>IF($F5=0,"",IF(ISNUMBER(INDEX(Data!R$1:R$373,$F5)),INDEX(Data!R$1:R$373,$F5),""))</f>
        <v>106.3</v>
      </c>
      <c r="V5" s="6">
        <f>IF($F5=0,"",IF(ISNUMBER(INDEX(Data!S$1:S$373,$F5)),INDEX(Data!S$1:S$373,$F5),""))</f>
        <v>105.5</v>
      </c>
      <c r="W5" s="6">
        <f>IF($F5=0,"",IF(ISNUMBER(INDEX(Data!T$1:T$373,$F5)),INDEX(Data!T$1:T$373,$F5),""))</f>
        <v>106.2</v>
      </c>
      <c r="X5" s="6">
        <f>IF($F5=0,"",IF(ISNUMBER(INDEX(Data!U$1:U$373,$F5)),INDEX(Data!U$1:U$373,$F5),""))</f>
        <v>100.3</v>
      </c>
      <c r="Y5" s="6">
        <f>IF($F5=0,"",IF(ISNUMBER(INDEX(Data!V$1:V$373,$F5)),INDEX(Data!V$1:V$373,$F5),""))</f>
        <v>105.5</v>
      </c>
      <c r="Z5" s="6">
        <f>IF($F5=0,"",IF(ISNUMBER(INDEX(Data!W$1:W$373,$F5)),INDEX(Data!W$1:W$373,$F5),""))</f>
        <v>104.8</v>
      </c>
      <c r="AA5" s="6">
        <f>IF($F5=0,"",IF(ISNUMBER(INDEX(Data!X$1:X$373,$F5)),INDEX(Data!X$1:X$373,$F5),""))</f>
        <v>104</v>
      </c>
      <c r="AB5" s="6">
        <f>IF($F5=0,"",IF(ISNUMBER(INDEX(Data!Y$1:Y$373,$F5)),INDEX(Data!Y$1:Y$373,$F5),""))</f>
        <v>103.2</v>
      </c>
      <c r="AC5" s="6">
        <f>IF($F5=0,"",IF(ISNUMBER(INDEX(Data!Z$1:Z$373,$F5)),INDEX(Data!Z$1:Z$373,$F5),""))</f>
        <v>103.1</v>
      </c>
      <c r="AD5" s="6">
        <f>IF($F5=0,"",IF(ISNUMBER(INDEX(Data!AA$1:AA$373,$F5)),INDEX(Data!AA$1:AA$373,$F5),""))</f>
        <v>103.6</v>
      </c>
      <c r="AE5" s="6">
        <f>IF($F5=0,"",IF(ISNUMBER(INDEX(Data!AB$1:AB$373,$F5)),INDEX(Data!AB$1:AB$373,$F5),""))</f>
        <v>104.5</v>
      </c>
      <c r="AF5" s="6">
        <f>IF($F5=0,"",IF(ISNUMBER(INDEX(Data!AC$1:AC$373,$F5)),INDEX(Data!AC$1:AC$373,$F5),""))</f>
        <v>103.9</v>
      </c>
      <c r="AG5" s="6">
        <f>IF($F5=0,"",IF(ISNUMBER(INDEX(Data!AD$1:AD$373,$F5)),INDEX(Data!AD$1:AD$373,$F5),""))</f>
        <v>104.6</v>
      </c>
    </row>
    <row r="6" spans="1:33">
      <c r="A6" s="6">
        <v>2013</v>
      </c>
      <c r="B6" s="6">
        <v>2</v>
      </c>
      <c r="C6" s="6" t="s">
        <v>53</v>
      </c>
      <c r="D6" s="9">
        <f t="shared" si="0"/>
        <v>41306</v>
      </c>
      <c r="E6" s="6" t="str">
        <f t="shared" si="1"/>
        <v>Rural+Urban|2013|February</v>
      </c>
      <c r="F6" s="6">
        <f>IFERROR(MATCH(E6,Data!$AE$1:$AE$373,0),0)</f>
        <v>7</v>
      </c>
      <c r="G6" s="6">
        <f>IF($F6=0,"",IF(ISNUMBER(INDEX(Data!D$1:D$373,$F6)),INDEX(Data!D$1:D$373,$F6),""))</f>
        <v>110.4</v>
      </c>
      <c r="H6" s="6">
        <f>IF($F6=0,"",IF(ISNUMBER(INDEX(Data!E$1:E$373,$F6)),INDEX(Data!E$1:E$373,$F6),""))</f>
        <v>110.2</v>
      </c>
      <c r="I6" s="6">
        <f>IF($F6=0,"",IF(ISNUMBER(INDEX(Data!F$1:F$373,$F6)),INDEX(Data!F$1:F$373,$F6),""))</f>
        <v>112.8</v>
      </c>
      <c r="J6" s="6">
        <f>IF($F6=0,"",IF(ISNUMBER(INDEX(Data!G$1:G$373,$F6)),INDEX(Data!G$1:G$373,$F6),""))</f>
        <v>104.9</v>
      </c>
      <c r="K6" s="6">
        <f>IF($F6=0,"",IF(ISNUMBER(INDEX(Data!H$1:H$373,$F6)),INDEX(Data!H$1:H$373,$F6),""))</f>
        <v>105.5</v>
      </c>
      <c r="L6" s="6">
        <f>IF($F6=0,"",IF(ISNUMBER(INDEX(Data!I$1:I$373,$F6)),INDEX(Data!I$1:I$373,$F6),""))</f>
        <v>103.6</v>
      </c>
      <c r="M6" s="6">
        <f>IF($F6=0,"",IF(ISNUMBER(INDEX(Data!J$1:J$373,$F6)),INDEX(Data!J$1:J$373,$F6),""))</f>
        <v>103.2</v>
      </c>
      <c r="N6" s="6">
        <f>IF($F6=0,"",IF(ISNUMBER(INDEX(Data!K$1:K$373,$F6)),INDEX(Data!K$1:K$373,$F6),""))</f>
        <v>105.3</v>
      </c>
      <c r="O6" s="6">
        <f>IF($F6=0,"",IF(ISNUMBER(INDEX(Data!L$1:L$373,$F6)),INDEX(Data!L$1:L$373,$F6),""))</f>
        <v>105.1</v>
      </c>
      <c r="P6" s="6">
        <f>IF($F6=0,"",IF(ISNUMBER(INDEX(Data!M$1:M$373,$F6)),INDEX(Data!M$1:M$373,$F6),""))</f>
        <v>102.8</v>
      </c>
      <c r="Q6" s="6">
        <f>IF($F6=0,"",IF(ISNUMBER(INDEX(Data!N$1:N$373,$F6)),INDEX(Data!N$1:N$373,$F6),""))</f>
        <v>105.5</v>
      </c>
      <c r="R6" s="6">
        <f>IF($F6=0,"",IF(ISNUMBER(INDEX(Data!O$1:O$373,$F6)),INDEX(Data!O$1:O$373,$F6),""))</f>
        <v>108.3</v>
      </c>
      <c r="S6" s="6">
        <f>IF($F6=0,"",IF(ISNUMBER(INDEX(Data!P$1:P$373,$F6)),INDEX(Data!P$1:P$373,$F6),""))</f>
        <v>106.6</v>
      </c>
      <c r="T6" s="6">
        <f>IF($F6=0,"",IF(ISNUMBER(INDEX(Data!Q$1:Q$373,$F6)),INDEX(Data!Q$1:Q$373,$F6),""))</f>
        <v>105.7</v>
      </c>
      <c r="U6" s="6">
        <f>IF($F6=0,"",IF(ISNUMBER(INDEX(Data!R$1:R$373,$F6)),INDEX(Data!R$1:R$373,$F6),""))</f>
        <v>106.9</v>
      </c>
      <c r="V6" s="6">
        <f>IF($F6=0,"",IF(ISNUMBER(INDEX(Data!S$1:S$373,$F6)),INDEX(Data!S$1:S$373,$F6),""))</f>
        <v>106</v>
      </c>
      <c r="W6" s="6">
        <f>IF($F6=0,"",IF(ISNUMBER(INDEX(Data!T$1:T$373,$F6)),INDEX(Data!T$1:T$373,$F6),""))</f>
        <v>106.8</v>
      </c>
      <c r="X6" s="6">
        <f>IF($F6=0,"",IF(ISNUMBER(INDEX(Data!U$1:U$373,$F6)),INDEX(Data!U$1:U$373,$F6),""))</f>
        <v>100.4</v>
      </c>
      <c r="Y6" s="6">
        <f>IF($F6=0,"",IF(ISNUMBER(INDEX(Data!V$1:V$373,$F6)),INDEX(Data!V$1:V$373,$F6),""))</f>
        <v>106</v>
      </c>
      <c r="Z6" s="6">
        <f>IF($F6=0,"",IF(ISNUMBER(INDEX(Data!W$1:W$373,$F6)),INDEX(Data!W$1:W$373,$F6),""))</f>
        <v>105.2</v>
      </c>
      <c r="AA6" s="6">
        <f>IF($F6=0,"",IF(ISNUMBER(INDEX(Data!X$1:X$373,$F6)),INDEX(Data!X$1:X$373,$F6),""))</f>
        <v>104.5</v>
      </c>
      <c r="AB6" s="6">
        <f>IF($F6=0,"",IF(ISNUMBER(INDEX(Data!Y$1:Y$373,$F6)),INDEX(Data!Y$1:Y$373,$F6),""))</f>
        <v>104.2</v>
      </c>
      <c r="AC6" s="6">
        <f>IF($F6=0,"",IF(ISNUMBER(INDEX(Data!Z$1:Z$373,$F6)),INDEX(Data!Z$1:Z$373,$F6),""))</f>
        <v>103.6</v>
      </c>
      <c r="AD6" s="6">
        <f>IF($F6=0,"",IF(ISNUMBER(INDEX(Data!AA$1:AA$373,$F6)),INDEX(Data!AA$1:AA$373,$F6),""))</f>
        <v>103.9</v>
      </c>
      <c r="AE6" s="6">
        <f>IF($F6=0,"",IF(ISNUMBER(INDEX(Data!AB$1:AB$373,$F6)),INDEX(Data!AB$1:AB$373,$F6),""))</f>
        <v>104.5</v>
      </c>
      <c r="AF6" s="6">
        <f>IF($F6=0,"",IF(ISNUMBER(INDEX(Data!AC$1:AC$373,$F6)),INDEX(Data!AC$1:AC$373,$F6),""))</f>
        <v>104.4</v>
      </c>
      <c r="AG6" s="6">
        <f>IF($F6=0,"",IF(ISNUMBER(INDEX(Data!AD$1:AD$373,$F6)),INDEX(Data!AD$1:AD$373,$F6),""))</f>
        <v>105.3</v>
      </c>
    </row>
    <row r="7" spans="1:33">
      <c r="A7" s="6">
        <v>2013</v>
      </c>
      <c r="B7" s="6">
        <v>3</v>
      </c>
      <c r="C7" s="6" t="s">
        <v>54</v>
      </c>
      <c r="D7" s="9">
        <f t="shared" si="0"/>
        <v>41334</v>
      </c>
      <c r="E7" s="6" t="str">
        <f t="shared" si="1"/>
        <v>Rural+Urban|2013|March</v>
      </c>
      <c r="F7" s="6">
        <f>IFERROR(MATCH(E7,Data!$AE$1:$AE$373,0),0)</f>
        <v>10</v>
      </c>
      <c r="G7" s="6">
        <f>IF($F7=0,"",IF(ISNUMBER(INDEX(Data!D$1:D$373,$F7)),INDEX(Data!D$1:D$373,$F7),""))</f>
        <v>111.4</v>
      </c>
      <c r="H7" s="6">
        <f>IF($F7=0,"",IF(ISNUMBER(INDEX(Data!E$1:E$373,$F7)),INDEX(Data!E$1:E$373,$F7),""))</f>
        <v>109.7</v>
      </c>
      <c r="I7" s="6">
        <f>IF($F7=0,"",IF(ISNUMBER(INDEX(Data!F$1:F$373,$F7)),INDEX(Data!F$1:F$373,$F7),""))</f>
        <v>111.2</v>
      </c>
      <c r="J7" s="6">
        <f>IF($F7=0,"",IF(ISNUMBER(INDEX(Data!G$1:G$373,$F7)),INDEX(Data!G$1:G$373,$F7),""))</f>
        <v>105.1</v>
      </c>
      <c r="K7" s="6">
        <f>IF($F7=0,"",IF(ISNUMBER(INDEX(Data!H$1:H$373,$F7)),INDEX(Data!H$1:H$373,$F7),""))</f>
        <v>104.9</v>
      </c>
      <c r="L7" s="6">
        <f>IF($F7=0,"",IF(ISNUMBER(INDEX(Data!I$1:I$373,$F7)),INDEX(Data!I$1:I$373,$F7),""))</f>
        <v>105.3</v>
      </c>
      <c r="M7" s="6">
        <f>IF($F7=0,"",IF(ISNUMBER(INDEX(Data!J$1:J$373,$F7)),INDEX(Data!J$1:J$373,$F7),""))</f>
        <v>102.2</v>
      </c>
      <c r="N7" s="6">
        <f>IF($F7=0,"",IF(ISNUMBER(INDEX(Data!K$1:K$373,$F7)),INDEX(Data!K$1:K$373,$F7),""))</f>
        <v>105</v>
      </c>
      <c r="O7" s="6">
        <f>IF($F7=0,"",IF(ISNUMBER(INDEX(Data!L$1:L$373,$F7)),INDEX(Data!L$1:L$373,$F7),""))</f>
        <v>104.2</v>
      </c>
      <c r="P7" s="6">
        <f>IF($F7=0,"",IF(ISNUMBER(INDEX(Data!M$1:M$373,$F7)),INDEX(Data!M$1:M$373,$F7),""))</f>
        <v>103</v>
      </c>
      <c r="Q7" s="6">
        <f>IF($F7=0,"",IF(ISNUMBER(INDEX(Data!N$1:N$373,$F7)),INDEX(Data!N$1:N$373,$F7),""))</f>
        <v>106.2</v>
      </c>
      <c r="R7" s="6">
        <f>IF($F7=0,"",IF(ISNUMBER(INDEX(Data!O$1:O$373,$F7)),INDEX(Data!O$1:O$373,$F7),""))</f>
        <v>108.9</v>
      </c>
      <c r="S7" s="6">
        <f>IF($F7=0,"",IF(ISNUMBER(INDEX(Data!P$1:P$373,$F7)),INDEX(Data!P$1:P$373,$F7),""))</f>
        <v>106.9</v>
      </c>
      <c r="T7" s="6">
        <f>IF($F7=0,"",IF(ISNUMBER(INDEX(Data!Q$1:Q$373,$F7)),INDEX(Data!Q$1:Q$373,$F7),""))</f>
        <v>106.6</v>
      </c>
      <c r="U7" s="6">
        <f>IF($F7=0,"",IF(ISNUMBER(INDEX(Data!R$1:R$373,$F7)),INDEX(Data!R$1:R$373,$F7),""))</f>
        <v>107.4</v>
      </c>
      <c r="V7" s="6">
        <f>IF($F7=0,"",IF(ISNUMBER(INDEX(Data!S$1:S$373,$F7)),INDEX(Data!S$1:S$373,$F7),""))</f>
        <v>106.5</v>
      </c>
      <c r="W7" s="6">
        <f>IF($F7=0,"",IF(ISNUMBER(INDEX(Data!T$1:T$373,$F7)),INDEX(Data!T$1:T$373,$F7),""))</f>
        <v>107.3</v>
      </c>
      <c r="X7" s="6">
        <f>IF($F7=0,"",IF(ISNUMBER(INDEX(Data!U$1:U$373,$F7)),INDEX(Data!U$1:U$373,$F7),""))</f>
        <v>100.4</v>
      </c>
      <c r="Y7" s="6">
        <f>IF($F7=0,"",IF(ISNUMBER(INDEX(Data!V$1:V$373,$F7)),INDEX(Data!V$1:V$373,$F7),""))</f>
        <v>106.1</v>
      </c>
      <c r="Z7" s="6">
        <f>IF($F7=0,"",IF(ISNUMBER(INDEX(Data!W$1:W$373,$F7)),INDEX(Data!W$1:W$373,$F7),""))</f>
        <v>105.6</v>
      </c>
      <c r="AA7" s="6">
        <f>IF($F7=0,"",IF(ISNUMBER(INDEX(Data!X$1:X$373,$F7)),INDEX(Data!X$1:X$373,$F7),""))</f>
        <v>104.9</v>
      </c>
      <c r="AB7" s="6">
        <f>IF($F7=0,"",IF(ISNUMBER(INDEX(Data!Y$1:Y$373,$F7)),INDEX(Data!Y$1:Y$373,$F7),""))</f>
        <v>105.1</v>
      </c>
      <c r="AC7" s="6">
        <f>IF($F7=0,"",IF(ISNUMBER(INDEX(Data!Z$1:Z$373,$F7)),INDEX(Data!Z$1:Z$373,$F7),""))</f>
        <v>103.7</v>
      </c>
      <c r="AD7" s="6">
        <f>IF($F7=0,"",IF(ISNUMBER(INDEX(Data!AA$1:AA$373,$F7)),INDEX(Data!AA$1:AA$373,$F7),""))</f>
        <v>104</v>
      </c>
      <c r="AE7" s="6">
        <f>IF($F7=0,"",IF(ISNUMBER(INDEX(Data!AB$1:AB$373,$F7)),INDEX(Data!AB$1:AB$373,$F7),""))</f>
        <v>104.3</v>
      </c>
      <c r="AF7" s="6">
        <f>IF($F7=0,"",IF(ISNUMBER(INDEX(Data!AC$1:AC$373,$F7)),INDEX(Data!AC$1:AC$373,$F7),""))</f>
        <v>104.7</v>
      </c>
      <c r="AG7" s="6">
        <f>IF($F7=0,"",IF(ISNUMBER(INDEX(Data!AD$1:AD$373,$F7)),INDEX(Data!AD$1:AD$373,$F7),""))</f>
        <v>105.5</v>
      </c>
    </row>
    <row r="8" spans="1:33">
      <c r="A8" s="6">
        <v>2013</v>
      </c>
      <c r="B8" s="6">
        <v>4</v>
      </c>
      <c r="C8" s="6" t="s">
        <v>55</v>
      </c>
      <c r="D8" s="9">
        <f t="shared" si="0"/>
        <v>41365</v>
      </c>
      <c r="E8" s="6" t="str">
        <f t="shared" si="1"/>
        <v>Rural+Urban|2013|April</v>
      </c>
      <c r="F8" s="6">
        <f>IFERROR(MATCH(E8,Data!$AE$1:$AE$373,0),0)</f>
        <v>13</v>
      </c>
      <c r="G8" s="6">
        <f>IF($F8=0,"",IF(ISNUMBER(INDEX(Data!D$1:D$373,$F8)),INDEX(Data!D$1:D$373,$F8),""))</f>
        <v>111.6</v>
      </c>
      <c r="H8" s="6">
        <f>IF($F8=0,"",IF(ISNUMBER(INDEX(Data!E$1:E$373,$F8)),INDEX(Data!E$1:E$373,$F8),""))</f>
        <v>110.9</v>
      </c>
      <c r="I8" s="6">
        <f>IF($F8=0,"",IF(ISNUMBER(INDEX(Data!F$1:F$373,$F8)),INDEX(Data!F$1:F$373,$F8),""))</f>
        <v>106.6</v>
      </c>
      <c r="J8" s="6">
        <f>IF($F8=0,"",IF(ISNUMBER(INDEX(Data!G$1:G$373,$F8)),INDEX(Data!G$1:G$373,$F8),""))</f>
        <v>105.7</v>
      </c>
      <c r="K8" s="6">
        <f>IF($F8=0,"",IF(ISNUMBER(INDEX(Data!H$1:H$373,$F8)),INDEX(Data!H$1:H$373,$F8),""))</f>
        <v>104.4</v>
      </c>
      <c r="L8" s="6">
        <f>IF($F8=0,"",IF(ISNUMBER(INDEX(Data!I$1:I$373,$F8)),INDEX(Data!I$1:I$373,$F8),""))</f>
        <v>108.9</v>
      </c>
      <c r="M8" s="6">
        <f>IF($F8=0,"",IF(ISNUMBER(INDEX(Data!J$1:J$373,$F8)),INDEX(Data!J$1:J$373,$F8),""))</f>
        <v>105.5</v>
      </c>
      <c r="N8" s="6">
        <f>IF($F8=0,"",IF(ISNUMBER(INDEX(Data!K$1:K$373,$F8)),INDEX(Data!K$1:K$373,$F8),""))</f>
        <v>105.3</v>
      </c>
      <c r="O8" s="6">
        <f>IF($F8=0,"",IF(ISNUMBER(INDEX(Data!L$1:L$373,$F8)),INDEX(Data!L$1:L$373,$F8),""))</f>
        <v>103.5</v>
      </c>
      <c r="P8" s="6">
        <f>IF($F8=0,"",IF(ISNUMBER(INDEX(Data!M$1:M$373,$F8)),INDEX(Data!M$1:M$373,$F8),""))</f>
        <v>103.3</v>
      </c>
      <c r="Q8" s="6">
        <f>IF($F8=0,"",IF(ISNUMBER(INDEX(Data!N$1:N$373,$F8)),INDEX(Data!N$1:N$373,$F8),""))</f>
        <v>107.2</v>
      </c>
      <c r="R8" s="6">
        <f>IF($F8=0,"",IF(ISNUMBER(INDEX(Data!O$1:O$373,$F8)),INDEX(Data!O$1:O$373,$F8),""))</f>
        <v>109.6</v>
      </c>
      <c r="S8" s="6">
        <f>IF($F8=0,"",IF(ISNUMBER(INDEX(Data!P$1:P$373,$F8)),INDEX(Data!P$1:P$373,$F8),""))</f>
        <v>107.7</v>
      </c>
      <c r="T8" s="6">
        <f>IF($F8=0,"",IF(ISNUMBER(INDEX(Data!Q$1:Q$373,$F8)),INDEX(Data!Q$1:Q$373,$F8),""))</f>
        <v>107.5</v>
      </c>
      <c r="U8" s="6">
        <f>IF($F8=0,"",IF(ISNUMBER(INDEX(Data!R$1:R$373,$F8)),INDEX(Data!R$1:R$373,$F8),""))</f>
        <v>108</v>
      </c>
      <c r="V8" s="6">
        <f>IF($F8=0,"",IF(ISNUMBER(INDEX(Data!S$1:S$373,$F8)),INDEX(Data!S$1:S$373,$F8),""))</f>
        <v>107</v>
      </c>
      <c r="W8" s="6">
        <f>IF($F8=0,"",IF(ISNUMBER(INDEX(Data!T$1:T$373,$F8)),INDEX(Data!T$1:T$373,$F8),""))</f>
        <v>107.9</v>
      </c>
      <c r="X8" s="6">
        <f>IF($F8=0,"",IF(ISNUMBER(INDEX(Data!U$1:U$373,$F8)),INDEX(Data!U$1:U$373,$F8),""))</f>
        <v>100.5</v>
      </c>
      <c r="Y8" s="6">
        <f>IF($F8=0,"",IF(ISNUMBER(INDEX(Data!V$1:V$373,$F8)),INDEX(Data!V$1:V$373,$F8),""))</f>
        <v>106.5</v>
      </c>
      <c r="Z8" s="6">
        <f>IF($F8=0,"",IF(ISNUMBER(INDEX(Data!W$1:W$373,$F8)),INDEX(Data!W$1:W$373,$F8),""))</f>
        <v>106.3</v>
      </c>
      <c r="AA8" s="6">
        <f>IF($F8=0,"",IF(ISNUMBER(INDEX(Data!X$1:X$373,$F8)),INDEX(Data!X$1:X$373,$F8),""))</f>
        <v>105.3</v>
      </c>
      <c r="AB8" s="6">
        <f>IF($F8=0,"",IF(ISNUMBER(INDEX(Data!Y$1:Y$373,$F8)),INDEX(Data!Y$1:Y$373,$F8),""))</f>
        <v>104.7</v>
      </c>
      <c r="AC8" s="6">
        <f>IF($F8=0,"",IF(ISNUMBER(INDEX(Data!Z$1:Z$373,$F8)),INDEX(Data!Z$1:Z$373,$F8),""))</f>
        <v>104.2</v>
      </c>
      <c r="AD8" s="6">
        <f>IF($F8=0,"",IF(ISNUMBER(INDEX(Data!AA$1:AA$373,$F8)),INDEX(Data!AA$1:AA$373,$F8),""))</f>
        <v>105</v>
      </c>
      <c r="AE8" s="6">
        <f>IF($F8=0,"",IF(ISNUMBER(INDEX(Data!AB$1:AB$373,$F8)),INDEX(Data!AB$1:AB$373,$F8),""))</f>
        <v>102.9</v>
      </c>
      <c r="AF8" s="6">
        <f>IF($F8=0,"",IF(ISNUMBER(INDEX(Data!AC$1:AC$373,$F8)),INDEX(Data!AC$1:AC$373,$F8),""))</f>
        <v>104.8</v>
      </c>
      <c r="AG8" s="6">
        <f>IF($F8=0,"",IF(ISNUMBER(INDEX(Data!AD$1:AD$373,$F8)),INDEX(Data!AD$1:AD$373,$F8),""))</f>
        <v>106.1</v>
      </c>
    </row>
    <row r="9" spans="1:33">
      <c r="A9" s="6">
        <v>2013</v>
      </c>
      <c r="B9" s="6">
        <v>5</v>
      </c>
      <c r="C9" s="6" t="s">
        <v>56</v>
      </c>
      <c r="D9" s="9">
        <f t="shared" si="0"/>
        <v>41395</v>
      </c>
      <c r="E9" s="6" t="str">
        <f t="shared" si="1"/>
        <v>Rural+Urban|2013|May</v>
      </c>
      <c r="F9" s="6">
        <f>IFERROR(MATCH(E9,Data!$AE$1:$AE$373,0),0)</f>
        <v>16</v>
      </c>
      <c r="G9" s="6">
        <f>IF($F9=0,"",IF(ISNUMBER(INDEX(Data!D$1:D$373,$F9)),INDEX(Data!D$1:D$373,$F9),""))</f>
        <v>112.3</v>
      </c>
      <c r="H9" s="6">
        <f>IF($F9=0,"",IF(ISNUMBER(INDEX(Data!E$1:E$373,$F9)),INDEX(Data!E$1:E$373,$F9),""))</f>
        <v>111.3</v>
      </c>
      <c r="I9" s="6">
        <f>IF($F9=0,"",IF(ISNUMBER(INDEX(Data!F$1:F$373,$F9)),INDEX(Data!F$1:F$373,$F9),""))</f>
        <v>104.7</v>
      </c>
      <c r="J9" s="6">
        <f>IF($F9=0,"",IF(ISNUMBER(INDEX(Data!G$1:G$373,$F9)),INDEX(Data!G$1:G$373,$F9),""))</f>
        <v>106.8</v>
      </c>
      <c r="K9" s="6">
        <f>IF($F9=0,"",IF(ISNUMBER(INDEX(Data!H$1:H$373,$F9)),INDEX(Data!H$1:H$373,$F9),""))</f>
        <v>103.9</v>
      </c>
      <c r="L9" s="6">
        <f>IF($F9=0,"",IF(ISNUMBER(INDEX(Data!I$1:I$373,$F9)),INDEX(Data!I$1:I$373,$F9),""))</f>
        <v>109.3</v>
      </c>
      <c r="M9" s="6">
        <f>IF($F9=0,"",IF(ISNUMBER(INDEX(Data!J$1:J$373,$F9)),INDEX(Data!J$1:J$373,$F9),""))</f>
        <v>112.9</v>
      </c>
      <c r="N9" s="6">
        <f>IF($F9=0,"",IF(ISNUMBER(INDEX(Data!K$1:K$373,$F9)),INDEX(Data!K$1:K$373,$F9),""))</f>
        <v>105.8</v>
      </c>
      <c r="O9" s="6">
        <f>IF($F9=0,"",IF(ISNUMBER(INDEX(Data!L$1:L$373,$F9)),INDEX(Data!L$1:L$373,$F9),""))</f>
        <v>103.1</v>
      </c>
      <c r="P9" s="6">
        <f>IF($F9=0,"",IF(ISNUMBER(INDEX(Data!M$1:M$373,$F9)),INDEX(Data!M$1:M$373,$F9),""))</f>
        <v>104.3</v>
      </c>
      <c r="Q9" s="6">
        <f>IF($F9=0,"",IF(ISNUMBER(INDEX(Data!N$1:N$373,$F9)),INDEX(Data!N$1:N$373,$F9),""))</f>
        <v>108.1</v>
      </c>
      <c r="R9" s="6">
        <f>IF($F9=0,"",IF(ISNUMBER(INDEX(Data!O$1:O$373,$F9)),INDEX(Data!O$1:O$373,$F9),""))</f>
        <v>110.5</v>
      </c>
      <c r="S9" s="6">
        <f>IF($F9=0,"",IF(ISNUMBER(INDEX(Data!P$1:P$373,$F9)),INDEX(Data!P$1:P$373,$F9),""))</f>
        <v>109.2</v>
      </c>
      <c r="T9" s="6">
        <f>IF($F9=0,"",IF(ISNUMBER(INDEX(Data!Q$1:Q$373,$F9)),INDEX(Data!Q$1:Q$373,$F9),""))</f>
        <v>108.6</v>
      </c>
      <c r="U9" s="6">
        <f>IF($F9=0,"",IF(ISNUMBER(INDEX(Data!R$1:R$373,$F9)),INDEX(Data!R$1:R$373,$F9),""))</f>
        <v>108.7</v>
      </c>
      <c r="V9" s="6">
        <f>IF($F9=0,"",IF(ISNUMBER(INDEX(Data!S$1:S$373,$F9)),INDEX(Data!S$1:S$373,$F9),""))</f>
        <v>107.4</v>
      </c>
      <c r="W9" s="6">
        <f>IF($F9=0,"",IF(ISNUMBER(INDEX(Data!T$1:T$373,$F9)),INDEX(Data!T$1:T$373,$F9),""))</f>
        <v>108.5</v>
      </c>
      <c r="X9" s="6">
        <f>IF($F9=0,"",IF(ISNUMBER(INDEX(Data!U$1:U$373,$F9)),INDEX(Data!U$1:U$373,$F9),""))</f>
        <v>100.5</v>
      </c>
      <c r="Y9" s="6">
        <f>IF($F9=0,"",IF(ISNUMBER(INDEX(Data!V$1:V$373,$F9)),INDEX(Data!V$1:V$373,$F9),""))</f>
        <v>107.4</v>
      </c>
      <c r="Z9" s="6">
        <f>IF($F9=0,"",IF(ISNUMBER(INDEX(Data!W$1:W$373,$F9)),INDEX(Data!W$1:W$373,$F9),""))</f>
        <v>106.9</v>
      </c>
      <c r="AA9" s="6">
        <f>IF($F9=0,"",IF(ISNUMBER(INDEX(Data!X$1:X$373,$F9)),INDEX(Data!X$1:X$373,$F9),""))</f>
        <v>105.9</v>
      </c>
      <c r="AB9" s="6">
        <f>IF($F9=0,"",IF(ISNUMBER(INDEX(Data!Y$1:Y$373,$F9)),INDEX(Data!Y$1:Y$373,$F9),""))</f>
        <v>104</v>
      </c>
      <c r="AC9" s="6">
        <f>IF($F9=0,"",IF(ISNUMBER(INDEX(Data!Z$1:Z$373,$F9)),INDEX(Data!Z$1:Z$373,$F9),""))</f>
        <v>104.8</v>
      </c>
      <c r="AD9" s="6">
        <f>IF($F9=0,"",IF(ISNUMBER(INDEX(Data!AA$1:AA$373,$F9)),INDEX(Data!AA$1:AA$373,$F9),""))</f>
        <v>105.6</v>
      </c>
      <c r="AE9" s="6">
        <f>IF($F9=0,"",IF(ISNUMBER(INDEX(Data!AB$1:AB$373,$F9)),INDEX(Data!AB$1:AB$373,$F9),""))</f>
        <v>102.3</v>
      </c>
      <c r="AF9" s="6">
        <f>IF($F9=0,"",IF(ISNUMBER(INDEX(Data!AC$1:AC$373,$F9)),INDEX(Data!AC$1:AC$373,$F9),""))</f>
        <v>104.8</v>
      </c>
      <c r="AG9" s="6">
        <f>IF($F9=0,"",IF(ISNUMBER(INDEX(Data!AD$1:AD$373,$F9)),INDEX(Data!AD$1:AD$373,$F9),""))</f>
        <v>106.9</v>
      </c>
    </row>
    <row r="10" spans="1:33">
      <c r="A10" s="6">
        <v>2013</v>
      </c>
      <c r="B10" s="6">
        <v>6</v>
      </c>
      <c r="C10" s="6" t="s">
        <v>57</v>
      </c>
      <c r="D10" s="9">
        <f t="shared" si="0"/>
        <v>41426</v>
      </c>
      <c r="E10" s="6" t="str">
        <f t="shared" si="1"/>
        <v>Rural+Urban|2013|June</v>
      </c>
      <c r="F10" s="6">
        <f>IFERROR(MATCH(E10,Data!$AE$1:$AE$373,0),0)</f>
        <v>19</v>
      </c>
      <c r="G10" s="6">
        <f>IF($F10=0,"",IF(ISNUMBER(INDEX(Data!D$1:D$373,$F10)),INDEX(Data!D$1:D$373,$F10),""))</f>
        <v>113.8</v>
      </c>
      <c r="H10" s="6">
        <f>IF($F10=0,"",IF(ISNUMBER(INDEX(Data!E$1:E$373,$F10)),INDEX(Data!E$1:E$373,$F10),""))</f>
        <v>114.9</v>
      </c>
      <c r="I10" s="6">
        <f>IF($F10=0,"",IF(ISNUMBER(INDEX(Data!F$1:F$373,$F10)),INDEX(Data!F$1:F$373,$F10),""))</f>
        <v>109.8</v>
      </c>
      <c r="J10" s="6">
        <f>IF($F10=0,"",IF(ISNUMBER(INDEX(Data!G$1:G$373,$F10)),INDEX(Data!G$1:G$373,$F10),""))</f>
        <v>107.9</v>
      </c>
      <c r="K10" s="6">
        <f>IF($F10=0,"",IF(ISNUMBER(INDEX(Data!H$1:H$373,$F10)),INDEX(Data!H$1:H$373,$F10),""))</f>
        <v>104.2</v>
      </c>
      <c r="L10" s="6">
        <f>IF($F10=0,"",IF(ISNUMBER(INDEX(Data!I$1:I$373,$F10)),INDEX(Data!I$1:I$373,$F10),""))</f>
        <v>110.7</v>
      </c>
      <c r="M10" s="6">
        <f>IF($F10=0,"",IF(ISNUMBER(INDEX(Data!J$1:J$373,$F10)),INDEX(Data!J$1:J$373,$F10),""))</f>
        <v>126.7</v>
      </c>
      <c r="N10" s="6">
        <f>IF($F10=0,"",IF(ISNUMBER(INDEX(Data!K$1:K$373,$F10)),INDEX(Data!K$1:K$373,$F10),""))</f>
        <v>106.3</v>
      </c>
      <c r="O10" s="6">
        <f>IF($F10=0,"",IF(ISNUMBER(INDEX(Data!L$1:L$373,$F10)),INDEX(Data!L$1:L$373,$F10),""))</f>
        <v>103.2</v>
      </c>
      <c r="P10" s="6">
        <f>IF($F10=0,"",IF(ISNUMBER(INDEX(Data!M$1:M$373,$F10)),INDEX(Data!M$1:M$373,$F10),""))</f>
        <v>105.7</v>
      </c>
      <c r="Q10" s="6">
        <f>IF($F10=0,"",IF(ISNUMBER(INDEX(Data!N$1:N$373,$F10)),INDEX(Data!N$1:N$373,$F10),""))</f>
        <v>109</v>
      </c>
      <c r="R10" s="6">
        <f>IF($F10=0,"",IF(ISNUMBER(INDEX(Data!O$1:O$373,$F10)),INDEX(Data!O$1:O$373,$F10),""))</f>
        <v>111.6</v>
      </c>
      <c r="S10" s="6">
        <f>IF($F10=0,"",IF(ISNUMBER(INDEX(Data!P$1:P$373,$F10)),INDEX(Data!P$1:P$373,$F10),""))</f>
        <v>112.2</v>
      </c>
      <c r="T10" s="6">
        <f>IF($F10=0,"",IF(ISNUMBER(INDEX(Data!Q$1:Q$373,$F10)),INDEX(Data!Q$1:Q$373,$F10),""))</f>
        <v>109.5</v>
      </c>
      <c r="U10" s="6">
        <f>IF($F10=0,"",IF(ISNUMBER(INDEX(Data!R$1:R$373,$F10)),INDEX(Data!R$1:R$373,$F10),""))</f>
        <v>109.5</v>
      </c>
      <c r="V10" s="6">
        <f>IF($F10=0,"",IF(ISNUMBER(INDEX(Data!S$1:S$373,$F10)),INDEX(Data!S$1:S$373,$F10),""))</f>
        <v>108.1</v>
      </c>
      <c r="W10" s="6">
        <f>IF($F10=0,"",IF(ISNUMBER(INDEX(Data!T$1:T$373,$F10)),INDEX(Data!T$1:T$373,$F10),""))</f>
        <v>109.3</v>
      </c>
      <c r="X10" s="6">
        <f>IF($F10=0,"",IF(ISNUMBER(INDEX(Data!U$1:U$373,$F10)),INDEX(Data!U$1:U$373,$F10),""))</f>
        <v>106.6</v>
      </c>
      <c r="Y10" s="6">
        <f>IF($F10=0,"",IF(ISNUMBER(INDEX(Data!V$1:V$373,$F10)),INDEX(Data!V$1:V$373,$F10),""))</f>
        <v>108.3</v>
      </c>
      <c r="Z10" s="6">
        <f>IF($F10=0,"",IF(ISNUMBER(INDEX(Data!W$1:W$373,$F10)),INDEX(Data!W$1:W$373,$F10),""))</f>
        <v>107.6</v>
      </c>
      <c r="AA10" s="6">
        <f>IF($F10=0,"",IF(ISNUMBER(INDEX(Data!X$1:X$373,$F10)),INDEX(Data!X$1:X$373,$F10),""))</f>
        <v>106.4</v>
      </c>
      <c r="AB10" s="6">
        <f>IF($F10=0,"",IF(ISNUMBER(INDEX(Data!Y$1:Y$373,$F10)),INDEX(Data!Y$1:Y$373,$F10),""))</f>
        <v>105.1</v>
      </c>
      <c r="AC10" s="6">
        <f>IF($F10=0,"",IF(ISNUMBER(INDEX(Data!Z$1:Z$373,$F10)),INDEX(Data!Z$1:Z$373,$F10),""))</f>
        <v>105.4</v>
      </c>
      <c r="AD10" s="6">
        <f>IF($F10=0,"",IF(ISNUMBER(INDEX(Data!AA$1:AA$373,$F10)),INDEX(Data!AA$1:AA$373,$F10),""))</f>
        <v>107.4</v>
      </c>
      <c r="AE10" s="6">
        <f>IF($F10=0,"",IF(ISNUMBER(INDEX(Data!AB$1:AB$373,$F10)),INDEX(Data!AB$1:AB$373,$F10),""))</f>
        <v>102.8</v>
      </c>
      <c r="AF10" s="6">
        <f>IF($F10=0,"",IF(ISNUMBER(INDEX(Data!AC$1:AC$373,$F10)),INDEX(Data!AC$1:AC$373,$F10),""))</f>
        <v>105.8</v>
      </c>
      <c r="AG10" s="6">
        <f>IF($F10=0,"",IF(ISNUMBER(INDEX(Data!AD$1:AD$373,$F10)),INDEX(Data!AD$1:AD$373,$F10),""))</f>
        <v>109.3</v>
      </c>
    </row>
    <row r="11" spans="1:33">
      <c r="A11" s="6">
        <v>2013</v>
      </c>
      <c r="B11" s="6">
        <v>7</v>
      </c>
      <c r="C11" s="6" t="s">
        <v>58</v>
      </c>
      <c r="D11" s="9">
        <f t="shared" si="0"/>
        <v>41456</v>
      </c>
      <c r="E11" s="6" t="str">
        <f t="shared" si="1"/>
        <v>Rural+Urban|2013|July</v>
      </c>
      <c r="F11" s="6">
        <f>IFERROR(MATCH(E11,Data!$AE$1:$AE$373,0),0)</f>
        <v>22</v>
      </c>
      <c r="G11" s="6">
        <f>IF($F11=0,"",IF(ISNUMBER(INDEX(Data!D$1:D$373,$F11)),INDEX(Data!D$1:D$373,$F11),""))</f>
        <v>114.8</v>
      </c>
      <c r="H11" s="6">
        <f>IF($F11=0,"",IF(ISNUMBER(INDEX(Data!E$1:E$373,$F11)),INDEX(Data!E$1:E$373,$F11),""))</f>
        <v>116.4</v>
      </c>
      <c r="I11" s="6">
        <f>IF($F11=0,"",IF(ISNUMBER(INDEX(Data!F$1:F$373,$F11)),INDEX(Data!F$1:F$373,$F11),""))</f>
        <v>111.9</v>
      </c>
      <c r="J11" s="6">
        <f>IF($F11=0,"",IF(ISNUMBER(INDEX(Data!G$1:G$373,$F11)),INDEX(Data!G$1:G$373,$F11),""))</f>
        <v>108.9</v>
      </c>
      <c r="K11" s="6">
        <f>IF($F11=0,"",IF(ISNUMBER(INDEX(Data!H$1:H$373,$F11)),INDEX(Data!H$1:H$373,$F11),""))</f>
        <v>104.3</v>
      </c>
      <c r="L11" s="6">
        <f>IF($F11=0,"",IF(ISNUMBER(INDEX(Data!I$1:I$373,$F11)),INDEX(Data!I$1:I$373,$F11),""))</f>
        <v>111.7</v>
      </c>
      <c r="M11" s="6">
        <f>IF($F11=0,"",IF(ISNUMBER(INDEX(Data!J$1:J$373,$F11)),INDEX(Data!J$1:J$373,$F11),""))</f>
        <v>140</v>
      </c>
      <c r="N11" s="6">
        <f>IF($F11=0,"",IF(ISNUMBER(INDEX(Data!K$1:K$373,$F11)),INDEX(Data!K$1:K$373,$F11),""))</f>
        <v>106.4</v>
      </c>
      <c r="O11" s="6">
        <f>IF($F11=0,"",IF(ISNUMBER(INDEX(Data!L$1:L$373,$F11)),INDEX(Data!L$1:L$373,$F11),""))</f>
        <v>103.3</v>
      </c>
      <c r="P11" s="6">
        <f>IF($F11=0,"",IF(ISNUMBER(INDEX(Data!M$1:M$373,$F11)),INDEX(Data!M$1:M$373,$F11),""))</f>
        <v>106.8</v>
      </c>
      <c r="Q11" s="6">
        <f>IF($F11=0,"",IF(ISNUMBER(INDEX(Data!N$1:N$373,$F11)),INDEX(Data!N$1:N$373,$F11),""))</f>
        <v>109.6</v>
      </c>
      <c r="R11" s="6">
        <f>IF($F11=0,"",IF(ISNUMBER(INDEX(Data!O$1:O$373,$F11)),INDEX(Data!O$1:O$373,$F11),""))</f>
        <v>112.6</v>
      </c>
      <c r="S11" s="6">
        <f>IF($F11=0,"",IF(ISNUMBER(INDEX(Data!P$1:P$373,$F11)),INDEX(Data!P$1:P$373,$F11),""))</f>
        <v>114.7</v>
      </c>
      <c r="T11" s="6">
        <f>IF($F11=0,"",IF(ISNUMBER(INDEX(Data!Q$1:Q$373,$F11)),INDEX(Data!Q$1:Q$373,$F11),""))</f>
        <v>110.3</v>
      </c>
      <c r="U11" s="6">
        <f>IF($F11=0,"",IF(ISNUMBER(INDEX(Data!R$1:R$373,$F11)),INDEX(Data!R$1:R$373,$F11),""))</f>
        <v>110.2</v>
      </c>
      <c r="V11" s="6">
        <f>IF($F11=0,"",IF(ISNUMBER(INDEX(Data!S$1:S$373,$F11)),INDEX(Data!S$1:S$373,$F11),""))</f>
        <v>108.8</v>
      </c>
      <c r="W11" s="6">
        <f>IF($F11=0,"",IF(ISNUMBER(INDEX(Data!T$1:T$373,$F11)),INDEX(Data!T$1:T$373,$F11),""))</f>
        <v>110</v>
      </c>
      <c r="X11" s="6">
        <f>IF($F11=0,"",IF(ISNUMBER(INDEX(Data!U$1:U$373,$F11)),INDEX(Data!U$1:U$373,$F11),""))</f>
        <v>107.7</v>
      </c>
      <c r="Y11" s="6">
        <f>IF($F11=0,"",IF(ISNUMBER(INDEX(Data!V$1:V$373,$F11)),INDEX(Data!V$1:V$373,$F11),""))</f>
        <v>109.2</v>
      </c>
      <c r="Z11" s="6">
        <f>IF($F11=0,"",IF(ISNUMBER(INDEX(Data!W$1:W$373,$F11)),INDEX(Data!W$1:W$373,$F11),""))</f>
        <v>108.2</v>
      </c>
      <c r="AA11" s="6">
        <f>IF($F11=0,"",IF(ISNUMBER(INDEX(Data!X$1:X$373,$F11)),INDEX(Data!X$1:X$373,$F11),""))</f>
        <v>107</v>
      </c>
      <c r="AB11" s="6">
        <f>IF($F11=0,"",IF(ISNUMBER(INDEX(Data!Y$1:Y$373,$F11)),INDEX(Data!Y$1:Y$373,$F11),""))</f>
        <v>107.1</v>
      </c>
      <c r="AC11" s="6">
        <f>IF($F11=0,"",IF(ISNUMBER(INDEX(Data!Z$1:Z$373,$F11)),INDEX(Data!Z$1:Z$373,$F11),""))</f>
        <v>106.1</v>
      </c>
      <c r="AD11" s="6">
        <f>IF($F11=0,"",IF(ISNUMBER(INDEX(Data!AA$1:AA$373,$F11)),INDEX(Data!AA$1:AA$373,$F11),""))</f>
        <v>109.1</v>
      </c>
      <c r="AE11" s="6">
        <f>IF($F11=0,"",IF(ISNUMBER(INDEX(Data!AB$1:AB$373,$F11)),INDEX(Data!AB$1:AB$373,$F11),""))</f>
        <v>102.8</v>
      </c>
      <c r="AF11" s="6">
        <f>IF($F11=0,"",IF(ISNUMBER(INDEX(Data!AC$1:AC$373,$F11)),INDEX(Data!AC$1:AC$373,$F11),""))</f>
        <v>106.9</v>
      </c>
      <c r="AG11" s="6">
        <f>IF($F11=0,"",IF(ISNUMBER(INDEX(Data!AD$1:AD$373,$F11)),INDEX(Data!AD$1:AD$373,$F11),""))</f>
        <v>111</v>
      </c>
    </row>
    <row r="12" spans="1:33">
      <c r="A12" s="6">
        <v>2013</v>
      </c>
      <c r="B12" s="6">
        <v>8</v>
      </c>
      <c r="C12" s="6" t="s">
        <v>59</v>
      </c>
      <c r="D12" s="9">
        <f t="shared" si="0"/>
        <v>41487</v>
      </c>
      <c r="E12" s="6" t="str">
        <f t="shared" si="1"/>
        <v>Rural+Urban|2013|August</v>
      </c>
      <c r="F12" s="6">
        <f>IFERROR(MATCH(E12,Data!$AE$1:$AE$373,0),0)</f>
        <v>25</v>
      </c>
      <c r="G12" s="6">
        <f>IF($F12=0,"",IF(ISNUMBER(INDEX(Data!D$1:D$373,$F12)),INDEX(Data!D$1:D$373,$F12),""))</f>
        <v>115.6</v>
      </c>
      <c r="H12" s="6">
        <f>IF($F12=0,"",IF(ISNUMBER(INDEX(Data!E$1:E$373,$F12)),INDEX(Data!E$1:E$373,$F12),""))</f>
        <v>117.2</v>
      </c>
      <c r="I12" s="6">
        <f>IF($F12=0,"",IF(ISNUMBER(INDEX(Data!F$1:F$373,$F12)),INDEX(Data!F$1:F$373,$F12),""))</f>
        <v>111.7</v>
      </c>
      <c r="J12" s="6">
        <f>IF($F12=0,"",IF(ISNUMBER(INDEX(Data!G$1:G$373,$F12)),INDEX(Data!G$1:G$373,$F12),""))</f>
        <v>109.6</v>
      </c>
      <c r="K12" s="6">
        <f>IF($F12=0,"",IF(ISNUMBER(INDEX(Data!H$1:H$373,$F12)),INDEX(Data!H$1:H$373,$F12),""))</f>
        <v>104.5</v>
      </c>
      <c r="L12" s="6">
        <f>IF($F12=0,"",IF(ISNUMBER(INDEX(Data!I$1:I$373,$F12)),INDEX(Data!I$1:I$373,$F12),""))</f>
        <v>109.8</v>
      </c>
      <c r="M12" s="6">
        <f>IF($F12=0,"",IF(ISNUMBER(INDEX(Data!J$1:J$373,$F12)),INDEX(Data!J$1:J$373,$F12),""))</f>
        <v>151.8</v>
      </c>
      <c r="N12" s="6">
        <f>IF($F12=0,"",IF(ISNUMBER(INDEX(Data!K$1:K$373,$F12)),INDEX(Data!K$1:K$373,$F12),""))</f>
        <v>106.5</v>
      </c>
      <c r="O12" s="6">
        <f>IF($F12=0,"",IF(ISNUMBER(INDEX(Data!L$1:L$373,$F12)),INDEX(Data!L$1:L$373,$F12),""))</f>
        <v>103.1</v>
      </c>
      <c r="P12" s="6">
        <f>IF($F12=0,"",IF(ISNUMBER(INDEX(Data!M$1:M$373,$F12)),INDEX(Data!M$1:M$373,$F12),""))</f>
        <v>107.4</v>
      </c>
      <c r="Q12" s="6">
        <f>IF($F12=0,"",IF(ISNUMBER(INDEX(Data!N$1:N$373,$F12)),INDEX(Data!N$1:N$373,$F12),""))</f>
        <v>110.2</v>
      </c>
      <c r="R12" s="6">
        <f>IF($F12=0,"",IF(ISNUMBER(INDEX(Data!O$1:O$373,$F12)),INDEX(Data!O$1:O$373,$F12),""))</f>
        <v>113.4</v>
      </c>
      <c r="S12" s="6">
        <f>IF($F12=0,"",IF(ISNUMBER(INDEX(Data!P$1:P$373,$F12)),INDEX(Data!P$1:P$373,$F12),""))</f>
        <v>116.6</v>
      </c>
      <c r="T12" s="6">
        <f>IF($F12=0,"",IF(ISNUMBER(INDEX(Data!Q$1:Q$373,$F12)),INDEX(Data!Q$1:Q$373,$F12),""))</f>
        <v>111.2</v>
      </c>
      <c r="U12" s="6">
        <f>IF($F12=0,"",IF(ISNUMBER(INDEX(Data!R$1:R$373,$F12)),INDEX(Data!R$1:R$373,$F12),""))</f>
        <v>111</v>
      </c>
      <c r="V12" s="6">
        <f>IF($F12=0,"",IF(ISNUMBER(INDEX(Data!S$1:S$373,$F12)),INDEX(Data!S$1:S$373,$F12),""))</f>
        <v>109.4</v>
      </c>
      <c r="W12" s="6">
        <f>IF($F12=0,"",IF(ISNUMBER(INDEX(Data!T$1:T$373,$F12)),INDEX(Data!T$1:T$373,$F12),""))</f>
        <v>110.7</v>
      </c>
      <c r="X12" s="6">
        <f>IF($F12=0,"",IF(ISNUMBER(INDEX(Data!U$1:U$373,$F12)),INDEX(Data!U$1:U$373,$F12),""))</f>
        <v>108.9</v>
      </c>
      <c r="Y12" s="6">
        <f>IF($F12=0,"",IF(ISNUMBER(INDEX(Data!V$1:V$373,$F12)),INDEX(Data!V$1:V$373,$F12),""))</f>
        <v>109.7</v>
      </c>
      <c r="Z12" s="6">
        <f>IF($F12=0,"",IF(ISNUMBER(INDEX(Data!W$1:W$373,$F12)),INDEX(Data!W$1:W$373,$F12),""))</f>
        <v>108.7</v>
      </c>
      <c r="AA12" s="6">
        <f>IF($F12=0,"",IF(ISNUMBER(INDEX(Data!X$1:X$373,$F12)),INDEX(Data!X$1:X$373,$F12),""))</f>
        <v>107.5</v>
      </c>
      <c r="AB12" s="6">
        <f>IF($F12=0,"",IF(ISNUMBER(INDEX(Data!Y$1:Y$373,$F12)),INDEX(Data!Y$1:Y$373,$F12),""))</f>
        <v>108</v>
      </c>
      <c r="AC12" s="6">
        <f>IF($F12=0,"",IF(ISNUMBER(INDEX(Data!Z$1:Z$373,$F12)),INDEX(Data!Z$1:Z$373,$F12),""))</f>
        <v>106.6</v>
      </c>
      <c r="AD12" s="6">
        <f>IF($F12=0,"",IF(ISNUMBER(INDEX(Data!AA$1:AA$373,$F12)),INDEX(Data!AA$1:AA$373,$F12),""))</f>
        <v>109.9</v>
      </c>
      <c r="AE12" s="6">
        <f>IF($F12=0,"",IF(ISNUMBER(INDEX(Data!AB$1:AB$373,$F12)),INDEX(Data!AB$1:AB$373,$F12),""))</f>
        <v>105.4</v>
      </c>
      <c r="AF12" s="6">
        <f>IF($F12=0,"",IF(ISNUMBER(INDEX(Data!AC$1:AC$373,$F12)),INDEX(Data!AC$1:AC$373,$F12),""))</f>
        <v>107.9</v>
      </c>
      <c r="AG12" s="6">
        <f>IF($F12=0,"",IF(ISNUMBER(INDEX(Data!AD$1:AD$373,$F12)),INDEX(Data!AD$1:AD$373,$F12),""))</f>
        <v>112.4</v>
      </c>
    </row>
    <row r="13" spans="1:33">
      <c r="A13" s="6">
        <v>2013</v>
      </c>
      <c r="B13" s="6">
        <v>9</v>
      </c>
      <c r="C13" s="6" t="s">
        <v>60</v>
      </c>
      <c r="D13" s="9">
        <f t="shared" si="0"/>
        <v>41518</v>
      </c>
      <c r="E13" s="6" t="str">
        <f t="shared" si="1"/>
        <v>Rural+Urban|2013|September</v>
      </c>
      <c r="F13" s="6">
        <f>IFERROR(MATCH(E13,Data!$AE$1:$AE$373,0),0)</f>
        <v>28</v>
      </c>
      <c r="G13" s="6">
        <f>IF($F13=0,"",IF(ISNUMBER(INDEX(Data!D$1:D$373,$F13)),INDEX(Data!D$1:D$373,$F13),""))</f>
        <v>116.4</v>
      </c>
      <c r="H13" s="6">
        <f>IF($F13=0,"",IF(ISNUMBER(INDEX(Data!E$1:E$373,$F13)),INDEX(Data!E$1:E$373,$F13),""))</f>
        <v>116.9</v>
      </c>
      <c r="I13" s="6">
        <f>IF($F13=0,"",IF(ISNUMBER(INDEX(Data!F$1:F$373,$F13)),INDEX(Data!F$1:F$373,$F13),""))</f>
        <v>112.3</v>
      </c>
      <c r="J13" s="6">
        <f>IF($F13=0,"",IF(ISNUMBER(INDEX(Data!G$1:G$373,$F13)),INDEX(Data!G$1:G$373,$F13),""))</f>
        <v>110.5</v>
      </c>
      <c r="K13" s="6">
        <f>IF($F13=0,"",IF(ISNUMBER(INDEX(Data!H$1:H$373,$F13)),INDEX(Data!H$1:H$373,$F13),""))</f>
        <v>105.3</v>
      </c>
      <c r="L13" s="6">
        <f>IF($F13=0,"",IF(ISNUMBER(INDEX(Data!I$1:I$373,$F13)),INDEX(Data!I$1:I$373,$F13),""))</f>
        <v>107.3</v>
      </c>
      <c r="M13" s="6">
        <f>IF($F13=0,"",IF(ISNUMBER(INDEX(Data!J$1:J$373,$F13)),INDEX(Data!J$1:J$373,$F13),""))</f>
        <v>160.9</v>
      </c>
      <c r="N13" s="6">
        <f>IF($F13=0,"",IF(ISNUMBER(INDEX(Data!K$1:K$373,$F13)),INDEX(Data!K$1:K$373,$F13),""))</f>
        <v>107.1</v>
      </c>
      <c r="O13" s="6">
        <f>IF($F13=0,"",IF(ISNUMBER(INDEX(Data!L$1:L$373,$F13)),INDEX(Data!L$1:L$373,$F13),""))</f>
        <v>103.1</v>
      </c>
      <c r="P13" s="6">
        <f>IF($F13=0,"",IF(ISNUMBER(INDEX(Data!M$1:M$373,$F13)),INDEX(Data!M$1:M$373,$F13),""))</f>
        <v>108.3</v>
      </c>
      <c r="Q13" s="6">
        <f>IF($F13=0,"",IF(ISNUMBER(INDEX(Data!N$1:N$373,$F13)),INDEX(Data!N$1:N$373,$F13),""))</f>
        <v>110.7</v>
      </c>
      <c r="R13" s="6">
        <f>IF($F13=0,"",IF(ISNUMBER(INDEX(Data!O$1:O$373,$F13)),INDEX(Data!O$1:O$373,$F13),""))</f>
        <v>114.6</v>
      </c>
      <c r="S13" s="6">
        <f>IF($F13=0,"",IF(ISNUMBER(INDEX(Data!P$1:P$373,$F13)),INDEX(Data!P$1:P$373,$F13),""))</f>
        <v>118.3</v>
      </c>
      <c r="T13" s="6">
        <f>IF($F13=0,"",IF(ISNUMBER(INDEX(Data!Q$1:Q$373,$F13)),INDEX(Data!Q$1:Q$373,$F13),""))</f>
        <v>112</v>
      </c>
      <c r="U13" s="6">
        <f>IF($F13=0,"",IF(ISNUMBER(INDEX(Data!R$1:R$373,$F13)),INDEX(Data!R$1:R$373,$F13),""))</f>
        <v>112.2</v>
      </c>
      <c r="V13" s="6">
        <f>IF($F13=0,"",IF(ISNUMBER(INDEX(Data!S$1:S$373,$F13)),INDEX(Data!S$1:S$373,$F13),""))</f>
        <v>110.4</v>
      </c>
      <c r="W13" s="6">
        <f>IF($F13=0,"",IF(ISNUMBER(INDEX(Data!T$1:T$373,$F13)),INDEX(Data!T$1:T$373,$F13),""))</f>
        <v>111.9</v>
      </c>
      <c r="X13" s="6">
        <f>IF($F13=0,"",IF(ISNUMBER(INDEX(Data!U$1:U$373,$F13)),INDEX(Data!U$1:U$373,$F13),""))</f>
        <v>109.7</v>
      </c>
      <c r="Y13" s="6">
        <f>IF($F13=0,"",IF(ISNUMBER(INDEX(Data!V$1:V$373,$F13)),INDEX(Data!V$1:V$373,$F13),""))</f>
        <v>110.5</v>
      </c>
      <c r="Z13" s="6">
        <f>IF($F13=0,"",IF(ISNUMBER(INDEX(Data!W$1:W$373,$F13)),INDEX(Data!W$1:W$373,$F13),""))</f>
        <v>109.6</v>
      </c>
      <c r="AA13" s="6">
        <f>IF($F13=0,"",IF(ISNUMBER(INDEX(Data!X$1:X$373,$F13)),INDEX(Data!X$1:X$373,$F13),""))</f>
        <v>108.1</v>
      </c>
      <c r="AB13" s="6">
        <f>IF($F13=0,"",IF(ISNUMBER(INDEX(Data!Y$1:Y$373,$F13)),INDEX(Data!Y$1:Y$373,$F13),""))</f>
        <v>109.9</v>
      </c>
      <c r="AC13" s="6">
        <f>IF($F13=0,"",IF(ISNUMBER(INDEX(Data!Z$1:Z$373,$F13)),INDEX(Data!Z$1:Z$373,$F13),""))</f>
        <v>107.5</v>
      </c>
      <c r="AD13" s="6">
        <f>IF($F13=0,"",IF(ISNUMBER(INDEX(Data!AA$1:AA$373,$F13)),INDEX(Data!AA$1:AA$373,$F13),""))</f>
        <v>110.6</v>
      </c>
      <c r="AE13" s="6">
        <f>IF($F13=0,"",IF(ISNUMBER(INDEX(Data!AB$1:AB$373,$F13)),INDEX(Data!AB$1:AB$373,$F13),""))</f>
        <v>106.8</v>
      </c>
      <c r="AF13" s="6">
        <f>IF($F13=0,"",IF(ISNUMBER(INDEX(Data!AC$1:AC$373,$F13)),INDEX(Data!AC$1:AC$373,$F13),""))</f>
        <v>109</v>
      </c>
      <c r="AG13" s="6">
        <f>IF($F13=0,"",IF(ISNUMBER(INDEX(Data!AD$1:AD$373,$F13)),INDEX(Data!AD$1:AD$373,$F13),""))</f>
        <v>113.7</v>
      </c>
    </row>
    <row r="14" spans="1:33">
      <c r="A14" s="6">
        <v>2013</v>
      </c>
      <c r="B14" s="6">
        <v>10</v>
      </c>
      <c r="C14" s="6" t="s">
        <v>61</v>
      </c>
      <c r="D14" s="9">
        <f t="shared" si="0"/>
        <v>41548</v>
      </c>
      <c r="E14" s="6" t="str">
        <f t="shared" si="1"/>
        <v>Rural+Urban|2013|October</v>
      </c>
      <c r="F14" s="6">
        <f>IFERROR(MATCH(E14,Data!$AE$1:$AE$373,0),0)</f>
        <v>31</v>
      </c>
      <c r="G14" s="6">
        <f>IF($F14=0,"",IF(ISNUMBER(INDEX(Data!D$1:D$373,$F14)),INDEX(Data!D$1:D$373,$F14),""))</f>
        <v>117.1</v>
      </c>
      <c r="H14" s="6">
        <f>IF($F14=0,"",IF(ISNUMBER(INDEX(Data!E$1:E$373,$F14)),INDEX(Data!E$1:E$373,$F14),""))</f>
        <v>116.3</v>
      </c>
      <c r="I14" s="6">
        <f>IF($F14=0,"",IF(ISNUMBER(INDEX(Data!F$1:F$373,$F14)),INDEX(Data!F$1:F$373,$F14),""))</f>
        <v>113.3</v>
      </c>
      <c r="J14" s="6">
        <f>IF($F14=0,"",IF(ISNUMBER(INDEX(Data!G$1:G$373,$F14)),INDEX(Data!G$1:G$373,$F14),""))</f>
        <v>111.2</v>
      </c>
      <c r="K14" s="6">
        <f>IF($F14=0,"",IF(ISNUMBER(INDEX(Data!H$1:H$373,$F14)),INDEX(Data!H$1:H$373,$F14),""))</f>
        <v>105.7</v>
      </c>
      <c r="L14" s="6">
        <f>IF($F14=0,"",IF(ISNUMBER(INDEX(Data!I$1:I$373,$F14)),INDEX(Data!I$1:I$373,$F14),""))</f>
        <v>109.9</v>
      </c>
      <c r="M14" s="6">
        <f>IF($F14=0,"",IF(ISNUMBER(INDEX(Data!J$1:J$373,$F14)),INDEX(Data!J$1:J$373,$F14),""))</f>
        <v>171.2</v>
      </c>
      <c r="N14" s="6">
        <f>IF($F14=0,"",IF(ISNUMBER(INDEX(Data!K$1:K$373,$F14)),INDEX(Data!K$1:K$373,$F14),""))</f>
        <v>107.3</v>
      </c>
      <c r="O14" s="6">
        <f>IF($F14=0,"",IF(ISNUMBER(INDEX(Data!L$1:L$373,$F14)),INDEX(Data!L$1:L$373,$F14),""))</f>
        <v>102.7</v>
      </c>
      <c r="P14" s="6">
        <f>IF($F14=0,"",IF(ISNUMBER(INDEX(Data!M$1:M$373,$F14)),INDEX(Data!M$1:M$373,$F14),""))</f>
        <v>108.7</v>
      </c>
      <c r="Q14" s="6">
        <f>IF($F14=0,"",IF(ISNUMBER(INDEX(Data!N$1:N$373,$F14)),INDEX(Data!N$1:N$373,$F14),""))</f>
        <v>111.2</v>
      </c>
      <c r="R14" s="6">
        <f>IF($F14=0,"",IF(ISNUMBER(INDEX(Data!O$1:O$373,$F14)),INDEX(Data!O$1:O$373,$F14),""))</f>
        <v>115.4</v>
      </c>
      <c r="S14" s="6">
        <f>IF($F14=0,"",IF(ISNUMBER(INDEX(Data!P$1:P$373,$F14)),INDEX(Data!P$1:P$373,$F14),""))</f>
        <v>120.2</v>
      </c>
      <c r="T14" s="6">
        <f>IF($F14=0,"",IF(ISNUMBER(INDEX(Data!Q$1:Q$373,$F14)),INDEX(Data!Q$1:Q$373,$F14),""))</f>
        <v>112.5</v>
      </c>
      <c r="U14" s="6">
        <f>IF($F14=0,"",IF(ISNUMBER(INDEX(Data!R$1:R$373,$F14)),INDEX(Data!R$1:R$373,$F14),""))</f>
        <v>113.2</v>
      </c>
      <c r="V14" s="6">
        <f>IF($F14=0,"",IF(ISNUMBER(INDEX(Data!S$1:S$373,$F14)),INDEX(Data!S$1:S$373,$F14),""))</f>
        <v>111.2</v>
      </c>
      <c r="W14" s="6">
        <f>IF($F14=0,"",IF(ISNUMBER(INDEX(Data!T$1:T$373,$F14)),INDEX(Data!T$1:T$373,$F14),""))</f>
        <v>112.8</v>
      </c>
      <c r="X14" s="6">
        <f>IF($F14=0,"",IF(ISNUMBER(INDEX(Data!U$1:U$373,$F14)),INDEX(Data!U$1:U$373,$F14),""))</f>
        <v>110.5</v>
      </c>
      <c r="Y14" s="6">
        <f>IF($F14=0,"",IF(ISNUMBER(INDEX(Data!V$1:V$373,$F14)),INDEX(Data!V$1:V$373,$F14),""))</f>
        <v>110.9</v>
      </c>
      <c r="Z14" s="6">
        <f>IF($F14=0,"",IF(ISNUMBER(INDEX(Data!W$1:W$373,$F14)),INDEX(Data!W$1:W$373,$F14),""))</f>
        <v>110.3</v>
      </c>
      <c r="AA14" s="6">
        <f>IF($F14=0,"",IF(ISNUMBER(INDEX(Data!X$1:X$373,$F14)),INDEX(Data!X$1:X$373,$F14),""))</f>
        <v>108.6</v>
      </c>
      <c r="AB14" s="6">
        <f>IF($F14=0,"",IF(ISNUMBER(INDEX(Data!Y$1:Y$373,$F14)),INDEX(Data!Y$1:Y$373,$F14),""))</f>
        <v>109.5</v>
      </c>
      <c r="AC14" s="6">
        <f>IF($F14=0,"",IF(ISNUMBER(INDEX(Data!Z$1:Z$373,$F14)),INDEX(Data!Z$1:Z$373,$F14),""))</f>
        <v>108.1</v>
      </c>
      <c r="AD14" s="6">
        <f>IF($F14=0,"",IF(ISNUMBER(INDEX(Data!AA$1:AA$373,$F14)),INDEX(Data!AA$1:AA$373,$F14),""))</f>
        <v>110.8</v>
      </c>
      <c r="AE14" s="6">
        <f>IF($F14=0,"",IF(ISNUMBER(INDEX(Data!AB$1:AB$373,$F14)),INDEX(Data!AB$1:AB$373,$F14),""))</f>
        <v>107.4</v>
      </c>
      <c r="AF14" s="6">
        <f>IF($F14=0,"",IF(ISNUMBER(INDEX(Data!AC$1:AC$373,$F14)),INDEX(Data!AC$1:AC$373,$F14),""))</f>
        <v>109.2</v>
      </c>
      <c r="AG14" s="6">
        <f>IF($F14=0,"",IF(ISNUMBER(INDEX(Data!AD$1:AD$373,$F14)),INDEX(Data!AD$1:AD$373,$F14),""))</f>
        <v>114.8</v>
      </c>
    </row>
    <row r="15" spans="1:33">
      <c r="A15" s="6">
        <v>2013</v>
      </c>
      <c r="B15" s="6">
        <v>11</v>
      </c>
      <c r="C15" s="6" t="s">
        <v>62</v>
      </c>
      <c r="D15" s="9">
        <f t="shared" si="0"/>
        <v>41579</v>
      </c>
      <c r="E15" s="6" t="str">
        <f t="shared" si="1"/>
        <v>Rural+Urban|2013|November</v>
      </c>
      <c r="F15" s="6">
        <f>IFERROR(MATCH(E15,Data!$AE$1:$AE$373,0),0)</f>
        <v>34</v>
      </c>
      <c r="G15" s="6">
        <f>IF($F15=0,"",IF(ISNUMBER(INDEX(Data!D$1:D$373,$F15)),INDEX(Data!D$1:D$373,$F15),""))</f>
        <v>118.1</v>
      </c>
      <c r="H15" s="6">
        <f>IF($F15=0,"",IF(ISNUMBER(INDEX(Data!E$1:E$373,$F15)),INDEX(Data!E$1:E$373,$F15),""))</f>
        <v>115.4</v>
      </c>
      <c r="I15" s="6">
        <f>IF($F15=0,"",IF(ISNUMBER(INDEX(Data!F$1:F$373,$F15)),INDEX(Data!F$1:F$373,$F15),""))</f>
        <v>118.7</v>
      </c>
      <c r="J15" s="6">
        <f>IF($F15=0,"",IF(ISNUMBER(INDEX(Data!G$1:G$373,$F15)),INDEX(Data!G$1:G$373,$F15),""))</f>
        <v>112.5</v>
      </c>
      <c r="K15" s="6">
        <f>IF($F15=0,"",IF(ISNUMBER(INDEX(Data!H$1:H$373,$F15)),INDEX(Data!H$1:H$373,$F15),""))</f>
        <v>106.8</v>
      </c>
      <c r="L15" s="6">
        <f>IF($F15=0,"",IF(ISNUMBER(INDEX(Data!I$1:I$373,$F15)),INDEX(Data!I$1:I$373,$F15),""))</f>
        <v>113.5</v>
      </c>
      <c r="M15" s="6">
        <f>IF($F15=0,"",IF(ISNUMBER(INDEX(Data!J$1:J$373,$F15)),INDEX(Data!J$1:J$373,$F15),""))</f>
        <v>183.1</v>
      </c>
      <c r="N15" s="6">
        <f>IF($F15=0,"",IF(ISNUMBER(INDEX(Data!K$1:K$373,$F15)),INDEX(Data!K$1:K$373,$F15),""))</f>
        <v>108.2</v>
      </c>
      <c r="O15" s="6">
        <f>IF($F15=0,"",IF(ISNUMBER(INDEX(Data!L$1:L$373,$F15)),INDEX(Data!L$1:L$373,$F15),""))</f>
        <v>102.2</v>
      </c>
      <c r="P15" s="6">
        <f>IF($F15=0,"",IF(ISNUMBER(INDEX(Data!M$1:M$373,$F15)),INDEX(Data!M$1:M$373,$F15),""))</f>
        <v>109.4</v>
      </c>
      <c r="Q15" s="6">
        <f>IF($F15=0,"",IF(ISNUMBER(INDEX(Data!N$1:N$373,$F15)),INDEX(Data!N$1:N$373,$F15),""))</f>
        <v>111.8</v>
      </c>
      <c r="R15" s="6">
        <f>IF($F15=0,"",IF(ISNUMBER(INDEX(Data!O$1:O$373,$F15)),INDEX(Data!O$1:O$373,$F15),""))</f>
        <v>116.5</v>
      </c>
      <c r="S15" s="6">
        <f>IF($F15=0,"",IF(ISNUMBER(INDEX(Data!P$1:P$373,$F15)),INDEX(Data!P$1:P$373,$F15),""))</f>
        <v>122.6</v>
      </c>
      <c r="T15" s="6">
        <f>IF($F15=0,"",IF(ISNUMBER(INDEX(Data!Q$1:Q$373,$F15)),INDEX(Data!Q$1:Q$373,$F15),""))</f>
        <v>113.1</v>
      </c>
      <c r="U15" s="6">
        <f>IF($F15=0,"",IF(ISNUMBER(INDEX(Data!R$1:R$373,$F15)),INDEX(Data!R$1:R$373,$F15),""))</f>
        <v>114.2</v>
      </c>
      <c r="V15" s="6">
        <f>IF($F15=0,"",IF(ISNUMBER(INDEX(Data!S$1:S$373,$F15)),INDEX(Data!S$1:S$373,$F15),""))</f>
        <v>111.9</v>
      </c>
      <c r="W15" s="6">
        <f>IF($F15=0,"",IF(ISNUMBER(INDEX(Data!T$1:T$373,$F15)),INDEX(Data!T$1:T$373,$F15),""))</f>
        <v>113.8</v>
      </c>
      <c r="X15" s="6">
        <f>IF($F15=0,"",IF(ISNUMBER(INDEX(Data!U$1:U$373,$F15)),INDEX(Data!U$1:U$373,$F15),""))</f>
        <v>111.1</v>
      </c>
      <c r="Y15" s="6">
        <f>IF($F15=0,"",IF(ISNUMBER(INDEX(Data!V$1:V$373,$F15)),INDEX(Data!V$1:V$373,$F15),""))</f>
        <v>111.6</v>
      </c>
      <c r="Z15" s="6">
        <f>IF($F15=0,"",IF(ISNUMBER(INDEX(Data!W$1:W$373,$F15)),INDEX(Data!W$1:W$373,$F15),""))</f>
        <v>111.1</v>
      </c>
      <c r="AA15" s="6">
        <f>IF($F15=0,"",IF(ISNUMBER(INDEX(Data!X$1:X$373,$F15)),INDEX(Data!X$1:X$373,$F15),""))</f>
        <v>109.3</v>
      </c>
      <c r="AB15" s="6">
        <f>IF($F15=0,"",IF(ISNUMBER(INDEX(Data!Y$1:Y$373,$F15)),INDEX(Data!Y$1:Y$373,$F15),""))</f>
        <v>109.5</v>
      </c>
      <c r="AC15" s="6">
        <f>IF($F15=0,"",IF(ISNUMBER(INDEX(Data!Z$1:Z$373,$F15)),INDEX(Data!Z$1:Z$373,$F15),""))</f>
        <v>108.6</v>
      </c>
      <c r="AD15" s="6">
        <f>IF($F15=0,"",IF(ISNUMBER(INDEX(Data!AA$1:AA$373,$F15)),INDEX(Data!AA$1:AA$373,$F15),""))</f>
        <v>111.2</v>
      </c>
      <c r="AE15" s="6">
        <f>IF($F15=0,"",IF(ISNUMBER(INDEX(Data!AB$1:AB$373,$F15)),INDEX(Data!AB$1:AB$373,$F15),""))</f>
        <v>108.1</v>
      </c>
      <c r="AF15" s="6">
        <f>IF($F15=0,"",IF(ISNUMBER(INDEX(Data!AC$1:AC$373,$F15)),INDEX(Data!AC$1:AC$373,$F15),""))</f>
        <v>109.7</v>
      </c>
      <c r="AG15" s="6">
        <f>IF($F15=0,"",IF(ISNUMBER(INDEX(Data!AD$1:AD$373,$F15)),INDEX(Data!AD$1:AD$373,$F15),""))</f>
        <v>116.3</v>
      </c>
    </row>
    <row r="16" spans="1:33">
      <c r="A16" s="6">
        <v>2013</v>
      </c>
      <c r="B16" s="6">
        <v>12</v>
      </c>
      <c r="C16" s="6" t="s">
        <v>63</v>
      </c>
      <c r="D16" s="9">
        <f t="shared" si="0"/>
        <v>41609</v>
      </c>
      <c r="E16" s="6" t="str">
        <f t="shared" si="1"/>
        <v>Rural+Urban|2013|December</v>
      </c>
      <c r="F16" s="6">
        <f>IFERROR(MATCH(E16,Data!$AE$1:$AE$373,0),0)</f>
        <v>37</v>
      </c>
      <c r="G16" s="6">
        <f>IF($F16=0,"",IF(ISNUMBER(INDEX(Data!D$1:D$373,$F16)),INDEX(Data!D$1:D$373,$F16),""))</f>
        <v>119.1</v>
      </c>
      <c r="H16" s="6">
        <f>IF($F16=0,"",IF(ISNUMBER(INDEX(Data!E$1:E$373,$F16)),INDEX(Data!E$1:E$373,$F16),""))</f>
        <v>116.7</v>
      </c>
      <c r="I16" s="6">
        <f>IF($F16=0,"",IF(ISNUMBER(INDEX(Data!F$1:F$373,$F16)),INDEX(Data!F$1:F$373,$F16),""))</f>
        <v>123.5</v>
      </c>
      <c r="J16" s="6">
        <f>IF($F16=0,"",IF(ISNUMBER(INDEX(Data!G$1:G$373,$F16)),INDEX(Data!G$1:G$373,$F16),""))</f>
        <v>113.4</v>
      </c>
      <c r="K16" s="6">
        <f>IF($F16=0,"",IF(ISNUMBER(INDEX(Data!H$1:H$373,$F16)),INDEX(Data!H$1:H$373,$F16),""))</f>
        <v>107.3</v>
      </c>
      <c r="L16" s="6">
        <f>IF($F16=0,"",IF(ISNUMBER(INDEX(Data!I$1:I$373,$F16)),INDEX(Data!I$1:I$373,$F16),""))</f>
        <v>113.3</v>
      </c>
      <c r="M16" s="6">
        <f>IF($F16=0,"",IF(ISNUMBER(INDEX(Data!J$1:J$373,$F16)),INDEX(Data!J$1:J$373,$F16),""))</f>
        <v>145.4</v>
      </c>
      <c r="N16" s="6">
        <f>IF($F16=0,"",IF(ISNUMBER(INDEX(Data!K$1:K$373,$F16)),INDEX(Data!K$1:K$373,$F16),""))</f>
        <v>108.7</v>
      </c>
      <c r="O16" s="6">
        <f>IF($F16=0,"",IF(ISNUMBER(INDEX(Data!L$1:L$373,$F16)),INDEX(Data!L$1:L$373,$F16),""))</f>
        <v>101.5</v>
      </c>
      <c r="P16" s="6">
        <f>IF($F16=0,"",IF(ISNUMBER(INDEX(Data!M$1:M$373,$F16)),INDEX(Data!M$1:M$373,$F16),""))</f>
        <v>110.5</v>
      </c>
      <c r="Q16" s="6">
        <f>IF($F16=0,"",IF(ISNUMBER(INDEX(Data!N$1:N$373,$F16)),INDEX(Data!N$1:N$373,$F16),""))</f>
        <v>112.1</v>
      </c>
      <c r="R16" s="6">
        <f>IF($F16=0,"",IF(ISNUMBER(INDEX(Data!O$1:O$373,$F16)),INDEX(Data!O$1:O$373,$F16),""))</f>
        <v>117.4</v>
      </c>
      <c r="S16" s="6">
        <f>IF($F16=0,"",IF(ISNUMBER(INDEX(Data!P$1:P$373,$F16)),INDEX(Data!P$1:P$373,$F16),""))</f>
        <v>118.4</v>
      </c>
      <c r="T16" s="6">
        <f>IF($F16=0,"",IF(ISNUMBER(INDEX(Data!Q$1:Q$373,$F16)),INDEX(Data!Q$1:Q$373,$F16),""))</f>
        <v>114</v>
      </c>
      <c r="U16" s="6">
        <f>IF($F16=0,"",IF(ISNUMBER(INDEX(Data!R$1:R$373,$F16)),INDEX(Data!R$1:R$373,$F16),""))</f>
        <v>115.2</v>
      </c>
      <c r="V16" s="6">
        <f>IF($F16=0,"",IF(ISNUMBER(INDEX(Data!S$1:S$373,$F16)),INDEX(Data!S$1:S$373,$F16),""))</f>
        <v>112.7</v>
      </c>
      <c r="W16" s="6">
        <f>IF($F16=0,"",IF(ISNUMBER(INDEX(Data!T$1:T$373,$F16)),INDEX(Data!T$1:T$373,$F16),""))</f>
        <v>114.8</v>
      </c>
      <c r="X16" s="6">
        <f>IF($F16=0,"",IF(ISNUMBER(INDEX(Data!U$1:U$373,$F16)),INDEX(Data!U$1:U$373,$F16),""))</f>
        <v>110.7</v>
      </c>
      <c r="Y16" s="6">
        <f>IF($F16=0,"",IF(ISNUMBER(INDEX(Data!V$1:V$373,$F16)),INDEX(Data!V$1:V$373,$F16),""))</f>
        <v>111.9</v>
      </c>
      <c r="Z16" s="6">
        <f>IF($F16=0,"",IF(ISNUMBER(INDEX(Data!W$1:W$373,$F16)),INDEX(Data!W$1:W$373,$F16),""))</f>
        <v>111.7</v>
      </c>
      <c r="AA16" s="6">
        <f>IF($F16=0,"",IF(ISNUMBER(INDEX(Data!X$1:X$373,$F16)),INDEX(Data!X$1:X$373,$F16),""))</f>
        <v>109.7</v>
      </c>
      <c r="AB16" s="6">
        <f>IF($F16=0,"",IF(ISNUMBER(INDEX(Data!Y$1:Y$373,$F16)),INDEX(Data!Y$1:Y$373,$F16),""))</f>
        <v>109.8</v>
      </c>
      <c r="AC16" s="6">
        <f>IF($F16=0,"",IF(ISNUMBER(INDEX(Data!Z$1:Z$373,$F16)),INDEX(Data!Z$1:Z$373,$F16),""))</f>
        <v>109</v>
      </c>
      <c r="AD16" s="6">
        <f>IF($F16=0,"",IF(ISNUMBER(INDEX(Data!AA$1:AA$373,$F16)),INDEX(Data!AA$1:AA$373,$F16),""))</f>
        <v>111.5</v>
      </c>
      <c r="AE16" s="6">
        <f>IF($F16=0,"",IF(ISNUMBER(INDEX(Data!AB$1:AB$373,$F16)),INDEX(Data!AB$1:AB$373,$F16),""))</f>
        <v>107.9</v>
      </c>
      <c r="AF16" s="6">
        <f>IF($F16=0,"",IF(ISNUMBER(INDEX(Data!AC$1:AC$373,$F16)),INDEX(Data!AC$1:AC$373,$F16),""))</f>
        <v>110</v>
      </c>
      <c r="AG16" s="6">
        <f>IF($F16=0,"",IF(ISNUMBER(INDEX(Data!AD$1:AD$373,$F16)),INDEX(Data!AD$1:AD$373,$F16),""))</f>
        <v>114.5</v>
      </c>
    </row>
    <row r="17" spans="1:33">
      <c r="A17" s="6">
        <v>2014</v>
      </c>
      <c r="B17" s="6">
        <v>1</v>
      </c>
      <c r="C17" s="6" t="s">
        <v>50</v>
      </c>
      <c r="D17" s="9">
        <f t="shared" si="0"/>
        <v>41640</v>
      </c>
      <c r="E17" s="6" t="str">
        <f t="shared" si="1"/>
        <v>Rural+Urban|2014|January</v>
      </c>
      <c r="F17" s="6">
        <f>IFERROR(MATCH(E17,Data!$AE$1:$AE$373,0),0)</f>
        <v>40</v>
      </c>
      <c r="G17" s="6">
        <f>IF($F17=0,"",IF(ISNUMBER(INDEX(Data!D$1:D$373,$F17)),INDEX(Data!D$1:D$373,$F17),""))</f>
        <v>119.6</v>
      </c>
      <c r="H17" s="6">
        <f>IF($F17=0,"",IF(ISNUMBER(INDEX(Data!E$1:E$373,$F17)),INDEX(Data!E$1:E$373,$F17),""))</f>
        <v>118.8</v>
      </c>
      <c r="I17" s="6">
        <f>IF($F17=0,"",IF(ISNUMBER(INDEX(Data!F$1:F$373,$F17)),INDEX(Data!F$1:F$373,$F17),""))</f>
        <v>124.1</v>
      </c>
      <c r="J17" s="6">
        <f>IF($F17=0,"",IF(ISNUMBER(INDEX(Data!G$1:G$373,$F17)),INDEX(Data!G$1:G$373,$F17),""))</f>
        <v>114.1</v>
      </c>
      <c r="K17" s="6">
        <f>IF($F17=0,"",IF(ISNUMBER(INDEX(Data!H$1:H$373,$F17)),INDEX(Data!H$1:H$373,$F17),""))</f>
        <v>106.8</v>
      </c>
      <c r="L17" s="6">
        <f>IF($F17=0,"",IF(ISNUMBER(INDEX(Data!I$1:I$373,$F17)),INDEX(Data!I$1:I$373,$F17),""))</f>
        <v>113.9</v>
      </c>
      <c r="M17" s="6">
        <f>IF($F17=0,"",IF(ISNUMBER(INDEX(Data!J$1:J$373,$F17)),INDEX(Data!J$1:J$373,$F17),""))</f>
        <v>122.2</v>
      </c>
      <c r="N17" s="6">
        <f>IF($F17=0,"",IF(ISNUMBER(INDEX(Data!K$1:K$373,$F17)),INDEX(Data!K$1:K$373,$F17),""))</f>
        <v>108.9</v>
      </c>
      <c r="O17" s="6">
        <f>IF($F17=0,"",IF(ISNUMBER(INDEX(Data!L$1:L$373,$F17)),INDEX(Data!L$1:L$373,$F17),""))</f>
        <v>100.2</v>
      </c>
      <c r="P17" s="6">
        <f>IF($F17=0,"",IF(ISNUMBER(INDEX(Data!M$1:M$373,$F17)),INDEX(Data!M$1:M$373,$F17),""))</f>
        <v>111</v>
      </c>
      <c r="Q17" s="6">
        <f>IF($F17=0,"",IF(ISNUMBER(INDEX(Data!N$1:N$373,$F17)),INDEX(Data!N$1:N$373,$F17),""))</f>
        <v>112.3</v>
      </c>
      <c r="R17" s="6">
        <f>IF($F17=0,"",IF(ISNUMBER(INDEX(Data!O$1:O$373,$F17)),INDEX(Data!O$1:O$373,$F17),""))</f>
        <v>118.1</v>
      </c>
      <c r="S17" s="6">
        <f>IF($F17=0,"",IF(ISNUMBER(INDEX(Data!P$1:P$373,$F17)),INDEX(Data!P$1:P$373,$F17),""))</f>
        <v>115.8</v>
      </c>
      <c r="T17" s="6">
        <f>IF($F17=0,"",IF(ISNUMBER(INDEX(Data!Q$1:Q$373,$F17)),INDEX(Data!Q$1:Q$373,$F17),""))</f>
        <v>114.5</v>
      </c>
      <c r="U17" s="6">
        <f>IF($F17=0,"",IF(ISNUMBER(INDEX(Data!R$1:R$373,$F17)),INDEX(Data!R$1:R$373,$F17),""))</f>
        <v>115.8</v>
      </c>
      <c r="V17" s="6">
        <f>IF($F17=0,"",IF(ISNUMBER(INDEX(Data!S$1:S$373,$F17)),INDEX(Data!S$1:S$373,$F17),""))</f>
        <v>113.2</v>
      </c>
      <c r="W17" s="6">
        <f>IF($F17=0,"",IF(ISNUMBER(INDEX(Data!T$1:T$373,$F17)),INDEX(Data!T$1:T$373,$F17),""))</f>
        <v>115.4</v>
      </c>
      <c r="X17" s="6">
        <f>IF($F17=0,"",IF(ISNUMBER(INDEX(Data!U$1:U$373,$F17)),INDEX(Data!U$1:U$373,$F17),""))</f>
        <v>111.6</v>
      </c>
      <c r="Y17" s="6">
        <f>IF($F17=0,"",IF(ISNUMBER(INDEX(Data!V$1:V$373,$F17)),INDEX(Data!V$1:V$373,$F17),""))</f>
        <v>112.2</v>
      </c>
      <c r="Z17" s="6">
        <f>IF($F17=0,"",IF(ISNUMBER(INDEX(Data!W$1:W$373,$F17)),INDEX(Data!W$1:W$373,$F17),""))</f>
        <v>112.3</v>
      </c>
      <c r="AA17" s="6">
        <f>IF($F17=0,"",IF(ISNUMBER(INDEX(Data!X$1:X$373,$F17)),INDEX(Data!X$1:X$373,$F17),""))</f>
        <v>110.3</v>
      </c>
      <c r="AB17" s="6">
        <f>IF($F17=0,"",IF(ISNUMBER(INDEX(Data!Y$1:Y$373,$F17)),INDEX(Data!Y$1:Y$373,$F17),""))</f>
        <v>110.7</v>
      </c>
      <c r="AC17" s="6">
        <f>IF($F17=0,"",IF(ISNUMBER(INDEX(Data!Z$1:Z$373,$F17)),INDEX(Data!Z$1:Z$373,$F17),""))</f>
        <v>109.7</v>
      </c>
      <c r="AD17" s="6">
        <f>IF($F17=0,"",IF(ISNUMBER(INDEX(Data!AA$1:AA$373,$F17)),INDEX(Data!AA$1:AA$373,$F17),""))</f>
        <v>111.6</v>
      </c>
      <c r="AE17" s="6">
        <f>IF($F17=0,"",IF(ISNUMBER(INDEX(Data!AB$1:AB$373,$F17)),INDEX(Data!AB$1:AB$373,$F17),""))</f>
        <v>108.2</v>
      </c>
      <c r="AF17" s="6">
        <f>IF($F17=0,"",IF(ISNUMBER(INDEX(Data!AC$1:AC$373,$F17)),INDEX(Data!AC$1:AC$373,$F17),""))</f>
        <v>110.6</v>
      </c>
      <c r="AG17" s="6">
        <f>IF($F17=0,"",IF(ISNUMBER(INDEX(Data!AD$1:AD$373,$F17)),INDEX(Data!AD$1:AD$373,$F17),""))</f>
        <v>113.6</v>
      </c>
    </row>
    <row r="18" spans="1:33">
      <c r="A18" s="6">
        <v>2014</v>
      </c>
      <c r="B18" s="6">
        <v>2</v>
      </c>
      <c r="C18" s="6" t="s">
        <v>53</v>
      </c>
      <c r="D18" s="9">
        <f t="shared" si="0"/>
        <v>41671</v>
      </c>
      <c r="E18" s="6" t="str">
        <f t="shared" si="1"/>
        <v>Rural+Urban|2014|February</v>
      </c>
      <c r="F18" s="6">
        <f>IFERROR(MATCH(E18,Data!$AE$1:$AE$373,0),0)</f>
        <v>43</v>
      </c>
      <c r="G18" s="6">
        <f>IF($F18=0,"",IF(ISNUMBER(INDEX(Data!D$1:D$373,$F18)),INDEX(Data!D$1:D$373,$F18),""))</f>
        <v>120.2</v>
      </c>
      <c r="H18" s="6">
        <f>IF($F18=0,"",IF(ISNUMBER(INDEX(Data!E$1:E$373,$F18)),INDEX(Data!E$1:E$373,$F18),""))</f>
        <v>119.2</v>
      </c>
      <c r="I18" s="6">
        <f>IF($F18=0,"",IF(ISNUMBER(INDEX(Data!F$1:F$373,$F18)),INDEX(Data!F$1:F$373,$F18),""))</f>
        <v>122.5</v>
      </c>
      <c r="J18" s="6">
        <f>IF($F18=0,"",IF(ISNUMBER(INDEX(Data!G$1:G$373,$F18)),INDEX(Data!G$1:G$373,$F18),""))</f>
        <v>115.1</v>
      </c>
      <c r="K18" s="6">
        <f>IF($F18=0,"",IF(ISNUMBER(INDEX(Data!H$1:H$373,$F18)),INDEX(Data!H$1:H$373,$F18),""))</f>
        <v>106.6</v>
      </c>
      <c r="L18" s="6">
        <f>IF($F18=0,"",IF(ISNUMBER(INDEX(Data!I$1:I$373,$F18)),INDEX(Data!I$1:I$373,$F18),""))</f>
        <v>115.4</v>
      </c>
      <c r="M18" s="6">
        <f>IF($F18=0,"",IF(ISNUMBER(INDEX(Data!J$1:J$373,$F18)),INDEX(Data!J$1:J$373,$F18),""))</f>
        <v>114.5</v>
      </c>
      <c r="N18" s="6">
        <f>IF($F18=0,"",IF(ISNUMBER(INDEX(Data!K$1:K$373,$F18)),INDEX(Data!K$1:K$373,$F18),""))</f>
        <v>109.3</v>
      </c>
      <c r="O18" s="6">
        <f>IF($F18=0,"",IF(ISNUMBER(INDEX(Data!L$1:L$373,$F18)),INDEX(Data!L$1:L$373,$F18),""))</f>
        <v>99.2</v>
      </c>
      <c r="P18" s="6">
        <f>IF($F18=0,"",IF(ISNUMBER(INDEX(Data!M$1:M$373,$F18)),INDEX(Data!M$1:M$373,$F18),""))</f>
        <v>111.4</v>
      </c>
      <c r="Q18" s="6">
        <f>IF($F18=0,"",IF(ISNUMBER(INDEX(Data!N$1:N$373,$F18)),INDEX(Data!N$1:N$373,$F18),""))</f>
        <v>112.6</v>
      </c>
      <c r="R18" s="6">
        <f>IF($F18=0,"",IF(ISNUMBER(INDEX(Data!O$1:O$373,$F18)),INDEX(Data!O$1:O$373,$F18),""))</f>
        <v>118.8</v>
      </c>
      <c r="S18" s="6">
        <f>IF($F18=0,"",IF(ISNUMBER(INDEX(Data!P$1:P$373,$F18)),INDEX(Data!P$1:P$373,$F18),""))</f>
        <v>115.3</v>
      </c>
      <c r="T18" s="6">
        <f>IF($F18=0,"",IF(ISNUMBER(INDEX(Data!Q$1:Q$373,$F18)),INDEX(Data!Q$1:Q$373,$F18),""))</f>
        <v>114.7</v>
      </c>
      <c r="U18" s="6">
        <f>IF($F18=0,"",IF(ISNUMBER(INDEX(Data!R$1:R$373,$F18)),INDEX(Data!R$1:R$373,$F18),""))</f>
        <v>116.4</v>
      </c>
      <c r="V18" s="6">
        <f>IF($F18=0,"",IF(ISNUMBER(INDEX(Data!S$1:S$373,$F18)),INDEX(Data!S$1:S$373,$F18),""))</f>
        <v>113.3</v>
      </c>
      <c r="W18" s="6">
        <f>IF($F18=0,"",IF(ISNUMBER(INDEX(Data!T$1:T$373,$F18)),INDEX(Data!T$1:T$373,$F18),""))</f>
        <v>115.9</v>
      </c>
      <c r="X18" s="6">
        <f>IF($F18=0,"",IF(ISNUMBER(INDEX(Data!U$1:U$373,$F18)),INDEX(Data!U$1:U$373,$F18),""))</f>
        <v>112.5</v>
      </c>
      <c r="Y18" s="6">
        <f>IF($F18=0,"",IF(ISNUMBER(INDEX(Data!V$1:V$373,$F18)),INDEX(Data!V$1:V$373,$F18),""))</f>
        <v>112.4</v>
      </c>
      <c r="Z18" s="6">
        <f>IF($F18=0,"",IF(ISNUMBER(INDEX(Data!W$1:W$373,$F18)),INDEX(Data!W$1:W$373,$F18),""))</f>
        <v>112.8</v>
      </c>
      <c r="AA18" s="6">
        <f>IF($F18=0,"",IF(ISNUMBER(INDEX(Data!X$1:X$373,$F18)),INDEX(Data!X$1:X$373,$F18),""))</f>
        <v>110.7</v>
      </c>
      <c r="AB18" s="6">
        <f>IF($F18=0,"",IF(ISNUMBER(INDEX(Data!Y$1:Y$373,$F18)),INDEX(Data!Y$1:Y$373,$F18),""))</f>
        <v>111.1</v>
      </c>
      <c r="AC18" s="6">
        <f>IF($F18=0,"",IF(ISNUMBER(INDEX(Data!Z$1:Z$373,$F18)),INDEX(Data!Z$1:Z$373,$F18),""))</f>
        <v>110.1</v>
      </c>
      <c r="AD18" s="6">
        <f>IF($F18=0,"",IF(ISNUMBER(INDEX(Data!AA$1:AA$373,$F18)),INDEX(Data!AA$1:AA$373,$F18),""))</f>
        <v>111.8</v>
      </c>
      <c r="AE18" s="6">
        <f>IF($F18=0,"",IF(ISNUMBER(INDEX(Data!AB$1:AB$373,$F18)),INDEX(Data!AB$1:AB$373,$F18),""))</f>
        <v>108.7</v>
      </c>
      <c r="AF18" s="6">
        <f>IF($F18=0,"",IF(ISNUMBER(INDEX(Data!AC$1:AC$373,$F18)),INDEX(Data!AC$1:AC$373,$F18),""))</f>
        <v>110.9</v>
      </c>
      <c r="AG18" s="6">
        <f>IF($F18=0,"",IF(ISNUMBER(INDEX(Data!AD$1:AD$373,$F18)),INDEX(Data!AD$1:AD$373,$F18),""))</f>
        <v>113.6</v>
      </c>
    </row>
    <row r="19" spans="1:33">
      <c r="A19" s="6">
        <v>2014</v>
      </c>
      <c r="B19" s="6">
        <v>3</v>
      </c>
      <c r="C19" s="6" t="s">
        <v>54</v>
      </c>
      <c r="D19" s="9">
        <f t="shared" si="0"/>
        <v>41699</v>
      </c>
      <c r="E19" s="6" t="str">
        <f t="shared" si="1"/>
        <v>Rural+Urban|2014|March</v>
      </c>
      <c r="F19" s="6">
        <f>IFERROR(MATCH(E19,Data!$AE$1:$AE$373,0),0)</f>
        <v>46</v>
      </c>
      <c r="G19" s="6">
        <f>IF($F19=0,"",IF(ISNUMBER(INDEX(Data!D$1:D$373,$F19)),INDEX(Data!D$1:D$373,$F19),""))</f>
        <v>120.7</v>
      </c>
      <c r="H19" s="6">
        <f>IF($F19=0,"",IF(ISNUMBER(INDEX(Data!E$1:E$373,$F19)),INDEX(Data!E$1:E$373,$F19),""))</f>
        <v>119.3</v>
      </c>
      <c r="I19" s="6">
        <f>IF($F19=0,"",IF(ISNUMBER(INDEX(Data!F$1:F$373,$F19)),INDEX(Data!F$1:F$373,$F19),""))</f>
        <v>121</v>
      </c>
      <c r="J19" s="6">
        <f>IF($F19=0,"",IF(ISNUMBER(INDEX(Data!G$1:G$373,$F19)),INDEX(Data!G$1:G$373,$F19),""))</f>
        <v>116.1</v>
      </c>
      <c r="K19" s="6">
        <f>IF($F19=0,"",IF(ISNUMBER(INDEX(Data!H$1:H$373,$F19)),INDEX(Data!H$1:H$373,$F19),""))</f>
        <v>106.9</v>
      </c>
      <c r="L19" s="6">
        <f>IF($F19=0,"",IF(ISNUMBER(INDEX(Data!I$1:I$373,$F19)),INDEX(Data!I$1:I$373,$F19),""))</f>
        <v>118.7</v>
      </c>
      <c r="M19" s="6">
        <f>IF($F19=0,"",IF(ISNUMBER(INDEX(Data!J$1:J$373,$F19)),INDEX(Data!J$1:J$373,$F19),""))</f>
        <v>116.3</v>
      </c>
      <c r="N19" s="6">
        <f>IF($F19=0,"",IF(ISNUMBER(INDEX(Data!K$1:K$373,$F19)),INDEX(Data!K$1:K$373,$F19),""))</f>
        <v>109.8</v>
      </c>
      <c r="O19" s="6">
        <f>IF($F19=0,"",IF(ISNUMBER(INDEX(Data!L$1:L$373,$F19)),INDEX(Data!L$1:L$373,$F19),""))</f>
        <v>99.6</v>
      </c>
      <c r="P19" s="6">
        <f>IF($F19=0,"",IF(ISNUMBER(INDEX(Data!M$1:M$373,$F19)),INDEX(Data!M$1:M$373,$F19),""))</f>
        <v>111.8</v>
      </c>
      <c r="Q19" s="6">
        <f>IF($F19=0,"",IF(ISNUMBER(INDEX(Data!N$1:N$373,$F19)),INDEX(Data!N$1:N$373,$F19),""))</f>
        <v>112.7</v>
      </c>
      <c r="R19" s="6">
        <f>IF($F19=0,"",IF(ISNUMBER(INDEX(Data!O$1:O$373,$F19)),INDEX(Data!O$1:O$373,$F19),""))</f>
        <v>119.3</v>
      </c>
      <c r="S19" s="6">
        <f>IF($F19=0,"",IF(ISNUMBER(INDEX(Data!P$1:P$373,$F19)),INDEX(Data!P$1:P$373,$F19),""))</f>
        <v>116.1</v>
      </c>
      <c r="T19" s="6">
        <f>IF($F19=0,"",IF(ISNUMBER(INDEX(Data!Q$1:Q$373,$F19)),INDEX(Data!Q$1:Q$373,$F19),""))</f>
        <v>115.2</v>
      </c>
      <c r="U19" s="6">
        <f>IF($F19=0,"",IF(ISNUMBER(INDEX(Data!R$1:R$373,$F19)),INDEX(Data!R$1:R$373,$F19),""))</f>
        <v>116.8</v>
      </c>
      <c r="V19" s="6">
        <f>IF($F19=0,"",IF(ISNUMBER(INDEX(Data!S$1:S$373,$F19)),INDEX(Data!S$1:S$373,$F19),""))</f>
        <v>113.7</v>
      </c>
      <c r="W19" s="6">
        <f>IF($F19=0,"",IF(ISNUMBER(INDEX(Data!T$1:T$373,$F19)),INDEX(Data!T$1:T$373,$F19),""))</f>
        <v>116.4</v>
      </c>
      <c r="X19" s="6">
        <f>IF($F19=0,"",IF(ISNUMBER(INDEX(Data!U$1:U$373,$F19)),INDEX(Data!U$1:U$373,$F19),""))</f>
        <v>113.2</v>
      </c>
      <c r="Y19" s="6">
        <f>IF($F19=0,"",IF(ISNUMBER(INDEX(Data!V$1:V$373,$F19)),INDEX(Data!V$1:V$373,$F19),""))</f>
        <v>112.5</v>
      </c>
      <c r="Z19" s="6">
        <f>IF($F19=0,"",IF(ISNUMBER(INDEX(Data!W$1:W$373,$F19)),INDEX(Data!W$1:W$373,$F19),""))</f>
        <v>113.2</v>
      </c>
      <c r="AA19" s="6">
        <f>IF($F19=0,"",IF(ISNUMBER(INDEX(Data!X$1:X$373,$F19)),INDEX(Data!X$1:X$373,$F19),""))</f>
        <v>111.2</v>
      </c>
      <c r="AB19" s="6">
        <f>IF($F19=0,"",IF(ISNUMBER(INDEX(Data!Y$1:Y$373,$F19)),INDEX(Data!Y$1:Y$373,$F19),""))</f>
        <v>111.4</v>
      </c>
      <c r="AC19" s="6">
        <f>IF($F19=0,"",IF(ISNUMBER(INDEX(Data!Z$1:Z$373,$F19)),INDEX(Data!Z$1:Z$373,$F19),""))</f>
        <v>110.6</v>
      </c>
      <c r="AD19" s="6">
        <f>IF($F19=0,"",IF(ISNUMBER(INDEX(Data!AA$1:AA$373,$F19)),INDEX(Data!AA$1:AA$373,$F19),""))</f>
        <v>112</v>
      </c>
      <c r="AE19" s="6">
        <f>IF($F19=0,"",IF(ISNUMBER(INDEX(Data!AB$1:AB$373,$F19)),INDEX(Data!AB$1:AB$373,$F19),""))</f>
        <v>109</v>
      </c>
      <c r="AF19" s="6">
        <f>IF($F19=0,"",IF(ISNUMBER(INDEX(Data!AC$1:AC$373,$F19)),INDEX(Data!AC$1:AC$373,$F19),""))</f>
        <v>111.3</v>
      </c>
      <c r="AG19" s="6">
        <f>IF($F19=0,"",IF(ISNUMBER(INDEX(Data!AD$1:AD$373,$F19)),INDEX(Data!AD$1:AD$373,$F19),""))</f>
        <v>114.2</v>
      </c>
    </row>
    <row r="20" spans="1:33">
      <c r="A20" s="6">
        <v>2014</v>
      </c>
      <c r="B20" s="6">
        <v>4</v>
      </c>
      <c r="C20" s="6" t="s">
        <v>55</v>
      </c>
      <c r="D20" s="9">
        <f t="shared" si="0"/>
        <v>41730</v>
      </c>
      <c r="E20" s="6" t="str">
        <f t="shared" si="1"/>
        <v>Rural+Urban|2014|April</v>
      </c>
      <c r="F20" s="6">
        <f>IFERROR(MATCH(E20,Data!$AE$1:$AE$373,0),0)</f>
        <v>49</v>
      </c>
      <c r="G20" s="6">
        <f>IF($F20=0,"",IF(ISNUMBER(INDEX(Data!D$1:D$373,$F20)),INDEX(Data!D$1:D$373,$F20),""))</f>
        <v>120.9</v>
      </c>
      <c r="H20" s="6">
        <f>IF($F20=0,"",IF(ISNUMBER(INDEX(Data!E$1:E$373,$F20)),INDEX(Data!E$1:E$373,$F20),""))</f>
        <v>119.9</v>
      </c>
      <c r="I20" s="6">
        <f>IF($F20=0,"",IF(ISNUMBER(INDEX(Data!F$1:F$373,$F20)),INDEX(Data!F$1:F$373,$F20),""))</f>
        <v>116.2</v>
      </c>
      <c r="J20" s="6">
        <f>IF($F20=0,"",IF(ISNUMBER(INDEX(Data!G$1:G$373,$F20)),INDEX(Data!G$1:G$373,$F20),""))</f>
        <v>117</v>
      </c>
      <c r="K20" s="6">
        <f>IF($F20=0,"",IF(ISNUMBER(INDEX(Data!H$1:H$373,$F20)),INDEX(Data!H$1:H$373,$F20),""))</f>
        <v>107.3</v>
      </c>
      <c r="L20" s="6">
        <f>IF($F20=0,"",IF(ISNUMBER(INDEX(Data!I$1:I$373,$F20)),INDEX(Data!I$1:I$373,$F20),""))</f>
        <v>126.1</v>
      </c>
      <c r="M20" s="6">
        <f>IF($F20=0,"",IF(ISNUMBER(INDEX(Data!J$1:J$373,$F20)),INDEX(Data!J$1:J$373,$F20),""))</f>
        <v>120.7</v>
      </c>
      <c r="N20" s="6">
        <f>IF($F20=0,"",IF(ISNUMBER(INDEX(Data!K$1:K$373,$F20)),INDEX(Data!K$1:K$373,$F20),""))</f>
        <v>111</v>
      </c>
      <c r="O20" s="6">
        <f>IF($F20=0,"",IF(ISNUMBER(INDEX(Data!L$1:L$373,$F20)),INDEX(Data!L$1:L$373,$F20),""))</f>
        <v>101.8</v>
      </c>
      <c r="P20" s="6">
        <f>IF($F20=0,"",IF(ISNUMBER(INDEX(Data!M$1:M$373,$F20)),INDEX(Data!M$1:M$373,$F20),""))</f>
        <v>112.6</v>
      </c>
      <c r="Q20" s="6">
        <f>IF($F20=0,"",IF(ISNUMBER(INDEX(Data!N$1:N$373,$F20)),INDEX(Data!N$1:N$373,$F20),""))</f>
        <v>113.2</v>
      </c>
      <c r="R20" s="6">
        <f>IF($F20=0,"",IF(ISNUMBER(INDEX(Data!O$1:O$373,$F20)),INDEX(Data!O$1:O$373,$F20),""))</f>
        <v>119.8</v>
      </c>
      <c r="S20" s="6">
        <f>IF($F20=0,"",IF(ISNUMBER(INDEX(Data!P$1:P$373,$F20)),INDEX(Data!P$1:P$373,$F20),""))</f>
        <v>117.6</v>
      </c>
      <c r="T20" s="6">
        <f>IF($F20=0,"",IF(ISNUMBER(INDEX(Data!Q$1:Q$373,$F20)),INDEX(Data!Q$1:Q$373,$F20),""))</f>
        <v>116</v>
      </c>
      <c r="U20" s="6">
        <f>IF($F20=0,"",IF(ISNUMBER(INDEX(Data!R$1:R$373,$F20)),INDEX(Data!R$1:R$373,$F20),""))</f>
        <v>117.4</v>
      </c>
      <c r="V20" s="6">
        <f>IF($F20=0,"",IF(ISNUMBER(INDEX(Data!S$1:S$373,$F20)),INDEX(Data!S$1:S$373,$F20),""))</f>
        <v>114.6</v>
      </c>
      <c r="W20" s="6">
        <f>IF($F20=0,"",IF(ISNUMBER(INDEX(Data!T$1:T$373,$F20)),INDEX(Data!T$1:T$373,$F20),""))</f>
        <v>117</v>
      </c>
      <c r="X20" s="6">
        <f>IF($F20=0,"",IF(ISNUMBER(INDEX(Data!U$1:U$373,$F20)),INDEX(Data!U$1:U$373,$F20),""))</f>
        <v>113.9</v>
      </c>
      <c r="Y20" s="6">
        <f>IF($F20=0,"",IF(ISNUMBER(INDEX(Data!V$1:V$373,$F20)),INDEX(Data!V$1:V$373,$F20),""))</f>
        <v>112.5</v>
      </c>
      <c r="Z20" s="6">
        <f>IF($F20=0,"",IF(ISNUMBER(INDEX(Data!W$1:W$373,$F20)),INDEX(Data!W$1:W$373,$F20),""))</f>
        <v>113.6</v>
      </c>
      <c r="AA20" s="6">
        <f>IF($F20=0,"",IF(ISNUMBER(INDEX(Data!X$1:X$373,$F20)),INDEX(Data!X$1:X$373,$F20),""))</f>
        <v>111.5</v>
      </c>
      <c r="AB20" s="6">
        <f>IF($F20=0,"",IF(ISNUMBER(INDEX(Data!Y$1:Y$373,$F20)),INDEX(Data!Y$1:Y$373,$F20),""))</f>
        <v>111.2</v>
      </c>
      <c r="AC20" s="6">
        <f>IF($F20=0,"",IF(ISNUMBER(INDEX(Data!Z$1:Z$373,$F20)),INDEX(Data!Z$1:Z$373,$F20),""))</f>
        <v>110.9</v>
      </c>
      <c r="AD20" s="6">
        <f>IF($F20=0,"",IF(ISNUMBER(INDEX(Data!AA$1:AA$373,$F20)),INDEX(Data!AA$1:AA$373,$F20),""))</f>
        <v>112.7</v>
      </c>
      <c r="AE20" s="6">
        <f>IF($F20=0,"",IF(ISNUMBER(INDEX(Data!AB$1:AB$373,$F20)),INDEX(Data!AB$1:AB$373,$F20),""))</f>
        <v>109</v>
      </c>
      <c r="AF20" s="6">
        <f>IF($F20=0,"",IF(ISNUMBER(INDEX(Data!AC$1:AC$373,$F20)),INDEX(Data!AC$1:AC$373,$F20),""))</f>
        <v>111.5</v>
      </c>
      <c r="AG20" s="6">
        <f>IF($F20=0,"",IF(ISNUMBER(INDEX(Data!AD$1:AD$373,$F20)),INDEX(Data!AD$1:AD$373,$F20),""))</f>
        <v>115.1</v>
      </c>
    </row>
    <row r="21" spans="1:33">
      <c r="A21" s="6">
        <v>2014</v>
      </c>
      <c r="B21" s="6">
        <v>5</v>
      </c>
      <c r="C21" s="6" t="s">
        <v>56</v>
      </c>
      <c r="D21" s="9">
        <f t="shared" si="0"/>
        <v>41760</v>
      </c>
      <c r="E21" s="6" t="str">
        <f t="shared" si="1"/>
        <v>Rural+Urban|2014|May</v>
      </c>
      <c r="F21" s="6">
        <f>IFERROR(MATCH(E21,Data!$AE$1:$AE$373,0),0)</f>
        <v>52</v>
      </c>
      <c r="G21" s="6">
        <f>IF($F21=0,"",IF(ISNUMBER(INDEX(Data!D$1:D$373,$F21)),INDEX(Data!D$1:D$373,$F21),""))</f>
        <v>121.1</v>
      </c>
      <c r="H21" s="6">
        <f>IF($F21=0,"",IF(ISNUMBER(INDEX(Data!E$1:E$373,$F21)),INDEX(Data!E$1:E$373,$F21),""))</f>
        <v>121.6</v>
      </c>
      <c r="I21" s="6">
        <f>IF($F21=0,"",IF(ISNUMBER(INDEX(Data!F$1:F$373,$F21)),INDEX(Data!F$1:F$373,$F21),""))</f>
        <v>115.9</v>
      </c>
      <c r="J21" s="6">
        <f>IF($F21=0,"",IF(ISNUMBER(INDEX(Data!G$1:G$373,$F21)),INDEX(Data!G$1:G$373,$F21),""))</f>
        <v>118.4</v>
      </c>
      <c r="K21" s="6">
        <f>IF($F21=0,"",IF(ISNUMBER(INDEX(Data!H$1:H$373,$F21)),INDEX(Data!H$1:H$373,$F21),""))</f>
        <v>107.7</v>
      </c>
      <c r="L21" s="6">
        <f>IF($F21=0,"",IF(ISNUMBER(INDEX(Data!I$1:I$373,$F21)),INDEX(Data!I$1:I$373,$F21),""))</f>
        <v>127.7</v>
      </c>
      <c r="M21" s="6">
        <f>IF($F21=0,"",IF(ISNUMBER(INDEX(Data!J$1:J$373,$F21)),INDEX(Data!J$1:J$373,$F21),""))</f>
        <v>125</v>
      </c>
      <c r="N21" s="6">
        <f>IF($F21=0,"",IF(ISNUMBER(INDEX(Data!K$1:K$373,$F21)),INDEX(Data!K$1:K$373,$F21),""))</f>
        <v>111.9</v>
      </c>
      <c r="O21" s="6">
        <f>IF($F21=0,"",IF(ISNUMBER(INDEX(Data!L$1:L$373,$F21)),INDEX(Data!L$1:L$373,$F21),""))</f>
        <v>102.8</v>
      </c>
      <c r="P21" s="6">
        <f>IF($F21=0,"",IF(ISNUMBER(INDEX(Data!M$1:M$373,$F21)),INDEX(Data!M$1:M$373,$F21),""))</f>
        <v>113.4</v>
      </c>
      <c r="Q21" s="6">
        <f>IF($F21=0,"",IF(ISNUMBER(INDEX(Data!N$1:N$373,$F21)),INDEX(Data!N$1:N$373,$F21),""))</f>
        <v>113.7</v>
      </c>
      <c r="R21" s="6">
        <f>IF($F21=0,"",IF(ISNUMBER(INDEX(Data!O$1:O$373,$F21)),INDEX(Data!O$1:O$373,$F21),""))</f>
        <v>120.4</v>
      </c>
      <c r="S21" s="6">
        <f>IF($F21=0,"",IF(ISNUMBER(INDEX(Data!P$1:P$373,$F21)),INDEX(Data!P$1:P$373,$F21),""))</f>
        <v>118.9</v>
      </c>
      <c r="T21" s="6">
        <f>IF($F21=0,"",IF(ISNUMBER(INDEX(Data!Q$1:Q$373,$F21)),INDEX(Data!Q$1:Q$373,$F21),""))</f>
        <v>116.8</v>
      </c>
      <c r="U21" s="6">
        <f>IF($F21=0,"",IF(ISNUMBER(INDEX(Data!R$1:R$373,$F21)),INDEX(Data!R$1:R$373,$F21),""))</f>
        <v>118</v>
      </c>
      <c r="V21" s="6">
        <f>IF($F21=0,"",IF(ISNUMBER(INDEX(Data!S$1:S$373,$F21)),INDEX(Data!S$1:S$373,$F21),""))</f>
        <v>115.2</v>
      </c>
      <c r="W21" s="6">
        <f>IF($F21=0,"",IF(ISNUMBER(INDEX(Data!T$1:T$373,$F21)),INDEX(Data!T$1:T$373,$F21),""))</f>
        <v>117.6</v>
      </c>
      <c r="X21" s="6">
        <f>IF($F21=0,"",IF(ISNUMBER(INDEX(Data!U$1:U$373,$F21)),INDEX(Data!U$1:U$373,$F21),""))</f>
        <v>114.3</v>
      </c>
      <c r="Y21" s="6">
        <f>IF($F21=0,"",IF(ISNUMBER(INDEX(Data!V$1:V$373,$F21)),INDEX(Data!V$1:V$373,$F21),""))</f>
        <v>112.5</v>
      </c>
      <c r="Z21" s="6">
        <f>IF($F21=0,"",IF(ISNUMBER(INDEX(Data!W$1:W$373,$F21)),INDEX(Data!W$1:W$373,$F21),""))</f>
        <v>114.1</v>
      </c>
      <c r="AA21" s="6">
        <f>IF($F21=0,"",IF(ISNUMBER(INDEX(Data!X$1:X$373,$F21)),INDEX(Data!X$1:X$373,$F21),""))</f>
        <v>111.8</v>
      </c>
      <c r="AB21" s="6">
        <f>IF($F21=0,"",IF(ISNUMBER(INDEX(Data!Y$1:Y$373,$F21)),INDEX(Data!Y$1:Y$373,$F21),""))</f>
        <v>111.3</v>
      </c>
      <c r="AC21" s="6">
        <f>IF($F21=0,"",IF(ISNUMBER(INDEX(Data!Z$1:Z$373,$F21)),INDEX(Data!Z$1:Z$373,$F21),""))</f>
        <v>111.2</v>
      </c>
      <c r="AD21" s="6">
        <f>IF($F21=0,"",IF(ISNUMBER(INDEX(Data!AA$1:AA$373,$F21)),INDEX(Data!AA$1:AA$373,$F21),""))</f>
        <v>113</v>
      </c>
      <c r="AE21" s="6">
        <f>IF($F21=0,"",IF(ISNUMBER(INDEX(Data!AB$1:AB$373,$F21)),INDEX(Data!AB$1:AB$373,$F21),""))</f>
        <v>109.1</v>
      </c>
      <c r="AF21" s="6">
        <f>IF($F21=0,"",IF(ISNUMBER(INDEX(Data!AC$1:AC$373,$F21)),INDEX(Data!AC$1:AC$373,$F21),""))</f>
        <v>111.8</v>
      </c>
      <c r="AG21" s="6">
        <f>IF($F21=0,"",IF(ISNUMBER(INDEX(Data!AD$1:AD$373,$F21)),INDEX(Data!AD$1:AD$373,$F21),""))</f>
        <v>115.8</v>
      </c>
    </row>
    <row r="22" spans="1:33">
      <c r="A22" s="6">
        <v>2014</v>
      </c>
      <c r="B22" s="6">
        <v>6</v>
      </c>
      <c r="C22" s="6" t="s">
        <v>57</v>
      </c>
      <c r="D22" s="9">
        <f t="shared" si="0"/>
        <v>41791</v>
      </c>
      <c r="E22" s="6" t="str">
        <f t="shared" si="1"/>
        <v>Rural+Urban|2014|June</v>
      </c>
      <c r="F22" s="6">
        <f>IFERROR(MATCH(E22,Data!$AE$1:$AE$373,0),0)</f>
        <v>55</v>
      </c>
      <c r="G22" s="6">
        <f>IF($F22=0,"",IF(ISNUMBER(INDEX(Data!D$1:D$373,$F22)),INDEX(Data!D$1:D$373,$F22),""))</f>
        <v>121.5</v>
      </c>
      <c r="H22" s="6">
        <f>IF($F22=0,"",IF(ISNUMBER(INDEX(Data!E$1:E$373,$F22)),INDEX(Data!E$1:E$373,$F22),""))</f>
        <v>123.1</v>
      </c>
      <c r="I22" s="6">
        <f>IF($F22=0,"",IF(ISNUMBER(INDEX(Data!F$1:F$373,$F22)),INDEX(Data!F$1:F$373,$F22),""))</f>
        <v>115.8</v>
      </c>
      <c r="J22" s="6">
        <f>IF($F22=0,"",IF(ISNUMBER(INDEX(Data!G$1:G$373,$F22)),INDEX(Data!G$1:G$373,$F22),""))</f>
        <v>119.7</v>
      </c>
      <c r="K22" s="6">
        <f>IF($F22=0,"",IF(ISNUMBER(INDEX(Data!H$1:H$373,$F22)),INDEX(Data!H$1:H$373,$F22),""))</f>
        <v>107.8</v>
      </c>
      <c r="L22" s="6">
        <f>IF($F22=0,"",IF(ISNUMBER(INDEX(Data!I$1:I$373,$F22)),INDEX(Data!I$1:I$373,$F22),""))</f>
        <v>128.3</v>
      </c>
      <c r="M22" s="6">
        <f>IF($F22=0,"",IF(ISNUMBER(INDEX(Data!J$1:J$373,$F22)),INDEX(Data!J$1:J$373,$F22),""))</f>
        <v>132.1</v>
      </c>
      <c r="N22" s="6">
        <f>IF($F22=0,"",IF(ISNUMBER(INDEX(Data!K$1:K$373,$F22)),INDEX(Data!K$1:K$373,$F22),""))</f>
        <v>112.4</v>
      </c>
      <c r="O22" s="6">
        <f>IF($F22=0,"",IF(ISNUMBER(INDEX(Data!L$1:L$373,$F22)),INDEX(Data!L$1:L$373,$F22),""))</f>
        <v>102.9</v>
      </c>
      <c r="P22" s="6">
        <f>IF($F22=0,"",IF(ISNUMBER(INDEX(Data!M$1:M$373,$F22)),INDEX(Data!M$1:M$373,$F22),""))</f>
        <v>114.3</v>
      </c>
      <c r="Q22" s="6">
        <f>IF($F22=0,"",IF(ISNUMBER(INDEX(Data!N$1:N$373,$F22)),INDEX(Data!N$1:N$373,$F22),""))</f>
        <v>114.2</v>
      </c>
      <c r="R22" s="6">
        <f>IF($F22=0,"",IF(ISNUMBER(INDEX(Data!O$1:O$373,$F22)),INDEX(Data!O$1:O$373,$F22),""))</f>
        <v>121.2</v>
      </c>
      <c r="S22" s="6">
        <f>IF($F22=0,"",IF(ISNUMBER(INDEX(Data!P$1:P$373,$F22)),INDEX(Data!P$1:P$373,$F22),""))</f>
        <v>120.4</v>
      </c>
      <c r="T22" s="6">
        <f>IF($F22=0,"",IF(ISNUMBER(INDEX(Data!Q$1:Q$373,$F22)),INDEX(Data!Q$1:Q$373,$F22),""))</f>
        <v>117.8</v>
      </c>
      <c r="U22" s="6">
        <f>IF($F22=0,"",IF(ISNUMBER(INDEX(Data!R$1:R$373,$F22)),INDEX(Data!R$1:R$373,$F22),""))</f>
        <v>118.8</v>
      </c>
      <c r="V22" s="6">
        <f>IF($F22=0,"",IF(ISNUMBER(INDEX(Data!S$1:S$373,$F22)),INDEX(Data!S$1:S$373,$F22),""))</f>
        <v>115.6</v>
      </c>
      <c r="W22" s="6">
        <f>IF($F22=0,"",IF(ISNUMBER(INDEX(Data!T$1:T$373,$F22)),INDEX(Data!T$1:T$373,$F22),""))</f>
        <v>118.3</v>
      </c>
      <c r="X22" s="6">
        <f>IF($F22=0,"",IF(ISNUMBER(INDEX(Data!U$1:U$373,$F22)),INDEX(Data!U$1:U$373,$F22),""))</f>
        <v>113.9</v>
      </c>
      <c r="Y22" s="6">
        <f>IF($F22=0,"",IF(ISNUMBER(INDEX(Data!V$1:V$373,$F22)),INDEX(Data!V$1:V$373,$F22),""))</f>
        <v>113.2</v>
      </c>
      <c r="Z22" s="6">
        <f>IF($F22=0,"",IF(ISNUMBER(INDEX(Data!W$1:W$373,$F22)),INDEX(Data!W$1:W$373,$F22),""))</f>
        <v>114.6</v>
      </c>
      <c r="AA22" s="6">
        <f>IF($F22=0,"",IF(ISNUMBER(INDEX(Data!X$1:X$373,$F22)),INDEX(Data!X$1:X$373,$F22),""))</f>
        <v>112.3</v>
      </c>
      <c r="AB22" s="6">
        <f>IF($F22=0,"",IF(ISNUMBER(INDEX(Data!Y$1:Y$373,$F22)),INDEX(Data!Y$1:Y$373,$F22),""))</f>
        <v>111.8</v>
      </c>
      <c r="AC22" s="6">
        <f>IF($F22=0,"",IF(ISNUMBER(INDEX(Data!Z$1:Z$373,$F22)),INDEX(Data!Z$1:Z$373,$F22),""))</f>
        <v>111.6</v>
      </c>
      <c r="AD22" s="6">
        <f>IF($F22=0,"",IF(ISNUMBER(INDEX(Data!AA$1:AA$373,$F22)),INDEX(Data!AA$1:AA$373,$F22),""))</f>
        <v>114.8</v>
      </c>
      <c r="AE22" s="6">
        <f>IF($F22=0,"",IF(ISNUMBER(INDEX(Data!AB$1:AB$373,$F22)),INDEX(Data!AB$1:AB$373,$F22),""))</f>
        <v>108.3</v>
      </c>
      <c r="AF22" s="6">
        <f>IF($F22=0,"",IF(ISNUMBER(INDEX(Data!AC$1:AC$373,$F22)),INDEX(Data!AC$1:AC$373,$F22),""))</f>
        <v>112.3</v>
      </c>
      <c r="AG22" s="6">
        <f>IF($F22=0,"",IF(ISNUMBER(INDEX(Data!AD$1:AD$373,$F22)),INDEX(Data!AD$1:AD$373,$F22),""))</f>
        <v>116.7</v>
      </c>
    </row>
    <row r="23" spans="1:33">
      <c r="A23" s="6">
        <v>2014</v>
      </c>
      <c r="B23" s="6">
        <v>7</v>
      </c>
      <c r="C23" s="6" t="s">
        <v>58</v>
      </c>
      <c r="D23" s="9">
        <f t="shared" si="0"/>
        <v>41821</v>
      </c>
      <c r="E23" s="6" t="str">
        <f t="shared" si="1"/>
        <v>Rural+Urban|2014|July</v>
      </c>
      <c r="F23" s="6">
        <f>IFERROR(MATCH(E23,Data!$AE$1:$AE$373,0),0)</f>
        <v>58</v>
      </c>
      <c r="G23" s="6">
        <f>IF($F23=0,"",IF(ISNUMBER(INDEX(Data!D$1:D$373,$F23)),INDEX(Data!D$1:D$373,$F23),""))</f>
        <v>122.4</v>
      </c>
      <c r="H23" s="6">
        <f>IF($F23=0,"",IF(ISNUMBER(INDEX(Data!E$1:E$373,$F23)),INDEX(Data!E$1:E$373,$F23),""))</f>
        <v>123.9</v>
      </c>
      <c r="I23" s="6">
        <f>IF($F23=0,"",IF(ISNUMBER(INDEX(Data!F$1:F$373,$F23)),INDEX(Data!F$1:F$373,$F23),""))</f>
        <v>117.8</v>
      </c>
      <c r="J23" s="6">
        <f>IF($F23=0,"",IF(ISNUMBER(INDEX(Data!G$1:G$373,$F23)),INDEX(Data!G$1:G$373,$F23),""))</f>
        <v>121</v>
      </c>
      <c r="K23" s="6">
        <f>IF($F23=0,"",IF(ISNUMBER(INDEX(Data!H$1:H$373,$F23)),INDEX(Data!H$1:H$373,$F23),""))</f>
        <v>107.9</v>
      </c>
      <c r="L23" s="6">
        <f>IF($F23=0,"",IF(ISNUMBER(INDEX(Data!I$1:I$373,$F23)),INDEX(Data!I$1:I$373,$F23),""))</f>
        <v>131.2</v>
      </c>
      <c r="M23" s="6">
        <f>IF($F23=0,"",IF(ISNUMBER(INDEX(Data!J$1:J$373,$F23)),INDEX(Data!J$1:J$373,$F23),""))</f>
        <v>157.7</v>
      </c>
      <c r="N23" s="6">
        <f>IF($F23=0,"",IF(ISNUMBER(INDEX(Data!K$1:K$373,$F23)),INDEX(Data!K$1:K$373,$F23),""))</f>
        <v>113.2</v>
      </c>
      <c r="O23" s="6">
        <f>IF($F23=0,"",IF(ISNUMBER(INDEX(Data!L$1:L$373,$F23)),INDEX(Data!L$1:L$373,$F23),""))</f>
        <v>104.1</v>
      </c>
      <c r="P23" s="6">
        <f>IF($F23=0,"",IF(ISNUMBER(INDEX(Data!M$1:M$373,$F23)),INDEX(Data!M$1:M$373,$F23),""))</f>
        <v>115.5</v>
      </c>
      <c r="Q23" s="6">
        <f>IF($F23=0,"",IF(ISNUMBER(INDEX(Data!N$1:N$373,$F23)),INDEX(Data!N$1:N$373,$F23),""))</f>
        <v>114.8</v>
      </c>
      <c r="R23" s="6">
        <f>IF($F23=0,"",IF(ISNUMBER(INDEX(Data!O$1:O$373,$F23)),INDEX(Data!O$1:O$373,$F23),""))</f>
        <v>122.1</v>
      </c>
      <c r="S23" s="6">
        <f>IF($F23=0,"",IF(ISNUMBER(INDEX(Data!P$1:P$373,$F23)),INDEX(Data!P$1:P$373,$F23),""))</f>
        <v>124.7</v>
      </c>
      <c r="T23" s="6">
        <f>IF($F23=0,"",IF(ISNUMBER(INDEX(Data!Q$1:Q$373,$F23)),INDEX(Data!Q$1:Q$373,$F23),""))</f>
        <v>118.8</v>
      </c>
      <c r="U23" s="6">
        <f>IF($F23=0,"",IF(ISNUMBER(INDEX(Data!R$1:R$373,$F23)),INDEX(Data!R$1:R$373,$F23),""))</f>
        <v>119.6</v>
      </c>
      <c r="V23" s="6">
        <f>IF($F23=0,"",IF(ISNUMBER(INDEX(Data!S$1:S$373,$F23)),INDEX(Data!S$1:S$373,$F23),""))</f>
        <v>116.3</v>
      </c>
      <c r="W23" s="6">
        <f>IF($F23=0,"",IF(ISNUMBER(INDEX(Data!T$1:T$373,$F23)),INDEX(Data!T$1:T$373,$F23),""))</f>
        <v>119.1</v>
      </c>
      <c r="X23" s="6">
        <f>IF($F23=0,"",IF(ISNUMBER(INDEX(Data!U$1:U$373,$F23)),INDEX(Data!U$1:U$373,$F23),""))</f>
        <v>114.8</v>
      </c>
      <c r="Y23" s="6">
        <f>IF($F23=0,"",IF(ISNUMBER(INDEX(Data!V$1:V$373,$F23)),INDEX(Data!V$1:V$373,$F23),""))</f>
        <v>113.9</v>
      </c>
      <c r="Z23" s="6">
        <f>IF($F23=0,"",IF(ISNUMBER(INDEX(Data!W$1:W$373,$F23)),INDEX(Data!W$1:W$373,$F23),""))</f>
        <v>115.2</v>
      </c>
      <c r="AA23" s="6">
        <f>IF($F23=0,"",IF(ISNUMBER(INDEX(Data!X$1:X$373,$F23)),INDEX(Data!X$1:X$373,$F23),""))</f>
        <v>112.7</v>
      </c>
      <c r="AB23" s="6">
        <f>IF($F23=0,"",IF(ISNUMBER(INDEX(Data!Y$1:Y$373,$F23)),INDEX(Data!Y$1:Y$373,$F23),""))</f>
        <v>113.1</v>
      </c>
      <c r="AC23" s="6">
        <f>IF($F23=0,"",IF(ISNUMBER(INDEX(Data!Z$1:Z$373,$F23)),INDEX(Data!Z$1:Z$373,$F23),""))</f>
        <v>112.1</v>
      </c>
      <c r="AD23" s="6">
        <f>IF($F23=0,"",IF(ISNUMBER(INDEX(Data!AA$1:AA$373,$F23)),INDEX(Data!AA$1:AA$373,$F23),""))</f>
        <v>116.8</v>
      </c>
      <c r="AE23" s="6">
        <f>IF($F23=0,"",IF(ISNUMBER(INDEX(Data!AB$1:AB$373,$F23)),INDEX(Data!AB$1:AB$373,$F23),""))</f>
        <v>109.2</v>
      </c>
      <c r="AF23" s="6">
        <f>IF($F23=0,"",IF(ISNUMBER(INDEX(Data!AC$1:AC$373,$F23)),INDEX(Data!AC$1:AC$373,$F23),""))</f>
        <v>113.3</v>
      </c>
      <c r="AG23" s="6">
        <f>IF($F23=0,"",IF(ISNUMBER(INDEX(Data!AD$1:AD$373,$F23)),INDEX(Data!AD$1:AD$373,$F23),""))</f>
        <v>119.2</v>
      </c>
    </row>
    <row r="24" spans="1:33">
      <c r="A24" s="6">
        <v>2014</v>
      </c>
      <c r="B24" s="6">
        <v>8</v>
      </c>
      <c r="C24" s="6" t="s">
        <v>59</v>
      </c>
      <c r="D24" s="9">
        <f t="shared" si="0"/>
        <v>41852</v>
      </c>
      <c r="E24" s="6" t="str">
        <f t="shared" si="1"/>
        <v>Rural+Urban|2014|August</v>
      </c>
      <c r="F24" s="6">
        <f>IFERROR(MATCH(E24,Data!$AE$1:$AE$373,0),0)</f>
        <v>61</v>
      </c>
      <c r="G24" s="6">
        <f>IF($F24=0,"",IF(ISNUMBER(INDEX(Data!D$1:D$373,$F24)),INDEX(Data!D$1:D$373,$F24),""))</f>
        <v>122.7</v>
      </c>
      <c r="H24" s="6">
        <f>IF($F24=0,"",IF(ISNUMBER(INDEX(Data!E$1:E$373,$F24)),INDEX(Data!E$1:E$373,$F24),""))</f>
        <v>124.4</v>
      </c>
      <c r="I24" s="6">
        <f>IF($F24=0,"",IF(ISNUMBER(INDEX(Data!F$1:F$373,$F24)),INDEX(Data!F$1:F$373,$F24),""))</f>
        <v>117.3</v>
      </c>
      <c r="J24" s="6">
        <f>IF($F24=0,"",IF(ISNUMBER(INDEX(Data!G$1:G$373,$F24)),INDEX(Data!G$1:G$373,$F24),""))</f>
        <v>122</v>
      </c>
      <c r="K24" s="6">
        <f>IF($F24=0,"",IF(ISNUMBER(INDEX(Data!H$1:H$373,$F24)),INDEX(Data!H$1:H$373,$F24),""))</f>
        <v>108</v>
      </c>
      <c r="L24" s="6">
        <f>IF($F24=0,"",IF(ISNUMBER(INDEX(Data!I$1:I$373,$F24)),INDEX(Data!I$1:I$373,$F24),""))</f>
        <v>131.1</v>
      </c>
      <c r="M24" s="6">
        <f>IF($F24=0,"",IF(ISNUMBER(INDEX(Data!J$1:J$373,$F24)),INDEX(Data!J$1:J$373,$F24),""))</f>
        <v>168.2</v>
      </c>
      <c r="N24" s="6">
        <f>IF($F24=0,"",IF(ISNUMBER(INDEX(Data!K$1:K$373,$F24)),INDEX(Data!K$1:K$373,$F24),""))</f>
        <v>114.5</v>
      </c>
      <c r="O24" s="6">
        <f>IF($F24=0,"",IF(ISNUMBER(INDEX(Data!L$1:L$373,$F24)),INDEX(Data!L$1:L$373,$F24),""))</f>
        <v>104.3</v>
      </c>
      <c r="P24" s="6">
        <f>IF($F24=0,"",IF(ISNUMBER(INDEX(Data!M$1:M$373,$F24)),INDEX(Data!M$1:M$373,$F24),""))</f>
        <v>117.1</v>
      </c>
      <c r="Q24" s="6">
        <f>IF($F24=0,"",IF(ISNUMBER(INDEX(Data!N$1:N$373,$F24)),INDEX(Data!N$1:N$373,$F24),""))</f>
        <v>115.2</v>
      </c>
      <c r="R24" s="6">
        <f>IF($F24=0,"",IF(ISNUMBER(INDEX(Data!O$1:O$373,$F24)),INDEX(Data!O$1:O$373,$F24),""))</f>
        <v>123.1</v>
      </c>
      <c r="S24" s="6">
        <f>IF($F24=0,"",IF(ISNUMBER(INDEX(Data!P$1:P$373,$F24)),INDEX(Data!P$1:P$373,$F24),""))</f>
        <v>126.6</v>
      </c>
      <c r="T24" s="6">
        <f>IF($F24=0,"",IF(ISNUMBER(INDEX(Data!Q$1:Q$373,$F24)),INDEX(Data!Q$1:Q$373,$F24),""))</f>
        <v>119.9</v>
      </c>
      <c r="U24" s="6">
        <f>IF($F24=0,"",IF(ISNUMBER(INDEX(Data!R$1:R$373,$F24)),INDEX(Data!R$1:R$373,$F24),""))</f>
        <v>120</v>
      </c>
      <c r="V24" s="6">
        <f>IF($F24=0,"",IF(ISNUMBER(INDEX(Data!S$1:S$373,$F24)),INDEX(Data!S$1:S$373,$F24),""))</f>
        <v>116.8</v>
      </c>
      <c r="W24" s="6">
        <f>IF($F24=0,"",IF(ISNUMBER(INDEX(Data!T$1:T$373,$F24)),INDEX(Data!T$1:T$373,$F24),""))</f>
        <v>119.6</v>
      </c>
      <c r="X24" s="6">
        <f>IF($F24=0,"",IF(ISNUMBER(INDEX(Data!U$1:U$373,$F24)),INDEX(Data!U$1:U$373,$F24),""))</f>
        <v>115.5</v>
      </c>
      <c r="Y24" s="6">
        <f>IF($F24=0,"",IF(ISNUMBER(INDEX(Data!V$1:V$373,$F24)),INDEX(Data!V$1:V$373,$F24),""))</f>
        <v>114</v>
      </c>
      <c r="Z24" s="6">
        <f>IF($F24=0,"",IF(ISNUMBER(INDEX(Data!W$1:W$373,$F24)),INDEX(Data!W$1:W$373,$F24),""))</f>
        <v>115.6</v>
      </c>
      <c r="AA24" s="6">
        <f>IF($F24=0,"",IF(ISNUMBER(INDEX(Data!X$1:X$373,$F24)),INDEX(Data!X$1:X$373,$F24),""))</f>
        <v>113.3</v>
      </c>
      <c r="AB24" s="6">
        <f>IF($F24=0,"",IF(ISNUMBER(INDEX(Data!Y$1:Y$373,$F24)),INDEX(Data!Y$1:Y$373,$F24),""))</f>
        <v>112.8</v>
      </c>
      <c r="AC24" s="6">
        <f>IF($F24=0,"",IF(ISNUMBER(INDEX(Data!Z$1:Z$373,$F24)),INDEX(Data!Z$1:Z$373,$F24),""))</f>
        <v>112.6</v>
      </c>
      <c r="AD24" s="6">
        <f>IF($F24=0,"",IF(ISNUMBER(INDEX(Data!AA$1:AA$373,$F24)),INDEX(Data!AA$1:AA$373,$F24),""))</f>
        <v>118</v>
      </c>
      <c r="AE24" s="6">
        <f>IF($F24=0,"",IF(ISNUMBER(INDEX(Data!AB$1:AB$373,$F24)),INDEX(Data!AB$1:AB$373,$F24),""))</f>
        <v>109.9</v>
      </c>
      <c r="AF24" s="6">
        <f>IF($F24=0,"",IF(ISNUMBER(INDEX(Data!AC$1:AC$373,$F24)),INDEX(Data!AC$1:AC$373,$F24),""))</f>
        <v>113.7</v>
      </c>
      <c r="AG24" s="6">
        <f>IF($F24=0,"",IF(ISNUMBER(INDEX(Data!AD$1:AD$373,$F24)),INDEX(Data!AD$1:AD$373,$F24),""))</f>
        <v>120.3</v>
      </c>
    </row>
    <row r="25" spans="1:33">
      <c r="A25" s="6">
        <v>2014</v>
      </c>
      <c r="B25" s="6">
        <v>9</v>
      </c>
      <c r="C25" s="6" t="s">
        <v>60</v>
      </c>
      <c r="D25" s="9">
        <f t="shared" si="0"/>
        <v>41883</v>
      </c>
      <c r="E25" s="6" t="str">
        <f t="shared" si="1"/>
        <v>Rural+Urban|2014|September</v>
      </c>
      <c r="F25" s="6">
        <f>IFERROR(MATCH(E25,Data!$AE$1:$AE$373,0),0)</f>
        <v>64</v>
      </c>
      <c r="G25" s="6">
        <f>IF($F25=0,"",IF(ISNUMBER(INDEX(Data!D$1:D$373,$F25)),INDEX(Data!D$1:D$373,$F25),""))</f>
        <v>122.9</v>
      </c>
      <c r="H25" s="6">
        <f>IF($F25=0,"",IF(ISNUMBER(INDEX(Data!E$1:E$373,$F25)),INDEX(Data!E$1:E$373,$F25),""))</f>
        <v>123.5</v>
      </c>
      <c r="I25" s="6">
        <f>IF($F25=0,"",IF(ISNUMBER(INDEX(Data!F$1:F$373,$F25)),INDEX(Data!F$1:F$373,$F25),""))</f>
        <v>117.3</v>
      </c>
      <c r="J25" s="6">
        <f>IF($F25=0,"",IF(ISNUMBER(INDEX(Data!G$1:G$373,$F25)),INDEX(Data!G$1:G$373,$F25),""))</f>
        <v>122.7</v>
      </c>
      <c r="K25" s="6">
        <f>IF($F25=0,"",IF(ISNUMBER(INDEX(Data!H$1:H$373,$F25)),INDEX(Data!H$1:H$373,$F25),""))</f>
        <v>107.9</v>
      </c>
      <c r="L25" s="6">
        <f>IF($F25=0,"",IF(ISNUMBER(INDEX(Data!I$1:I$373,$F25)),INDEX(Data!I$1:I$373,$F25),""))</f>
        <v>127.3</v>
      </c>
      <c r="M25" s="6">
        <f>IF($F25=0,"",IF(ISNUMBER(INDEX(Data!J$1:J$373,$F25)),INDEX(Data!J$1:J$373,$F25),""))</f>
        <v>162.1</v>
      </c>
      <c r="N25" s="6">
        <f>IF($F25=0,"",IF(ISNUMBER(INDEX(Data!K$1:K$373,$F25)),INDEX(Data!K$1:K$373,$F25),""))</f>
        <v>115.6</v>
      </c>
      <c r="O25" s="6">
        <f>IF($F25=0,"",IF(ISNUMBER(INDEX(Data!L$1:L$373,$F25)),INDEX(Data!L$1:L$373,$F25),""))</f>
        <v>103.8</v>
      </c>
      <c r="P25" s="6">
        <f>IF($F25=0,"",IF(ISNUMBER(INDEX(Data!M$1:M$373,$F25)),INDEX(Data!M$1:M$373,$F25),""))</f>
        <v>117.6</v>
      </c>
      <c r="Q25" s="6">
        <f>IF($F25=0,"",IF(ISNUMBER(INDEX(Data!N$1:N$373,$F25)),INDEX(Data!N$1:N$373,$F25),""))</f>
        <v>115.8</v>
      </c>
      <c r="R25" s="6">
        <f>IF($F25=0,"",IF(ISNUMBER(INDEX(Data!O$1:O$373,$F25)),INDEX(Data!O$1:O$373,$F25),""))</f>
        <v>123.8</v>
      </c>
      <c r="S25" s="6">
        <f>IF($F25=0,"",IF(ISNUMBER(INDEX(Data!P$1:P$373,$F25)),INDEX(Data!P$1:P$373,$F25),""))</f>
        <v>125.8</v>
      </c>
      <c r="T25" s="6">
        <f>IF($F25=0,"",IF(ISNUMBER(INDEX(Data!Q$1:Q$373,$F25)),INDEX(Data!Q$1:Q$373,$F25),""))</f>
        <v>120.8</v>
      </c>
      <c r="U25" s="6">
        <f>IF($F25=0,"",IF(ISNUMBER(INDEX(Data!R$1:R$373,$F25)),INDEX(Data!R$1:R$373,$F25),""))</f>
        <v>120.7</v>
      </c>
      <c r="V25" s="6">
        <f>IF($F25=0,"",IF(ISNUMBER(INDEX(Data!S$1:S$373,$F25)),INDEX(Data!S$1:S$373,$F25),""))</f>
        <v>117.2</v>
      </c>
      <c r="W25" s="6">
        <f>IF($F25=0,"",IF(ISNUMBER(INDEX(Data!T$1:T$373,$F25)),INDEX(Data!T$1:T$373,$F25),""))</f>
        <v>120.1</v>
      </c>
      <c r="X25" s="6">
        <f>IF($F25=0,"",IF(ISNUMBER(INDEX(Data!U$1:U$373,$F25)),INDEX(Data!U$1:U$373,$F25),""))</f>
        <v>116.1</v>
      </c>
      <c r="Y25" s="6">
        <f>IF($F25=0,"",IF(ISNUMBER(INDEX(Data!V$1:V$373,$F25)),INDEX(Data!V$1:V$373,$F25),""))</f>
        <v>114.3</v>
      </c>
      <c r="Z25" s="6">
        <f>IF($F25=0,"",IF(ISNUMBER(INDEX(Data!W$1:W$373,$F25)),INDEX(Data!W$1:W$373,$F25),""))</f>
        <v>116.1</v>
      </c>
      <c r="AA25" s="6">
        <f>IF($F25=0,"",IF(ISNUMBER(INDEX(Data!X$1:X$373,$F25)),INDEX(Data!X$1:X$373,$F25),""))</f>
        <v>113.7</v>
      </c>
      <c r="AB25" s="6">
        <f>IF($F25=0,"",IF(ISNUMBER(INDEX(Data!Y$1:Y$373,$F25)),INDEX(Data!Y$1:Y$373,$F25),""))</f>
        <v>112</v>
      </c>
      <c r="AC25" s="6">
        <f>IF($F25=0,"",IF(ISNUMBER(INDEX(Data!Z$1:Z$373,$F25)),INDEX(Data!Z$1:Z$373,$F25),""))</f>
        <v>113.1</v>
      </c>
      <c r="AD25" s="6">
        <f>IF($F25=0,"",IF(ISNUMBER(INDEX(Data!AA$1:AA$373,$F25)),INDEX(Data!AA$1:AA$373,$F25),""))</f>
        <v>118.6</v>
      </c>
      <c r="AE25" s="6">
        <f>IF($F25=0,"",IF(ISNUMBER(INDEX(Data!AB$1:AB$373,$F25)),INDEX(Data!AB$1:AB$373,$F25),""))</f>
        <v>109.5</v>
      </c>
      <c r="AF25" s="6">
        <f>IF($F25=0,"",IF(ISNUMBER(INDEX(Data!AC$1:AC$373,$F25)),INDEX(Data!AC$1:AC$373,$F25),""))</f>
        <v>113.7</v>
      </c>
      <c r="AG25" s="6">
        <f>IF($F25=0,"",IF(ISNUMBER(INDEX(Data!AD$1:AD$373,$F25)),INDEX(Data!AD$1:AD$373,$F25),""))</f>
        <v>120.1</v>
      </c>
    </row>
    <row r="26" spans="1:33">
      <c r="A26" s="6">
        <v>2014</v>
      </c>
      <c r="B26" s="6">
        <v>10</v>
      </c>
      <c r="C26" s="6" t="s">
        <v>61</v>
      </c>
      <c r="D26" s="9">
        <f t="shared" si="0"/>
        <v>41913</v>
      </c>
      <c r="E26" s="6" t="str">
        <f t="shared" si="1"/>
        <v>Rural+Urban|2014|October</v>
      </c>
      <c r="F26" s="6">
        <f>IFERROR(MATCH(E26,Data!$AE$1:$AE$373,0),0)</f>
        <v>67</v>
      </c>
      <c r="G26" s="6">
        <f>IF($F26=0,"",IF(ISNUMBER(INDEX(Data!D$1:D$373,$F26)),INDEX(Data!D$1:D$373,$F26),""))</f>
        <v>123.2</v>
      </c>
      <c r="H26" s="6">
        <f>IF($F26=0,"",IF(ISNUMBER(INDEX(Data!E$1:E$373,$F26)),INDEX(Data!E$1:E$373,$F26),""))</f>
        <v>123.8</v>
      </c>
      <c r="I26" s="6">
        <f>IF($F26=0,"",IF(ISNUMBER(INDEX(Data!F$1:F$373,$F26)),INDEX(Data!F$1:F$373,$F26),""))</f>
        <v>118.1</v>
      </c>
      <c r="J26" s="6">
        <f>IF($F26=0,"",IF(ISNUMBER(INDEX(Data!G$1:G$373,$F26)),INDEX(Data!G$1:G$373,$F26),""))</f>
        <v>123.2</v>
      </c>
      <c r="K26" s="6">
        <f>IF($F26=0,"",IF(ISNUMBER(INDEX(Data!H$1:H$373,$F26)),INDEX(Data!H$1:H$373,$F26),""))</f>
        <v>107.9</v>
      </c>
      <c r="L26" s="6">
        <f>IF($F26=0,"",IF(ISNUMBER(INDEX(Data!I$1:I$373,$F26)),INDEX(Data!I$1:I$373,$F26),""))</f>
        <v>126.4</v>
      </c>
      <c r="M26" s="6">
        <f>IF($F26=0,"",IF(ISNUMBER(INDEX(Data!J$1:J$373,$F26)),INDEX(Data!J$1:J$373,$F26),""))</f>
        <v>156.8</v>
      </c>
      <c r="N26" s="6">
        <f>IF($F26=0,"",IF(ISNUMBER(INDEX(Data!K$1:K$373,$F26)),INDEX(Data!K$1:K$373,$F26),""))</f>
        <v>116.1</v>
      </c>
      <c r="O26" s="6">
        <f>IF($F26=0,"",IF(ISNUMBER(INDEX(Data!L$1:L$373,$F26)),INDEX(Data!L$1:L$373,$F26),""))</f>
        <v>103.1</v>
      </c>
      <c r="P26" s="6">
        <f>IF($F26=0,"",IF(ISNUMBER(INDEX(Data!M$1:M$373,$F26)),INDEX(Data!M$1:M$373,$F26),""))</f>
        <v>118.1</v>
      </c>
      <c r="Q26" s="6">
        <f>IF($F26=0,"",IF(ISNUMBER(INDEX(Data!N$1:N$373,$F26)),INDEX(Data!N$1:N$373,$F26),""))</f>
        <v>116.1</v>
      </c>
      <c r="R26" s="6">
        <f>IF($F26=0,"",IF(ISNUMBER(INDEX(Data!O$1:O$373,$F26)),INDEX(Data!O$1:O$373,$F26),""))</f>
        <v>124.5</v>
      </c>
      <c r="S26" s="6">
        <f>IF($F26=0,"",IF(ISNUMBER(INDEX(Data!P$1:P$373,$F26)),INDEX(Data!P$1:P$373,$F26),""))</f>
        <v>125.4</v>
      </c>
      <c r="T26" s="6">
        <f>IF($F26=0,"",IF(ISNUMBER(INDEX(Data!Q$1:Q$373,$F26)),INDEX(Data!Q$1:Q$373,$F26),""))</f>
        <v>121.1</v>
      </c>
      <c r="U26" s="6">
        <f>IF($F26=0,"",IF(ISNUMBER(INDEX(Data!R$1:R$373,$F26)),INDEX(Data!R$1:R$373,$F26),""))</f>
        <v>121.5</v>
      </c>
      <c r="V26" s="6">
        <f>IF($F26=0,"",IF(ISNUMBER(INDEX(Data!S$1:S$373,$F26)),INDEX(Data!S$1:S$373,$F26),""))</f>
        <v>118.1</v>
      </c>
      <c r="W26" s="6">
        <f>IF($F26=0,"",IF(ISNUMBER(INDEX(Data!T$1:T$373,$F26)),INDEX(Data!T$1:T$373,$F26),""))</f>
        <v>121</v>
      </c>
      <c r="X26" s="6">
        <f>IF($F26=0,"",IF(ISNUMBER(INDEX(Data!U$1:U$373,$F26)),INDEX(Data!U$1:U$373,$F26),""))</f>
        <v>116.7</v>
      </c>
      <c r="Y26" s="6">
        <f>IF($F26=0,"",IF(ISNUMBER(INDEX(Data!V$1:V$373,$F26)),INDEX(Data!V$1:V$373,$F26),""))</f>
        <v>114.7</v>
      </c>
      <c r="Z26" s="6">
        <f>IF($F26=0,"",IF(ISNUMBER(INDEX(Data!W$1:W$373,$F26)),INDEX(Data!W$1:W$373,$F26),""))</f>
        <v>116.7</v>
      </c>
      <c r="AA26" s="6">
        <f>IF($F26=0,"",IF(ISNUMBER(INDEX(Data!X$1:X$373,$F26)),INDEX(Data!X$1:X$373,$F26),""))</f>
        <v>114.3</v>
      </c>
      <c r="AB26" s="6">
        <f>IF($F26=0,"",IF(ISNUMBER(INDEX(Data!Y$1:Y$373,$F26)),INDEX(Data!Y$1:Y$373,$F26),""))</f>
        <v>111.8</v>
      </c>
      <c r="AC26" s="6">
        <f>IF($F26=0,"",IF(ISNUMBER(INDEX(Data!Z$1:Z$373,$F26)),INDEX(Data!Z$1:Z$373,$F26),""))</f>
        <v>113.3</v>
      </c>
      <c r="AD26" s="6">
        <f>IF($F26=0,"",IF(ISNUMBER(INDEX(Data!AA$1:AA$373,$F26)),INDEX(Data!AA$1:AA$373,$F26),""))</f>
        <v>118.8</v>
      </c>
      <c r="AE26" s="6">
        <f>IF($F26=0,"",IF(ISNUMBER(INDEX(Data!AB$1:AB$373,$F26)),INDEX(Data!AB$1:AB$373,$F26),""))</f>
        <v>109.6</v>
      </c>
      <c r="AF26" s="6">
        <f>IF($F26=0,"",IF(ISNUMBER(INDEX(Data!AC$1:AC$373,$F26)),INDEX(Data!AC$1:AC$373,$F26),""))</f>
        <v>113.9</v>
      </c>
      <c r="AG26" s="6">
        <f>IF($F26=0,"",IF(ISNUMBER(INDEX(Data!AD$1:AD$373,$F26)),INDEX(Data!AD$1:AD$373,$F26),""))</f>
        <v>120.1</v>
      </c>
    </row>
    <row r="27" spans="1:33">
      <c r="A27" s="6">
        <v>2014</v>
      </c>
      <c r="B27" s="6">
        <v>11</v>
      </c>
      <c r="C27" s="6" t="s">
        <v>62</v>
      </c>
      <c r="D27" s="9">
        <f t="shared" si="0"/>
        <v>41944</v>
      </c>
      <c r="E27" s="6" t="str">
        <f t="shared" si="1"/>
        <v>Rural+Urban|2014|November</v>
      </c>
      <c r="F27" s="6">
        <f>IFERROR(MATCH(E27,Data!$AE$1:$AE$373,0),0)</f>
        <v>70</v>
      </c>
      <c r="G27" s="6">
        <f>IF($F27=0,"",IF(ISNUMBER(INDEX(Data!D$1:D$373,$F27)),INDEX(Data!D$1:D$373,$F27),""))</f>
        <v>123.3</v>
      </c>
      <c r="H27" s="6">
        <f>IF($F27=0,"",IF(ISNUMBER(INDEX(Data!E$1:E$373,$F27)),INDEX(Data!E$1:E$373,$F27),""))</f>
        <v>123.7</v>
      </c>
      <c r="I27" s="6">
        <f>IF($F27=0,"",IF(ISNUMBER(INDEX(Data!F$1:F$373,$F27)),INDEX(Data!F$1:F$373,$F27),""))</f>
        <v>121</v>
      </c>
      <c r="J27" s="6">
        <f>IF($F27=0,"",IF(ISNUMBER(INDEX(Data!G$1:G$373,$F27)),INDEX(Data!G$1:G$373,$F27),""))</f>
        <v>124.2</v>
      </c>
      <c r="K27" s="6">
        <f>IF($F27=0,"",IF(ISNUMBER(INDEX(Data!H$1:H$373,$F27)),INDEX(Data!H$1:H$373,$F27),""))</f>
        <v>107.8</v>
      </c>
      <c r="L27" s="6">
        <f>IF($F27=0,"",IF(ISNUMBER(INDEX(Data!I$1:I$373,$F27)),INDEX(Data!I$1:I$373,$F27),""))</f>
        <v>125.7</v>
      </c>
      <c r="M27" s="6">
        <f>IF($F27=0,"",IF(ISNUMBER(INDEX(Data!J$1:J$373,$F27)),INDEX(Data!J$1:J$373,$F27),""))</f>
        <v>152.4</v>
      </c>
      <c r="N27" s="6">
        <f>IF($F27=0,"",IF(ISNUMBER(INDEX(Data!K$1:K$373,$F27)),INDEX(Data!K$1:K$373,$F27),""))</f>
        <v>117.2</v>
      </c>
      <c r="O27" s="6">
        <f>IF($F27=0,"",IF(ISNUMBER(INDEX(Data!L$1:L$373,$F27)),INDEX(Data!L$1:L$373,$F27),""))</f>
        <v>102.1</v>
      </c>
      <c r="P27" s="6">
        <f>IF($F27=0,"",IF(ISNUMBER(INDEX(Data!M$1:M$373,$F27)),INDEX(Data!M$1:M$373,$F27),""))</f>
        <v>118.7</v>
      </c>
      <c r="Q27" s="6">
        <f>IF($F27=0,"",IF(ISNUMBER(INDEX(Data!N$1:N$373,$F27)),INDEX(Data!N$1:N$373,$F27),""))</f>
        <v>116.4</v>
      </c>
      <c r="R27" s="6">
        <f>IF($F27=0,"",IF(ISNUMBER(INDEX(Data!O$1:O$373,$F27)),INDEX(Data!O$1:O$373,$F27),""))</f>
        <v>125.6</v>
      </c>
      <c r="S27" s="6">
        <f>IF($F27=0,"",IF(ISNUMBER(INDEX(Data!P$1:P$373,$F27)),INDEX(Data!P$1:P$373,$F27),""))</f>
        <v>125.1</v>
      </c>
      <c r="T27" s="6">
        <f>IF($F27=0,"",IF(ISNUMBER(INDEX(Data!Q$1:Q$373,$F27)),INDEX(Data!Q$1:Q$373,$F27),""))</f>
        <v>122.1</v>
      </c>
      <c r="U27" s="6">
        <f>IF($F27=0,"",IF(ISNUMBER(INDEX(Data!R$1:R$373,$F27)),INDEX(Data!R$1:R$373,$F27),""))</f>
        <v>122.1</v>
      </c>
      <c r="V27" s="6">
        <f>IF($F27=0,"",IF(ISNUMBER(INDEX(Data!S$1:S$373,$F27)),INDEX(Data!S$1:S$373,$F27),""))</f>
        <v>118.4</v>
      </c>
      <c r="W27" s="6">
        <f>IF($F27=0,"",IF(ISNUMBER(INDEX(Data!T$1:T$373,$F27)),INDEX(Data!T$1:T$373,$F27),""))</f>
        <v>121.6</v>
      </c>
      <c r="X27" s="6">
        <f>IF($F27=0,"",IF(ISNUMBER(INDEX(Data!U$1:U$373,$F27)),INDEX(Data!U$1:U$373,$F27),""))</f>
        <v>117.1</v>
      </c>
      <c r="Y27" s="6">
        <f>IF($F27=0,"",IF(ISNUMBER(INDEX(Data!V$1:V$373,$F27)),INDEX(Data!V$1:V$373,$F27),""))</f>
        <v>115.5</v>
      </c>
      <c r="Z27" s="6">
        <f>IF($F27=0,"",IF(ISNUMBER(INDEX(Data!W$1:W$373,$F27)),INDEX(Data!W$1:W$373,$F27),""))</f>
        <v>117.3</v>
      </c>
      <c r="AA27" s="6">
        <f>IF($F27=0,"",IF(ISNUMBER(INDEX(Data!X$1:X$373,$F27)),INDEX(Data!X$1:X$373,$F27),""))</f>
        <v>114.8</v>
      </c>
      <c r="AB27" s="6">
        <f>IF($F27=0,"",IF(ISNUMBER(INDEX(Data!Y$1:Y$373,$F27)),INDEX(Data!Y$1:Y$373,$F27),""))</f>
        <v>110.8</v>
      </c>
      <c r="AC27" s="6">
        <f>IF($F27=0,"",IF(ISNUMBER(INDEX(Data!Z$1:Z$373,$F27)),INDEX(Data!Z$1:Z$373,$F27),""))</f>
        <v>113.7</v>
      </c>
      <c r="AD27" s="6">
        <f>IF($F27=0,"",IF(ISNUMBER(INDEX(Data!AA$1:AA$373,$F27)),INDEX(Data!AA$1:AA$373,$F27),""))</f>
        <v>119</v>
      </c>
      <c r="AE27" s="6">
        <f>IF($F27=0,"",IF(ISNUMBER(INDEX(Data!AB$1:AB$373,$F27)),INDEX(Data!AB$1:AB$373,$F27),""))</f>
        <v>109.1</v>
      </c>
      <c r="AF27" s="6">
        <f>IF($F27=0,"",IF(ISNUMBER(INDEX(Data!AC$1:AC$373,$F27)),INDEX(Data!AC$1:AC$373,$F27),""))</f>
        <v>113.8</v>
      </c>
      <c r="AG27" s="6">
        <f>IF($F27=0,"",IF(ISNUMBER(INDEX(Data!AD$1:AD$373,$F27)),INDEX(Data!AD$1:AD$373,$F27),""))</f>
        <v>120.1</v>
      </c>
    </row>
    <row r="28" spans="1:33">
      <c r="A28" s="6">
        <v>2014</v>
      </c>
      <c r="B28" s="6">
        <v>12</v>
      </c>
      <c r="C28" s="6" t="s">
        <v>63</v>
      </c>
      <c r="D28" s="9">
        <f t="shared" si="0"/>
        <v>41974</v>
      </c>
      <c r="E28" s="6" t="str">
        <f t="shared" si="1"/>
        <v>Rural+Urban|2014|December</v>
      </c>
      <c r="F28" s="6">
        <f>IFERROR(MATCH(E28,Data!$AE$1:$AE$373,0),0)</f>
        <v>73</v>
      </c>
      <c r="G28" s="6">
        <f>IF($F28=0,"",IF(ISNUMBER(INDEX(Data!D$1:D$373,$F28)),INDEX(Data!D$1:D$373,$F28),""))</f>
        <v>122.9</v>
      </c>
      <c r="H28" s="6">
        <f>IF($F28=0,"",IF(ISNUMBER(INDEX(Data!E$1:E$373,$F28)),INDEX(Data!E$1:E$373,$F28),""))</f>
        <v>123.2</v>
      </c>
      <c r="I28" s="6">
        <f>IF($F28=0,"",IF(ISNUMBER(INDEX(Data!F$1:F$373,$F28)),INDEX(Data!F$1:F$373,$F28),""))</f>
        <v>123.5</v>
      </c>
      <c r="J28" s="6">
        <f>IF($F28=0,"",IF(ISNUMBER(INDEX(Data!G$1:G$373,$F28)),INDEX(Data!G$1:G$373,$F28),""))</f>
        <v>124.5</v>
      </c>
      <c r="K28" s="6">
        <f>IF($F28=0,"",IF(ISNUMBER(INDEX(Data!H$1:H$373,$F28)),INDEX(Data!H$1:H$373,$F28),""))</f>
        <v>107.6</v>
      </c>
      <c r="L28" s="6">
        <f>IF($F28=0,"",IF(ISNUMBER(INDEX(Data!I$1:I$373,$F28)),INDEX(Data!I$1:I$373,$F28),""))</f>
        <v>125.7</v>
      </c>
      <c r="M28" s="6">
        <f>IF($F28=0,"",IF(ISNUMBER(INDEX(Data!J$1:J$373,$F28)),INDEX(Data!J$1:J$373,$F28),""))</f>
        <v>140.5</v>
      </c>
      <c r="N28" s="6">
        <f>IF($F28=0,"",IF(ISNUMBER(INDEX(Data!K$1:K$373,$F28)),INDEX(Data!K$1:K$373,$F28),""))</f>
        <v>117.6</v>
      </c>
      <c r="O28" s="6">
        <f>IF($F28=0,"",IF(ISNUMBER(INDEX(Data!L$1:L$373,$F28)),INDEX(Data!L$1:L$373,$F28),""))</f>
        <v>100.6</v>
      </c>
      <c r="P28" s="6">
        <f>IF($F28=0,"",IF(ISNUMBER(INDEX(Data!M$1:M$373,$F28)),INDEX(Data!M$1:M$373,$F28),""))</f>
        <v>119.1</v>
      </c>
      <c r="Q28" s="6">
        <f>IF($F28=0,"",IF(ISNUMBER(INDEX(Data!N$1:N$373,$F28)),INDEX(Data!N$1:N$373,$F28),""))</f>
        <v>116.8</v>
      </c>
      <c r="R28" s="6">
        <f>IF($F28=0,"",IF(ISNUMBER(INDEX(Data!O$1:O$373,$F28)),INDEX(Data!O$1:O$373,$F28),""))</f>
        <v>126.1</v>
      </c>
      <c r="S28" s="6">
        <f>IF($F28=0,"",IF(ISNUMBER(INDEX(Data!P$1:P$373,$F28)),INDEX(Data!P$1:P$373,$F28),""))</f>
        <v>123.6</v>
      </c>
      <c r="T28" s="6">
        <f>IF($F28=0,"",IF(ISNUMBER(INDEX(Data!Q$1:Q$373,$F28)),INDEX(Data!Q$1:Q$373,$F28),""))</f>
        <v>123</v>
      </c>
      <c r="U28" s="6">
        <f>IF($F28=0,"",IF(ISNUMBER(INDEX(Data!R$1:R$373,$F28)),INDEX(Data!R$1:R$373,$F28),""))</f>
        <v>122.6</v>
      </c>
      <c r="V28" s="6">
        <f>IF($F28=0,"",IF(ISNUMBER(INDEX(Data!S$1:S$373,$F28)),INDEX(Data!S$1:S$373,$F28),""))</f>
        <v>118.6</v>
      </c>
      <c r="W28" s="6">
        <f>IF($F28=0,"",IF(ISNUMBER(INDEX(Data!T$1:T$373,$F28)),INDEX(Data!T$1:T$373,$F28),""))</f>
        <v>122</v>
      </c>
      <c r="X28" s="6">
        <f>IF($F28=0,"",IF(ISNUMBER(INDEX(Data!U$1:U$373,$F28)),INDEX(Data!U$1:U$373,$F28),""))</f>
        <v>116.5</v>
      </c>
      <c r="Y28" s="6">
        <f>IF($F28=0,"",IF(ISNUMBER(INDEX(Data!V$1:V$373,$F28)),INDEX(Data!V$1:V$373,$F28),""))</f>
        <v>115.7</v>
      </c>
      <c r="Z28" s="6">
        <f>IF($F28=0,"",IF(ISNUMBER(INDEX(Data!W$1:W$373,$F28)),INDEX(Data!W$1:W$373,$F28),""))</f>
        <v>117.5</v>
      </c>
      <c r="AA28" s="6">
        <f>IF($F28=0,"",IF(ISNUMBER(INDEX(Data!X$1:X$373,$F28)),INDEX(Data!X$1:X$373,$F28),""))</f>
        <v>115.1</v>
      </c>
      <c r="AB28" s="6">
        <f>IF($F28=0,"",IF(ISNUMBER(INDEX(Data!Y$1:Y$373,$F28)),INDEX(Data!Y$1:Y$373,$F28),""))</f>
        <v>110.1</v>
      </c>
      <c r="AC28" s="6">
        <f>IF($F28=0,"",IF(ISNUMBER(INDEX(Data!Z$1:Z$373,$F28)),INDEX(Data!Z$1:Z$373,$F28),""))</f>
        <v>113.9</v>
      </c>
      <c r="AD28" s="6">
        <f>IF($F28=0,"",IF(ISNUMBER(INDEX(Data!AA$1:AA$373,$F28)),INDEX(Data!AA$1:AA$373,$F28),""))</f>
        <v>119.5</v>
      </c>
      <c r="AE28" s="6">
        <f>IF($F28=0,"",IF(ISNUMBER(INDEX(Data!AB$1:AB$373,$F28)),INDEX(Data!AB$1:AB$373,$F28),""))</f>
        <v>109.8</v>
      </c>
      <c r="AF28" s="6">
        <f>IF($F28=0,"",IF(ISNUMBER(INDEX(Data!AC$1:AC$373,$F28)),INDEX(Data!AC$1:AC$373,$F28),""))</f>
        <v>113.8</v>
      </c>
      <c r="AG28" s="6">
        <f>IF($F28=0,"",IF(ISNUMBER(INDEX(Data!AD$1:AD$373,$F28)),INDEX(Data!AD$1:AD$373,$F28),""))</f>
        <v>119.4</v>
      </c>
    </row>
    <row r="29" spans="1:33">
      <c r="A29" s="6">
        <v>2015</v>
      </c>
      <c r="B29" s="6">
        <v>1</v>
      </c>
      <c r="C29" s="6" t="s">
        <v>50</v>
      </c>
      <c r="D29" s="9">
        <f t="shared" si="0"/>
        <v>42005</v>
      </c>
      <c r="E29" s="6" t="str">
        <f t="shared" si="1"/>
        <v>Rural+Urban|2015|January</v>
      </c>
      <c r="F29" s="6">
        <f>IFERROR(MATCH(E29,Data!$AE$1:$AE$373,0),0)</f>
        <v>76</v>
      </c>
      <c r="G29" s="6">
        <f>IF($F29=0,"",IF(ISNUMBER(INDEX(Data!D$1:D$373,$F29)),INDEX(Data!D$1:D$373,$F29),""))</f>
        <v>123.4</v>
      </c>
      <c r="H29" s="6">
        <f>IF($F29=0,"",IF(ISNUMBER(INDEX(Data!E$1:E$373,$F29)),INDEX(Data!E$1:E$373,$F29),""))</f>
        <v>123.9</v>
      </c>
      <c r="I29" s="6">
        <f>IF($F29=0,"",IF(ISNUMBER(INDEX(Data!F$1:F$373,$F29)),INDEX(Data!F$1:F$373,$F29),""))</f>
        <v>123.8</v>
      </c>
      <c r="J29" s="6">
        <f>IF($F29=0,"",IF(ISNUMBER(INDEX(Data!G$1:G$373,$F29)),INDEX(Data!G$1:G$373,$F29),""))</f>
        <v>125</v>
      </c>
      <c r="K29" s="6">
        <f>IF($F29=0,"",IF(ISNUMBER(INDEX(Data!H$1:H$373,$F29)),INDEX(Data!H$1:H$373,$F29),""))</f>
        <v>108.5</v>
      </c>
      <c r="L29" s="6">
        <f>IF($F29=0,"",IF(ISNUMBER(INDEX(Data!I$1:I$373,$F29)),INDEX(Data!I$1:I$373,$F29),""))</f>
        <v>126.2</v>
      </c>
      <c r="M29" s="6">
        <f>IF($F29=0,"",IF(ISNUMBER(INDEX(Data!J$1:J$373,$F29)),INDEX(Data!J$1:J$373,$F29),""))</f>
        <v>133</v>
      </c>
      <c r="N29" s="6">
        <f>IF($F29=0,"",IF(ISNUMBER(INDEX(Data!K$1:K$373,$F29)),INDEX(Data!K$1:K$373,$F29),""))</f>
        <v>119.1</v>
      </c>
      <c r="O29" s="6">
        <f>IF($F29=0,"",IF(ISNUMBER(INDEX(Data!L$1:L$373,$F29)),INDEX(Data!L$1:L$373,$F29),""))</f>
        <v>99</v>
      </c>
      <c r="P29" s="6">
        <f>IF($F29=0,"",IF(ISNUMBER(INDEX(Data!M$1:M$373,$F29)),INDEX(Data!M$1:M$373,$F29),""))</f>
        <v>120.3</v>
      </c>
      <c r="Q29" s="6">
        <f>IF($F29=0,"",IF(ISNUMBER(INDEX(Data!N$1:N$373,$F29)),INDEX(Data!N$1:N$373,$F29),""))</f>
        <v>117.3</v>
      </c>
      <c r="R29" s="6">
        <f>IF($F29=0,"",IF(ISNUMBER(INDEX(Data!O$1:O$373,$F29)),INDEX(Data!O$1:O$373,$F29),""))</f>
        <v>126.7</v>
      </c>
      <c r="S29" s="6">
        <f>IF($F29=0,"",IF(ISNUMBER(INDEX(Data!P$1:P$373,$F29)),INDEX(Data!P$1:P$373,$F29),""))</f>
        <v>123.1</v>
      </c>
      <c r="T29" s="6">
        <f>IF($F29=0,"",IF(ISNUMBER(INDEX(Data!Q$1:Q$373,$F29)),INDEX(Data!Q$1:Q$373,$F29),""))</f>
        <v>124</v>
      </c>
      <c r="U29" s="6">
        <f>IF($F29=0,"",IF(ISNUMBER(INDEX(Data!R$1:R$373,$F29)),INDEX(Data!R$1:R$373,$F29),""))</f>
        <v>123.1</v>
      </c>
      <c r="V29" s="6">
        <f>IF($F29=0,"",IF(ISNUMBER(INDEX(Data!S$1:S$373,$F29)),INDEX(Data!S$1:S$373,$F29),""))</f>
        <v>119.3</v>
      </c>
      <c r="W29" s="6">
        <f>IF($F29=0,"",IF(ISNUMBER(INDEX(Data!T$1:T$373,$F29)),INDEX(Data!T$1:T$373,$F29),""))</f>
        <v>122.5</v>
      </c>
      <c r="X29" s="6">
        <f>IF($F29=0,"",IF(ISNUMBER(INDEX(Data!U$1:U$373,$F29)),INDEX(Data!U$1:U$373,$F29),""))</f>
        <v>117.3</v>
      </c>
      <c r="Y29" s="6">
        <f>IF($F29=0,"",IF(ISNUMBER(INDEX(Data!V$1:V$373,$F29)),INDEX(Data!V$1:V$373,$F29),""))</f>
        <v>116.5</v>
      </c>
      <c r="Z29" s="6">
        <f>IF($F29=0,"",IF(ISNUMBER(INDEX(Data!W$1:W$373,$F29)),INDEX(Data!W$1:W$373,$F29),""))</f>
        <v>118.1</v>
      </c>
      <c r="AA29" s="6">
        <f>IF($F29=0,"",IF(ISNUMBER(INDEX(Data!X$1:X$373,$F29)),INDEX(Data!X$1:X$373,$F29),""))</f>
        <v>115.5</v>
      </c>
      <c r="AB29" s="6">
        <f>IF($F29=0,"",IF(ISNUMBER(INDEX(Data!Y$1:Y$373,$F29)),INDEX(Data!Y$1:Y$373,$F29),""))</f>
        <v>109.4</v>
      </c>
      <c r="AC29" s="6">
        <f>IF($F29=0,"",IF(ISNUMBER(INDEX(Data!Z$1:Z$373,$F29)),INDEX(Data!Z$1:Z$373,$F29),""))</f>
        <v>114.3</v>
      </c>
      <c r="AD29" s="6">
        <f>IF($F29=0,"",IF(ISNUMBER(INDEX(Data!AA$1:AA$373,$F29)),INDEX(Data!AA$1:AA$373,$F29),""))</f>
        <v>119.7</v>
      </c>
      <c r="AE29" s="6">
        <f>IF($F29=0,"",IF(ISNUMBER(INDEX(Data!AB$1:AB$373,$F29)),INDEX(Data!AB$1:AB$373,$F29),""))</f>
        <v>110.7</v>
      </c>
      <c r="AF29" s="6">
        <f>IF($F29=0,"",IF(ISNUMBER(INDEX(Data!AC$1:AC$373,$F29)),INDEX(Data!AC$1:AC$373,$F29),""))</f>
        <v>114</v>
      </c>
      <c r="AG29" s="6">
        <f>IF($F29=0,"",IF(ISNUMBER(INDEX(Data!AD$1:AD$373,$F29)),INDEX(Data!AD$1:AD$373,$F29),""))</f>
        <v>119.5</v>
      </c>
    </row>
    <row r="30" spans="1:33">
      <c r="A30" s="6">
        <v>2015</v>
      </c>
      <c r="B30" s="6">
        <v>2</v>
      </c>
      <c r="C30" s="6" t="s">
        <v>53</v>
      </c>
      <c r="D30" s="9">
        <f t="shared" si="0"/>
        <v>42036</v>
      </c>
      <c r="E30" s="6" t="str">
        <f t="shared" si="1"/>
        <v>Rural+Urban|2015|February</v>
      </c>
      <c r="F30" s="6">
        <f>IFERROR(MATCH(E30,Data!$AE$1:$AE$373,0),0)</f>
        <v>79</v>
      </c>
      <c r="G30" s="6">
        <f>IF($F30=0,"",IF(ISNUMBER(INDEX(Data!D$1:D$373,$F30)),INDEX(Data!D$1:D$373,$F30),""))</f>
        <v>123.7</v>
      </c>
      <c r="H30" s="6">
        <f>IF($F30=0,"",IF(ISNUMBER(INDEX(Data!E$1:E$373,$F30)),INDEX(Data!E$1:E$373,$F30),""))</f>
        <v>125.1</v>
      </c>
      <c r="I30" s="6">
        <f>IF($F30=0,"",IF(ISNUMBER(INDEX(Data!F$1:F$373,$F30)),INDEX(Data!F$1:F$373,$F30),""))</f>
        <v>121.1</v>
      </c>
      <c r="J30" s="6">
        <f>IF($F30=0,"",IF(ISNUMBER(INDEX(Data!G$1:G$373,$F30)),INDEX(Data!G$1:G$373,$F30),""))</f>
        <v>125.7</v>
      </c>
      <c r="K30" s="6">
        <f>IF($F30=0,"",IF(ISNUMBER(INDEX(Data!H$1:H$373,$F30)),INDEX(Data!H$1:H$373,$F30),""))</f>
        <v>109.1</v>
      </c>
      <c r="L30" s="6">
        <f>IF($F30=0,"",IF(ISNUMBER(INDEX(Data!I$1:I$373,$F30)),INDEX(Data!I$1:I$373,$F30),""))</f>
        <v>125.8</v>
      </c>
      <c r="M30" s="6">
        <f>IF($F30=0,"",IF(ISNUMBER(INDEX(Data!J$1:J$373,$F30)),INDEX(Data!J$1:J$373,$F30),""))</f>
        <v>129.4</v>
      </c>
      <c r="N30" s="6">
        <f>IF($F30=0,"",IF(ISNUMBER(INDEX(Data!K$1:K$373,$F30)),INDEX(Data!K$1:K$373,$F30),""))</f>
        <v>120.9</v>
      </c>
      <c r="O30" s="6">
        <f>IF($F30=0,"",IF(ISNUMBER(INDEX(Data!L$1:L$373,$F30)),INDEX(Data!L$1:L$373,$F30),""))</f>
        <v>98.3</v>
      </c>
      <c r="P30" s="6">
        <f>IF($F30=0,"",IF(ISNUMBER(INDEX(Data!M$1:M$373,$F30)),INDEX(Data!M$1:M$373,$F30),""))</f>
        <v>121.6</v>
      </c>
      <c r="Q30" s="6">
        <f>IF($F30=0,"",IF(ISNUMBER(INDEX(Data!N$1:N$373,$F30)),INDEX(Data!N$1:N$373,$F30),""))</f>
        <v>118</v>
      </c>
      <c r="R30" s="6">
        <f>IF($F30=0,"",IF(ISNUMBER(INDEX(Data!O$1:O$373,$F30)),INDEX(Data!O$1:O$373,$F30),""))</f>
        <v>127.6</v>
      </c>
      <c r="S30" s="6">
        <f>IF($F30=0,"",IF(ISNUMBER(INDEX(Data!P$1:P$373,$F30)),INDEX(Data!P$1:P$373,$F30),""))</f>
        <v>123.1</v>
      </c>
      <c r="T30" s="6">
        <f>IF($F30=0,"",IF(ISNUMBER(INDEX(Data!Q$1:Q$373,$F30)),INDEX(Data!Q$1:Q$373,$F30),""))</f>
        <v>125.2</v>
      </c>
      <c r="U30" s="6">
        <f>IF($F30=0,"",IF(ISNUMBER(INDEX(Data!R$1:R$373,$F30)),INDEX(Data!R$1:R$373,$F30),""))</f>
        <v>123.8</v>
      </c>
      <c r="V30" s="6">
        <f>IF($F30=0,"",IF(ISNUMBER(INDEX(Data!S$1:S$373,$F30)),INDEX(Data!S$1:S$373,$F30),""))</f>
        <v>120.1</v>
      </c>
      <c r="W30" s="6">
        <f>IF($F30=0,"",IF(ISNUMBER(INDEX(Data!T$1:T$373,$F30)),INDEX(Data!T$1:T$373,$F30),""))</f>
        <v>123.3</v>
      </c>
      <c r="X30" s="6">
        <f>IF($F30=0,"",IF(ISNUMBER(INDEX(Data!U$1:U$373,$F30)),INDEX(Data!U$1:U$373,$F30),""))</f>
        <v>118.1</v>
      </c>
      <c r="Y30" s="6">
        <f>IF($F30=0,"",IF(ISNUMBER(INDEX(Data!V$1:V$373,$F30)),INDEX(Data!V$1:V$373,$F30),""))</f>
        <v>117.7</v>
      </c>
      <c r="Z30" s="6">
        <f>IF($F30=0,"",IF(ISNUMBER(INDEX(Data!W$1:W$373,$F30)),INDEX(Data!W$1:W$373,$F30),""))</f>
        <v>118.7</v>
      </c>
      <c r="AA30" s="6">
        <f>IF($F30=0,"",IF(ISNUMBER(INDEX(Data!X$1:X$373,$F30)),INDEX(Data!X$1:X$373,$F30),""))</f>
        <v>116.3</v>
      </c>
      <c r="AB30" s="6">
        <f>IF($F30=0,"",IF(ISNUMBER(INDEX(Data!Y$1:Y$373,$F30)),INDEX(Data!Y$1:Y$373,$F30),""))</f>
        <v>108.7</v>
      </c>
      <c r="AC30" s="6">
        <f>IF($F30=0,"",IF(ISNUMBER(INDEX(Data!Z$1:Z$373,$F30)),INDEX(Data!Z$1:Z$373,$F30),""))</f>
        <v>114.9</v>
      </c>
      <c r="AD30" s="6">
        <f>IF($F30=0,"",IF(ISNUMBER(INDEX(Data!AA$1:AA$373,$F30)),INDEX(Data!AA$1:AA$373,$F30),""))</f>
        <v>119.7</v>
      </c>
      <c r="AE30" s="6">
        <f>IF($F30=0,"",IF(ISNUMBER(INDEX(Data!AB$1:AB$373,$F30)),INDEX(Data!AB$1:AB$373,$F30),""))</f>
        <v>111.2</v>
      </c>
      <c r="AF30" s="6">
        <f>IF($F30=0,"",IF(ISNUMBER(INDEX(Data!AC$1:AC$373,$F30)),INDEX(Data!AC$1:AC$373,$F30),""))</f>
        <v>114.1</v>
      </c>
      <c r="AG30" s="6">
        <f>IF($F30=0,"",IF(ISNUMBER(INDEX(Data!AD$1:AD$373,$F30)),INDEX(Data!AD$1:AD$373,$F30),""))</f>
        <v>119.7</v>
      </c>
    </row>
    <row r="31" spans="1:33">
      <c r="A31" s="6">
        <v>2015</v>
      </c>
      <c r="B31" s="6">
        <v>3</v>
      </c>
      <c r="C31" s="6" t="s">
        <v>54</v>
      </c>
      <c r="D31" s="9">
        <f t="shared" si="0"/>
        <v>42064</v>
      </c>
      <c r="E31" s="6" t="str">
        <f t="shared" si="1"/>
        <v>Rural+Urban|2015|March</v>
      </c>
      <c r="F31" s="6">
        <f>IFERROR(MATCH(E31,Data!$AE$1:$AE$373,0),0)</f>
        <v>82</v>
      </c>
      <c r="G31" s="6">
        <f>IF($F31=0,"",IF(ISNUMBER(INDEX(Data!D$1:D$373,$F31)),INDEX(Data!D$1:D$373,$F31),""))</f>
        <v>123.5</v>
      </c>
      <c r="H31" s="6">
        <f>IF($F31=0,"",IF(ISNUMBER(INDEX(Data!E$1:E$373,$F31)),INDEX(Data!E$1:E$373,$F31),""))</f>
        <v>125.4</v>
      </c>
      <c r="I31" s="6">
        <f>IF($F31=0,"",IF(ISNUMBER(INDEX(Data!F$1:F$373,$F31)),INDEX(Data!F$1:F$373,$F31),""))</f>
        <v>116.8</v>
      </c>
      <c r="J31" s="6">
        <f>IF($F31=0,"",IF(ISNUMBER(INDEX(Data!G$1:G$373,$F31)),INDEX(Data!G$1:G$373,$F31),""))</f>
        <v>126</v>
      </c>
      <c r="K31" s="6">
        <f>IF($F31=0,"",IF(ISNUMBER(INDEX(Data!H$1:H$373,$F31)),INDEX(Data!H$1:H$373,$F31),""))</f>
        <v>109.2</v>
      </c>
      <c r="L31" s="6">
        <f>IF($F31=0,"",IF(ISNUMBER(INDEX(Data!I$1:I$373,$F31)),INDEX(Data!I$1:I$373,$F31),""))</f>
        <v>127.6</v>
      </c>
      <c r="M31" s="6">
        <f>IF($F31=0,"",IF(ISNUMBER(INDEX(Data!J$1:J$373,$F31)),INDEX(Data!J$1:J$373,$F31),""))</f>
        <v>129.2</v>
      </c>
      <c r="N31" s="6">
        <f>IF($F31=0,"",IF(ISNUMBER(INDEX(Data!K$1:K$373,$F31)),INDEX(Data!K$1:K$373,$F31),""))</f>
        <v>122.4</v>
      </c>
      <c r="O31" s="6">
        <f>IF($F31=0,"",IF(ISNUMBER(INDEX(Data!L$1:L$373,$F31)),INDEX(Data!L$1:L$373,$F31),""))</f>
        <v>97</v>
      </c>
      <c r="P31" s="6">
        <f>IF($F31=0,"",IF(ISNUMBER(INDEX(Data!M$1:M$373,$F31)),INDEX(Data!M$1:M$373,$F31),""))</f>
        <v>122.1</v>
      </c>
      <c r="Q31" s="6">
        <f>IF($F31=0,"",IF(ISNUMBER(INDEX(Data!N$1:N$373,$F31)),INDEX(Data!N$1:N$373,$F31),""))</f>
        <v>118.1</v>
      </c>
      <c r="R31" s="6">
        <f>IF($F31=0,"",IF(ISNUMBER(INDEX(Data!O$1:O$373,$F31)),INDEX(Data!O$1:O$373,$F31),""))</f>
        <v>128.4</v>
      </c>
      <c r="S31" s="6">
        <f>IF($F31=0,"",IF(ISNUMBER(INDEX(Data!P$1:P$373,$F31)),INDEX(Data!P$1:P$373,$F31),""))</f>
        <v>123.4</v>
      </c>
      <c r="T31" s="6">
        <f>IF($F31=0,"",IF(ISNUMBER(INDEX(Data!Q$1:Q$373,$F31)),INDEX(Data!Q$1:Q$373,$F31),""))</f>
        <v>125.8</v>
      </c>
      <c r="U31" s="6">
        <f>IF($F31=0,"",IF(ISNUMBER(INDEX(Data!R$1:R$373,$F31)),INDEX(Data!R$1:R$373,$F31),""))</f>
        <v>124.3</v>
      </c>
      <c r="V31" s="6">
        <f>IF($F31=0,"",IF(ISNUMBER(INDEX(Data!S$1:S$373,$F31)),INDEX(Data!S$1:S$373,$F31),""))</f>
        <v>120.4</v>
      </c>
      <c r="W31" s="6">
        <f>IF($F31=0,"",IF(ISNUMBER(INDEX(Data!T$1:T$373,$F31)),INDEX(Data!T$1:T$373,$F31),""))</f>
        <v>123.7</v>
      </c>
      <c r="X31" s="6">
        <f>IF($F31=0,"",IF(ISNUMBER(INDEX(Data!U$1:U$373,$F31)),INDEX(Data!U$1:U$373,$F31),""))</f>
        <v>118.6</v>
      </c>
      <c r="Y31" s="6">
        <f>IF($F31=0,"",IF(ISNUMBER(INDEX(Data!V$1:V$373,$F31)),INDEX(Data!V$1:V$373,$F31),""))</f>
        <v>118.3</v>
      </c>
      <c r="Z31" s="6">
        <f>IF($F31=0,"",IF(ISNUMBER(INDEX(Data!W$1:W$373,$F31)),INDEX(Data!W$1:W$373,$F31),""))</f>
        <v>119.2</v>
      </c>
      <c r="AA31" s="6">
        <f>IF($F31=0,"",IF(ISNUMBER(INDEX(Data!X$1:X$373,$F31)),INDEX(Data!X$1:X$373,$F31),""))</f>
        <v>116.7</v>
      </c>
      <c r="AB31" s="6">
        <f>IF($F31=0,"",IF(ISNUMBER(INDEX(Data!Y$1:Y$373,$F31)),INDEX(Data!Y$1:Y$373,$F31),""))</f>
        <v>109.9</v>
      </c>
      <c r="AC31" s="6">
        <f>IF($F31=0,"",IF(ISNUMBER(INDEX(Data!Z$1:Z$373,$F31)),INDEX(Data!Z$1:Z$373,$F31),""))</f>
        <v>115.4</v>
      </c>
      <c r="AD31" s="6">
        <f>IF($F31=0,"",IF(ISNUMBER(INDEX(Data!AA$1:AA$373,$F31)),INDEX(Data!AA$1:AA$373,$F31),""))</f>
        <v>120.1</v>
      </c>
      <c r="AE31" s="6">
        <f>IF($F31=0,"",IF(ISNUMBER(INDEX(Data!AB$1:AB$373,$F31)),INDEX(Data!AB$1:AB$373,$F31),""))</f>
        <v>111</v>
      </c>
      <c r="AF31" s="6">
        <f>IF($F31=0,"",IF(ISNUMBER(INDEX(Data!AC$1:AC$373,$F31)),INDEX(Data!AC$1:AC$373,$F31),""))</f>
        <v>114.7</v>
      </c>
      <c r="AG31" s="6">
        <f>IF($F31=0,"",IF(ISNUMBER(INDEX(Data!AD$1:AD$373,$F31)),INDEX(Data!AD$1:AD$373,$F31),""))</f>
        <v>120.2</v>
      </c>
    </row>
    <row r="32" spans="1:33">
      <c r="A32" s="6">
        <v>2015</v>
      </c>
      <c r="B32" s="6">
        <v>4</v>
      </c>
      <c r="C32" s="6" t="s">
        <v>55</v>
      </c>
      <c r="D32" s="9">
        <f t="shared" si="0"/>
        <v>42095</v>
      </c>
      <c r="E32" s="6" t="str">
        <f t="shared" si="1"/>
        <v>Rural+Urban|2015|April</v>
      </c>
      <c r="F32" s="6">
        <f>IFERROR(MATCH(E32,Data!$AE$1:$AE$373,0),0)</f>
        <v>85</v>
      </c>
      <c r="G32" s="6">
        <f>IF($F32=0,"",IF(ISNUMBER(INDEX(Data!D$1:D$373,$F32)),INDEX(Data!D$1:D$373,$F32),""))</f>
        <v>123.5</v>
      </c>
      <c r="H32" s="6">
        <f>IF($F32=0,"",IF(ISNUMBER(INDEX(Data!E$1:E$373,$F32)),INDEX(Data!E$1:E$373,$F32),""))</f>
        <v>126.4</v>
      </c>
      <c r="I32" s="6">
        <f>IF($F32=0,"",IF(ISNUMBER(INDEX(Data!F$1:F$373,$F32)),INDEX(Data!F$1:F$373,$F32),""))</f>
        <v>114.4</v>
      </c>
      <c r="J32" s="6">
        <f>IF($F32=0,"",IF(ISNUMBER(INDEX(Data!G$1:G$373,$F32)),INDEX(Data!G$1:G$373,$F32),""))</f>
        <v>126.6</v>
      </c>
      <c r="K32" s="6">
        <f>IF($F32=0,"",IF(ISNUMBER(INDEX(Data!H$1:H$373,$F32)),INDEX(Data!H$1:H$373,$F32),""))</f>
        <v>109.2</v>
      </c>
      <c r="L32" s="6">
        <f>IF($F32=0,"",IF(ISNUMBER(INDEX(Data!I$1:I$373,$F32)),INDEX(Data!I$1:I$373,$F32),""))</f>
        <v>132.5</v>
      </c>
      <c r="M32" s="6">
        <f>IF($F32=0,"",IF(ISNUMBER(INDEX(Data!J$1:J$373,$F32)),INDEX(Data!J$1:J$373,$F32),""))</f>
        <v>128.6</v>
      </c>
      <c r="N32" s="6">
        <f>IF($F32=0,"",IF(ISNUMBER(INDEX(Data!K$1:K$373,$F32)),INDEX(Data!K$1:K$373,$F32),""))</f>
        <v>124.8</v>
      </c>
      <c r="O32" s="6">
        <f>IF($F32=0,"",IF(ISNUMBER(INDEX(Data!L$1:L$373,$F32)),INDEX(Data!L$1:L$373,$F32),""))</f>
        <v>95.7</v>
      </c>
      <c r="P32" s="6">
        <f>IF($F32=0,"",IF(ISNUMBER(INDEX(Data!M$1:M$373,$F32)),INDEX(Data!M$1:M$373,$F32),""))</f>
        <v>122.4</v>
      </c>
      <c r="Q32" s="6">
        <f>IF($F32=0,"",IF(ISNUMBER(INDEX(Data!N$1:N$373,$F32)),INDEX(Data!N$1:N$373,$F32),""))</f>
        <v>118.5</v>
      </c>
      <c r="R32" s="6">
        <f>IF($F32=0,"",IF(ISNUMBER(INDEX(Data!O$1:O$373,$F32)),INDEX(Data!O$1:O$373,$F32),""))</f>
        <v>129.1</v>
      </c>
      <c r="S32" s="6">
        <f>IF($F32=0,"",IF(ISNUMBER(INDEX(Data!P$1:P$373,$F32)),INDEX(Data!P$1:P$373,$F32),""))</f>
        <v>124</v>
      </c>
      <c r="T32" s="6">
        <f>IF($F32=0,"",IF(ISNUMBER(INDEX(Data!Q$1:Q$373,$F32)),INDEX(Data!Q$1:Q$373,$F32),""))</f>
        <v>126.9</v>
      </c>
      <c r="U32" s="6">
        <f>IF($F32=0,"",IF(ISNUMBER(INDEX(Data!R$1:R$373,$F32)),INDEX(Data!R$1:R$373,$F32),""))</f>
        <v>124.7</v>
      </c>
      <c r="V32" s="6">
        <f>IF($F32=0,"",IF(ISNUMBER(INDEX(Data!S$1:S$373,$F32)),INDEX(Data!S$1:S$373,$F32),""))</f>
        <v>120.8</v>
      </c>
      <c r="W32" s="6">
        <f>IF($F32=0,"",IF(ISNUMBER(INDEX(Data!T$1:T$373,$F32)),INDEX(Data!T$1:T$373,$F32),""))</f>
        <v>124.1</v>
      </c>
      <c r="X32" s="6">
        <f>IF($F32=0,"",IF(ISNUMBER(INDEX(Data!U$1:U$373,$F32)),INDEX(Data!U$1:U$373,$F32),""))</f>
        <v>119.2</v>
      </c>
      <c r="Y32" s="6">
        <f>IF($F32=0,"",IF(ISNUMBER(INDEX(Data!V$1:V$373,$F32)),INDEX(Data!V$1:V$373,$F32),""))</f>
        <v>118.7</v>
      </c>
      <c r="Z32" s="6">
        <f>IF($F32=0,"",IF(ISNUMBER(INDEX(Data!W$1:W$373,$F32)),INDEX(Data!W$1:W$373,$F32),""))</f>
        <v>119.7</v>
      </c>
      <c r="AA32" s="6">
        <f>IF($F32=0,"",IF(ISNUMBER(INDEX(Data!X$1:X$373,$F32)),INDEX(Data!X$1:X$373,$F32),""))</f>
        <v>117.1</v>
      </c>
      <c r="AB32" s="6">
        <f>IF($F32=0,"",IF(ISNUMBER(INDEX(Data!Y$1:Y$373,$F32)),INDEX(Data!Y$1:Y$373,$F32),""))</f>
        <v>110.1</v>
      </c>
      <c r="AC32" s="6">
        <f>IF($F32=0,"",IF(ISNUMBER(INDEX(Data!Z$1:Z$373,$F32)),INDEX(Data!Z$1:Z$373,$F32),""))</f>
        <v>115.9</v>
      </c>
      <c r="AD32" s="6">
        <f>IF($F32=0,"",IF(ISNUMBER(INDEX(Data!AA$1:AA$373,$F32)),INDEX(Data!AA$1:AA$373,$F32),""))</f>
        <v>121</v>
      </c>
      <c r="AE32" s="6">
        <f>IF($F32=0,"",IF(ISNUMBER(INDEX(Data!AB$1:AB$373,$F32)),INDEX(Data!AB$1:AB$373,$F32),""))</f>
        <v>111.7</v>
      </c>
      <c r="AF32" s="6">
        <f>IF($F32=0,"",IF(ISNUMBER(INDEX(Data!AC$1:AC$373,$F32)),INDEX(Data!AC$1:AC$373,$F32),""))</f>
        <v>115.1</v>
      </c>
      <c r="AG32" s="6">
        <f>IF($F32=0,"",IF(ISNUMBER(INDEX(Data!AD$1:AD$373,$F32)),INDEX(Data!AD$1:AD$373,$F32),""))</f>
        <v>120.7</v>
      </c>
    </row>
    <row r="33" spans="1:33">
      <c r="A33" s="6">
        <v>2015</v>
      </c>
      <c r="B33" s="6">
        <v>5</v>
      </c>
      <c r="C33" s="6" t="s">
        <v>56</v>
      </c>
      <c r="D33" s="9">
        <f t="shared" si="0"/>
        <v>42125</v>
      </c>
      <c r="E33" s="6" t="str">
        <f t="shared" si="1"/>
        <v>Rural+Urban|2015|May</v>
      </c>
      <c r="F33" s="6">
        <f>IFERROR(MATCH(E33,Data!$AE$1:$AE$373,0),0)</f>
        <v>88</v>
      </c>
      <c r="G33" s="6">
        <f>IF($F33=0,"",IF(ISNUMBER(INDEX(Data!D$1:D$373,$F33)),INDEX(Data!D$1:D$373,$F33),""))</f>
        <v>123.6</v>
      </c>
      <c r="H33" s="6">
        <f>IF($F33=0,"",IF(ISNUMBER(INDEX(Data!E$1:E$373,$F33)),INDEX(Data!E$1:E$373,$F33),""))</f>
        <v>128</v>
      </c>
      <c r="I33" s="6">
        <f>IF($F33=0,"",IF(ISNUMBER(INDEX(Data!F$1:F$373,$F33)),INDEX(Data!F$1:F$373,$F33),""))</f>
        <v>115</v>
      </c>
      <c r="J33" s="6">
        <f>IF($F33=0,"",IF(ISNUMBER(INDEX(Data!G$1:G$373,$F33)),INDEX(Data!G$1:G$373,$F33),""))</f>
        <v>127.3</v>
      </c>
      <c r="K33" s="6">
        <f>IF($F33=0,"",IF(ISNUMBER(INDEX(Data!H$1:H$373,$F33)),INDEX(Data!H$1:H$373,$F33),""))</f>
        <v>109.8</v>
      </c>
      <c r="L33" s="6">
        <f>IF($F33=0,"",IF(ISNUMBER(INDEX(Data!I$1:I$373,$F33)),INDEX(Data!I$1:I$373,$F33),""))</f>
        <v>132.6</v>
      </c>
      <c r="M33" s="6">
        <f>IF($F33=0,"",IF(ISNUMBER(INDEX(Data!J$1:J$373,$F33)),INDEX(Data!J$1:J$373,$F33),""))</f>
        <v>130.9</v>
      </c>
      <c r="N33" s="6">
        <f>IF($F33=0,"",IF(ISNUMBER(INDEX(Data!K$1:K$373,$F33)),INDEX(Data!K$1:K$373,$F33),""))</f>
        <v>130.5</v>
      </c>
      <c r="O33" s="6">
        <f>IF($F33=0,"",IF(ISNUMBER(INDEX(Data!L$1:L$373,$F33)),INDEX(Data!L$1:L$373,$F33),""))</f>
        <v>95.3</v>
      </c>
      <c r="P33" s="6">
        <f>IF($F33=0,"",IF(ISNUMBER(INDEX(Data!M$1:M$373,$F33)),INDEX(Data!M$1:M$373,$F33),""))</f>
        <v>123.4</v>
      </c>
      <c r="Q33" s="6">
        <f>IF($F33=0,"",IF(ISNUMBER(INDEX(Data!N$1:N$373,$F33)),INDEX(Data!N$1:N$373,$F33),""))</f>
        <v>119.2</v>
      </c>
      <c r="R33" s="6">
        <f>IF($F33=0,"",IF(ISNUMBER(INDEX(Data!O$1:O$373,$F33)),INDEX(Data!O$1:O$373,$F33),""))</f>
        <v>129.8</v>
      </c>
      <c r="S33" s="6">
        <f>IF($F33=0,"",IF(ISNUMBER(INDEX(Data!P$1:P$373,$F33)),INDEX(Data!P$1:P$373,$F33),""))</f>
        <v>125</v>
      </c>
      <c r="T33" s="6">
        <f>IF($F33=0,"",IF(ISNUMBER(INDEX(Data!Q$1:Q$373,$F33)),INDEX(Data!Q$1:Q$373,$F33),""))</f>
        <v>127.9</v>
      </c>
      <c r="U33" s="6">
        <f>IF($F33=0,"",IF(ISNUMBER(INDEX(Data!R$1:R$373,$F33)),INDEX(Data!R$1:R$373,$F33),""))</f>
        <v>125.4</v>
      </c>
      <c r="V33" s="6">
        <f>IF($F33=0,"",IF(ISNUMBER(INDEX(Data!S$1:S$373,$F33)),INDEX(Data!S$1:S$373,$F33),""))</f>
        <v>121.3</v>
      </c>
      <c r="W33" s="6">
        <f>IF($F33=0,"",IF(ISNUMBER(INDEX(Data!T$1:T$373,$F33)),INDEX(Data!T$1:T$373,$F33),""))</f>
        <v>124.7</v>
      </c>
      <c r="X33" s="6">
        <f>IF($F33=0,"",IF(ISNUMBER(INDEX(Data!U$1:U$373,$F33)),INDEX(Data!U$1:U$373,$F33),""))</f>
        <v>119.6</v>
      </c>
      <c r="Y33" s="6">
        <f>IF($F33=0,"",IF(ISNUMBER(INDEX(Data!V$1:V$373,$F33)),INDEX(Data!V$1:V$373,$F33),""))</f>
        <v>119.2</v>
      </c>
      <c r="Z33" s="6">
        <f>IF($F33=0,"",IF(ISNUMBER(INDEX(Data!W$1:W$373,$F33)),INDEX(Data!W$1:W$373,$F33),""))</f>
        <v>120.2</v>
      </c>
      <c r="AA33" s="6">
        <f>IF($F33=0,"",IF(ISNUMBER(INDEX(Data!X$1:X$373,$F33)),INDEX(Data!X$1:X$373,$F33),""))</f>
        <v>117.7</v>
      </c>
      <c r="AB33" s="6">
        <f>IF($F33=0,"",IF(ISNUMBER(INDEX(Data!Y$1:Y$373,$F33)),INDEX(Data!Y$1:Y$373,$F33),""))</f>
        <v>112</v>
      </c>
      <c r="AC33" s="6">
        <f>IF($F33=0,"",IF(ISNUMBER(INDEX(Data!Z$1:Z$373,$F33)),INDEX(Data!Z$1:Z$373,$F33),""))</f>
        <v>116.3</v>
      </c>
      <c r="AD33" s="6">
        <f>IF($F33=0,"",IF(ISNUMBER(INDEX(Data!AA$1:AA$373,$F33)),INDEX(Data!AA$1:AA$373,$F33),""))</f>
        <v>121.4</v>
      </c>
      <c r="AE33" s="6">
        <f>IF($F33=0,"",IF(ISNUMBER(INDEX(Data!AB$1:AB$373,$F33)),INDEX(Data!AB$1:AB$373,$F33),""))</f>
        <v>112.3</v>
      </c>
      <c r="AF33" s="6">
        <f>IF($F33=0,"",IF(ISNUMBER(INDEX(Data!AC$1:AC$373,$F33)),INDEX(Data!AC$1:AC$373,$F33),""))</f>
        <v>116.1</v>
      </c>
      <c r="AG33" s="6">
        <f>IF($F33=0,"",IF(ISNUMBER(INDEX(Data!AD$1:AD$373,$F33)),INDEX(Data!AD$1:AD$373,$F33),""))</f>
        <v>121.6</v>
      </c>
    </row>
    <row r="34" spans="1:33">
      <c r="A34" s="6">
        <v>2015</v>
      </c>
      <c r="B34" s="6">
        <v>6</v>
      </c>
      <c r="C34" s="6" t="s">
        <v>57</v>
      </c>
      <c r="D34" s="9">
        <f t="shared" si="0"/>
        <v>42156</v>
      </c>
      <c r="E34" s="6" t="str">
        <f t="shared" si="1"/>
        <v>Rural+Urban|2015|June</v>
      </c>
      <c r="F34" s="6">
        <f>IFERROR(MATCH(E34,Data!$AE$1:$AE$373,0),0)</f>
        <v>91</v>
      </c>
      <c r="G34" s="6">
        <f>IF($F34=0,"",IF(ISNUMBER(INDEX(Data!D$1:D$373,$F34)),INDEX(Data!D$1:D$373,$F34),""))</f>
        <v>123.9</v>
      </c>
      <c r="H34" s="6">
        <f>IF($F34=0,"",IF(ISNUMBER(INDEX(Data!E$1:E$373,$F34)),INDEX(Data!E$1:E$373,$F34),""))</f>
        <v>131.8</v>
      </c>
      <c r="I34" s="6">
        <f>IF($F34=0,"",IF(ISNUMBER(INDEX(Data!F$1:F$373,$F34)),INDEX(Data!F$1:F$373,$F34),""))</f>
        <v>121.6</v>
      </c>
      <c r="J34" s="6">
        <f>IF($F34=0,"",IF(ISNUMBER(INDEX(Data!G$1:G$373,$F34)),INDEX(Data!G$1:G$373,$F34),""))</f>
        <v>128.2</v>
      </c>
      <c r="K34" s="6">
        <f>IF($F34=0,"",IF(ISNUMBER(INDEX(Data!H$1:H$373,$F34)),INDEX(Data!H$1:H$373,$F34),""))</f>
        <v>111.1</v>
      </c>
      <c r="L34" s="6">
        <f>IF($F34=0,"",IF(ISNUMBER(INDEX(Data!I$1:I$373,$F34)),INDEX(Data!I$1:I$373,$F34),""))</f>
        <v>132.8</v>
      </c>
      <c r="M34" s="6">
        <f>IF($F34=0,"",IF(ISNUMBER(INDEX(Data!J$1:J$373,$F34)),INDEX(Data!J$1:J$373,$F34),""))</f>
        <v>139.1</v>
      </c>
      <c r="N34" s="6">
        <f>IF($F34=0,"",IF(ISNUMBER(INDEX(Data!K$1:K$373,$F34)),INDEX(Data!K$1:K$373,$F34),""))</f>
        <v>137.4</v>
      </c>
      <c r="O34" s="6">
        <f>IF($F34=0,"",IF(ISNUMBER(INDEX(Data!L$1:L$373,$F34)),INDEX(Data!L$1:L$373,$F34),""))</f>
        <v>94.1</v>
      </c>
      <c r="P34" s="6">
        <f>IF($F34=0,"",IF(ISNUMBER(INDEX(Data!M$1:M$373,$F34)),INDEX(Data!M$1:M$373,$F34),""))</f>
        <v>125.5</v>
      </c>
      <c r="Q34" s="6">
        <f>IF($F34=0,"",IF(ISNUMBER(INDEX(Data!N$1:N$373,$F34)),INDEX(Data!N$1:N$373,$F34),""))</f>
        <v>119.8</v>
      </c>
      <c r="R34" s="6">
        <f>IF($F34=0,"",IF(ISNUMBER(INDEX(Data!O$1:O$373,$F34)),INDEX(Data!O$1:O$373,$F34),""))</f>
        <v>130.9</v>
      </c>
      <c r="S34" s="6">
        <f>IF($F34=0,"",IF(ISNUMBER(INDEX(Data!P$1:P$373,$F34)),INDEX(Data!P$1:P$373,$F34),""))</f>
        <v>127.3</v>
      </c>
      <c r="T34" s="6">
        <f>IF($F34=0,"",IF(ISNUMBER(INDEX(Data!Q$1:Q$373,$F34)),INDEX(Data!Q$1:Q$373,$F34),""))</f>
        <v>129.2</v>
      </c>
      <c r="U34" s="6">
        <f>IF($F34=0,"",IF(ISNUMBER(INDEX(Data!R$1:R$373,$F34)),INDEX(Data!R$1:R$373,$F34),""))</f>
        <v>126.4</v>
      </c>
      <c r="V34" s="6">
        <f>IF($F34=0,"",IF(ISNUMBER(INDEX(Data!S$1:S$373,$F34)),INDEX(Data!S$1:S$373,$F34),""))</f>
        <v>122</v>
      </c>
      <c r="W34" s="6">
        <f>IF($F34=0,"",IF(ISNUMBER(INDEX(Data!T$1:T$373,$F34)),INDEX(Data!T$1:T$373,$F34),""))</f>
        <v>125.7</v>
      </c>
      <c r="X34" s="6">
        <f>IF($F34=0,"",IF(ISNUMBER(INDEX(Data!U$1:U$373,$F34)),INDEX(Data!U$1:U$373,$F34),""))</f>
        <v>119</v>
      </c>
      <c r="Y34" s="6">
        <f>IF($F34=0,"",IF(ISNUMBER(INDEX(Data!V$1:V$373,$F34)),INDEX(Data!V$1:V$373,$F34),""))</f>
        <v>119.8</v>
      </c>
      <c r="Z34" s="6">
        <f>IF($F34=0,"",IF(ISNUMBER(INDEX(Data!W$1:W$373,$F34)),INDEX(Data!W$1:W$373,$F34),""))</f>
        <v>121.1</v>
      </c>
      <c r="AA34" s="6">
        <f>IF($F34=0,"",IF(ISNUMBER(INDEX(Data!X$1:X$373,$F34)),INDEX(Data!X$1:X$373,$F34),""))</f>
        <v>118.5</v>
      </c>
      <c r="AB34" s="6">
        <f>IF($F34=0,"",IF(ISNUMBER(INDEX(Data!Y$1:Y$373,$F34)),INDEX(Data!Y$1:Y$373,$F34),""))</f>
        <v>112.9</v>
      </c>
      <c r="AC34" s="6">
        <f>IF($F34=0,"",IF(ISNUMBER(INDEX(Data!Z$1:Z$373,$F34)),INDEX(Data!Z$1:Z$373,$F34),""))</f>
        <v>116.9</v>
      </c>
      <c r="AD34" s="6">
        <f>IF($F34=0,"",IF(ISNUMBER(INDEX(Data!AA$1:AA$373,$F34)),INDEX(Data!AA$1:AA$373,$F34),""))</f>
        <v>123.1</v>
      </c>
      <c r="AE34" s="6">
        <f>IF($F34=0,"",IF(ISNUMBER(INDEX(Data!AB$1:AB$373,$F34)),INDEX(Data!AB$1:AB$373,$F34),""))</f>
        <v>112.8</v>
      </c>
      <c r="AF34" s="6">
        <f>IF($F34=0,"",IF(ISNUMBER(INDEX(Data!AC$1:AC$373,$F34)),INDEX(Data!AC$1:AC$373,$F34),""))</f>
        <v>117</v>
      </c>
      <c r="AG34" s="6">
        <f>IF($F34=0,"",IF(ISNUMBER(INDEX(Data!AD$1:AD$373,$F34)),INDEX(Data!AD$1:AD$373,$F34),""))</f>
        <v>123</v>
      </c>
    </row>
    <row r="35" spans="1:33">
      <c r="A35" s="6">
        <v>2015</v>
      </c>
      <c r="B35" s="6">
        <v>7</v>
      </c>
      <c r="C35" s="6" t="s">
        <v>58</v>
      </c>
      <c r="D35" s="9">
        <f t="shared" si="0"/>
        <v>42186</v>
      </c>
      <c r="E35" s="6" t="str">
        <f t="shared" si="1"/>
        <v>Rural+Urban|2015|July</v>
      </c>
      <c r="F35" s="6">
        <f>IFERROR(MATCH(E35,Data!$AE$1:$AE$373,0),0)</f>
        <v>94</v>
      </c>
      <c r="G35" s="6">
        <f>IF($F35=0,"",IF(ISNUMBER(INDEX(Data!D$1:D$373,$F35)),INDEX(Data!D$1:D$373,$F35),""))</f>
        <v>123.7</v>
      </c>
      <c r="H35" s="6">
        <f>IF($F35=0,"",IF(ISNUMBER(INDEX(Data!E$1:E$373,$F35)),INDEX(Data!E$1:E$373,$F35),""))</f>
        <v>132.5</v>
      </c>
      <c r="I35" s="6">
        <f>IF($F35=0,"",IF(ISNUMBER(INDEX(Data!F$1:F$373,$F35)),INDEX(Data!F$1:F$373,$F35),""))</f>
        <v>121</v>
      </c>
      <c r="J35" s="6">
        <f>IF($F35=0,"",IF(ISNUMBER(INDEX(Data!G$1:G$373,$F35)),INDEX(Data!G$1:G$373,$F35),""))</f>
        <v>128.3</v>
      </c>
      <c r="K35" s="6">
        <f>IF($F35=0,"",IF(ISNUMBER(INDEX(Data!H$1:H$373,$F35)),INDEX(Data!H$1:H$373,$F35),""))</f>
        <v>110.9</v>
      </c>
      <c r="L35" s="6">
        <f>IF($F35=0,"",IF(ISNUMBER(INDEX(Data!I$1:I$373,$F35)),INDEX(Data!I$1:I$373,$F35),""))</f>
        <v>133.1</v>
      </c>
      <c r="M35" s="6">
        <f>IF($F35=0,"",IF(ISNUMBER(INDEX(Data!J$1:J$373,$F35)),INDEX(Data!J$1:J$373,$F35),""))</f>
        <v>145.1</v>
      </c>
      <c r="N35" s="6">
        <f>IF($F35=0,"",IF(ISNUMBER(INDEX(Data!K$1:K$373,$F35)),INDEX(Data!K$1:K$373,$F35),""))</f>
        <v>139.1</v>
      </c>
      <c r="O35" s="6">
        <f>IF($F35=0,"",IF(ISNUMBER(INDEX(Data!L$1:L$373,$F35)),INDEX(Data!L$1:L$373,$F35),""))</f>
        <v>91.3</v>
      </c>
      <c r="P35" s="6">
        <f>IF($F35=0,"",IF(ISNUMBER(INDEX(Data!M$1:M$373,$F35)),INDEX(Data!M$1:M$373,$F35),""))</f>
        <v>126.1</v>
      </c>
      <c r="Q35" s="6">
        <f>IF($F35=0,"",IF(ISNUMBER(INDEX(Data!N$1:N$373,$F35)),INDEX(Data!N$1:N$373,$F35),""))</f>
        <v>119.9</v>
      </c>
      <c r="R35" s="6">
        <f>IF($F35=0,"",IF(ISNUMBER(INDEX(Data!O$1:O$373,$F35)),INDEX(Data!O$1:O$373,$F35),""))</f>
        <v>131.4</v>
      </c>
      <c r="S35" s="6">
        <f>IF($F35=0,"",IF(ISNUMBER(INDEX(Data!P$1:P$373,$F35)),INDEX(Data!P$1:P$373,$F35),""))</f>
        <v>128.2</v>
      </c>
      <c r="T35" s="6">
        <f>IF($F35=0,"",IF(ISNUMBER(INDEX(Data!Q$1:Q$373,$F35)),INDEX(Data!Q$1:Q$373,$F35),""))</f>
        <v>130.4</v>
      </c>
      <c r="U35" s="6">
        <f>IF($F35=0,"",IF(ISNUMBER(INDEX(Data!R$1:R$373,$F35)),INDEX(Data!R$1:R$373,$F35),""))</f>
        <v>126.7</v>
      </c>
      <c r="V35" s="6">
        <f>IF($F35=0,"",IF(ISNUMBER(INDEX(Data!S$1:S$373,$F35)),INDEX(Data!S$1:S$373,$F35),""))</f>
        <v>122.3</v>
      </c>
      <c r="W35" s="6">
        <f>IF($F35=0,"",IF(ISNUMBER(INDEX(Data!T$1:T$373,$F35)),INDEX(Data!T$1:T$373,$F35),""))</f>
        <v>126.1</v>
      </c>
      <c r="X35" s="6">
        <f>IF($F35=0,"",IF(ISNUMBER(INDEX(Data!U$1:U$373,$F35)),INDEX(Data!U$1:U$373,$F35),""))</f>
        <v>119.9</v>
      </c>
      <c r="Y35" s="6">
        <f>IF($F35=0,"",IF(ISNUMBER(INDEX(Data!V$1:V$373,$F35)),INDEX(Data!V$1:V$373,$F35),""))</f>
        <v>120.1</v>
      </c>
      <c r="Z35" s="6">
        <f>IF($F35=0,"",IF(ISNUMBER(INDEX(Data!W$1:W$373,$F35)),INDEX(Data!W$1:W$373,$F35),""))</f>
        <v>121.3</v>
      </c>
      <c r="AA35" s="6">
        <f>IF($F35=0,"",IF(ISNUMBER(INDEX(Data!X$1:X$373,$F35)),INDEX(Data!X$1:X$373,$F35),""))</f>
        <v>119</v>
      </c>
      <c r="AB35" s="6">
        <f>IF($F35=0,"",IF(ISNUMBER(INDEX(Data!Y$1:Y$373,$F35)),INDEX(Data!Y$1:Y$373,$F35),""))</f>
        <v>112.7</v>
      </c>
      <c r="AC35" s="6">
        <f>IF($F35=0,"",IF(ISNUMBER(INDEX(Data!Z$1:Z$373,$F35)),INDEX(Data!Z$1:Z$373,$F35),""))</f>
        <v>117.2</v>
      </c>
      <c r="AD35" s="6">
        <f>IF($F35=0,"",IF(ISNUMBER(INDEX(Data!AA$1:AA$373,$F35)),INDEX(Data!AA$1:AA$373,$F35),""))</f>
        <v>124.4</v>
      </c>
      <c r="AE35" s="6">
        <f>IF($F35=0,"",IF(ISNUMBER(INDEX(Data!AB$1:AB$373,$F35)),INDEX(Data!AB$1:AB$373,$F35),""))</f>
        <v>112.3</v>
      </c>
      <c r="AF35" s="6">
        <f>IF($F35=0,"",IF(ISNUMBER(INDEX(Data!AC$1:AC$373,$F35)),INDEX(Data!AC$1:AC$373,$F35),""))</f>
        <v>117.2</v>
      </c>
      <c r="AG35" s="6">
        <f>IF($F35=0,"",IF(ISNUMBER(INDEX(Data!AD$1:AD$373,$F35)),INDEX(Data!AD$1:AD$373,$F35),""))</f>
        <v>123.6</v>
      </c>
    </row>
    <row r="36" spans="1:33">
      <c r="A36" s="6">
        <v>2015</v>
      </c>
      <c r="B36" s="6">
        <v>8</v>
      </c>
      <c r="C36" s="6" t="s">
        <v>59</v>
      </c>
      <c r="D36" s="9">
        <f t="shared" si="0"/>
        <v>42217</v>
      </c>
      <c r="E36" s="6" t="str">
        <f t="shared" si="1"/>
        <v>Rural+Urban|2015|August</v>
      </c>
      <c r="F36" s="6">
        <f>IFERROR(MATCH(E36,Data!$AE$1:$AE$373,0),0)</f>
        <v>97</v>
      </c>
      <c r="G36" s="6">
        <f>IF($F36=0,"",IF(ISNUMBER(INDEX(Data!D$1:D$373,$F36)),INDEX(Data!D$1:D$373,$F36),""))</f>
        <v>124.2</v>
      </c>
      <c r="H36" s="6">
        <f>IF($F36=0,"",IF(ISNUMBER(INDEX(Data!E$1:E$373,$F36)),INDEX(Data!E$1:E$373,$F36),""))</f>
        <v>131.4</v>
      </c>
      <c r="I36" s="6">
        <f>IF($F36=0,"",IF(ISNUMBER(INDEX(Data!F$1:F$373,$F36)),INDEX(Data!F$1:F$373,$F36),""))</f>
        <v>120.1</v>
      </c>
      <c r="J36" s="6">
        <f>IF($F36=0,"",IF(ISNUMBER(INDEX(Data!G$1:G$373,$F36)),INDEX(Data!G$1:G$373,$F36),""))</f>
        <v>128.5</v>
      </c>
      <c r="K36" s="6">
        <f>IF($F36=0,"",IF(ISNUMBER(INDEX(Data!H$1:H$373,$F36)),INDEX(Data!H$1:H$373,$F36),""))</f>
        <v>111.4</v>
      </c>
      <c r="L36" s="6">
        <f>IF($F36=0,"",IF(ISNUMBER(INDEX(Data!I$1:I$373,$F36)),INDEX(Data!I$1:I$373,$F36),""))</f>
        <v>132.3</v>
      </c>
      <c r="M36" s="6">
        <f>IF($F36=0,"",IF(ISNUMBER(INDEX(Data!J$1:J$373,$F36)),INDEX(Data!J$1:J$373,$F36),""))</f>
        <v>157.6</v>
      </c>
      <c r="N36" s="6">
        <f>IF($F36=0,"",IF(ISNUMBER(INDEX(Data!K$1:K$373,$F36)),INDEX(Data!K$1:K$373,$F36),""))</f>
        <v>144</v>
      </c>
      <c r="O36" s="6">
        <f>IF($F36=0,"",IF(ISNUMBER(INDEX(Data!L$1:L$373,$F36)),INDEX(Data!L$1:L$373,$F36),""))</f>
        <v>90.5</v>
      </c>
      <c r="P36" s="6">
        <f>IF($F36=0,"",IF(ISNUMBER(INDEX(Data!M$1:M$373,$F36)),INDEX(Data!M$1:M$373,$F36),""))</f>
        <v>126.8</v>
      </c>
      <c r="Q36" s="6">
        <f>IF($F36=0,"",IF(ISNUMBER(INDEX(Data!N$1:N$373,$F36)),INDEX(Data!N$1:N$373,$F36),""))</f>
        <v>120.4</v>
      </c>
      <c r="R36" s="6">
        <f>IF($F36=0,"",IF(ISNUMBER(INDEX(Data!O$1:O$373,$F36)),INDEX(Data!O$1:O$373,$F36),""))</f>
        <v>132.1</v>
      </c>
      <c r="S36" s="6">
        <f>IF($F36=0,"",IF(ISNUMBER(INDEX(Data!P$1:P$373,$F36)),INDEX(Data!P$1:P$373,$F36),""))</f>
        <v>130.3</v>
      </c>
      <c r="T36" s="6">
        <f>IF($F36=0,"",IF(ISNUMBER(INDEX(Data!Q$1:Q$373,$F36)),INDEX(Data!Q$1:Q$373,$F36),""))</f>
        <v>131.2</v>
      </c>
      <c r="U36" s="6">
        <f>IF($F36=0,"",IF(ISNUMBER(INDEX(Data!R$1:R$373,$F36)),INDEX(Data!R$1:R$373,$F36),""))</f>
        <v>127.2</v>
      </c>
      <c r="V36" s="6">
        <f>IF($F36=0,"",IF(ISNUMBER(INDEX(Data!S$1:S$373,$F36)),INDEX(Data!S$1:S$373,$F36),""))</f>
        <v>122.9</v>
      </c>
      <c r="W36" s="6">
        <f>IF($F36=0,"",IF(ISNUMBER(INDEX(Data!T$1:T$373,$F36)),INDEX(Data!T$1:T$373,$F36),""))</f>
        <v>126.6</v>
      </c>
      <c r="X36" s="6">
        <f>IF($F36=0,"",IF(ISNUMBER(INDEX(Data!U$1:U$373,$F36)),INDEX(Data!U$1:U$373,$F36),""))</f>
        <v>120.9</v>
      </c>
      <c r="Y36" s="6">
        <f>IF($F36=0,"",IF(ISNUMBER(INDEX(Data!V$1:V$373,$F36)),INDEX(Data!V$1:V$373,$F36),""))</f>
        <v>120.6</v>
      </c>
      <c r="Z36" s="6">
        <f>IF($F36=0,"",IF(ISNUMBER(INDEX(Data!W$1:W$373,$F36)),INDEX(Data!W$1:W$373,$F36),""))</f>
        <v>122</v>
      </c>
      <c r="AA36" s="6">
        <f>IF($F36=0,"",IF(ISNUMBER(INDEX(Data!X$1:X$373,$F36)),INDEX(Data!X$1:X$373,$F36),""))</f>
        <v>119.4</v>
      </c>
      <c r="AB36" s="6">
        <f>IF($F36=0,"",IF(ISNUMBER(INDEX(Data!Y$1:Y$373,$F36)),INDEX(Data!Y$1:Y$373,$F36),""))</f>
        <v>111.7</v>
      </c>
      <c r="AC36" s="6">
        <f>IF($F36=0,"",IF(ISNUMBER(INDEX(Data!Z$1:Z$373,$F36)),INDEX(Data!Z$1:Z$373,$F36),""))</f>
        <v>117.8</v>
      </c>
      <c r="AD36" s="6">
        <f>IF($F36=0,"",IF(ISNUMBER(INDEX(Data!AA$1:AA$373,$F36)),INDEX(Data!AA$1:AA$373,$F36),""))</f>
        <v>125.1</v>
      </c>
      <c r="AE36" s="6">
        <f>IF($F36=0,"",IF(ISNUMBER(INDEX(Data!AB$1:AB$373,$F36)),INDEX(Data!AB$1:AB$373,$F36),""))</f>
        <v>112.3</v>
      </c>
      <c r="AF36" s="6">
        <f>IF($F36=0,"",IF(ISNUMBER(INDEX(Data!AC$1:AC$373,$F36)),INDEX(Data!AC$1:AC$373,$F36),""))</f>
        <v>117.2</v>
      </c>
      <c r="AG36" s="6">
        <f>IF($F36=0,"",IF(ISNUMBER(INDEX(Data!AD$1:AD$373,$F36)),INDEX(Data!AD$1:AD$373,$F36),""))</f>
        <v>124.8</v>
      </c>
    </row>
    <row r="37" spans="1:33">
      <c r="A37" s="6">
        <v>2015</v>
      </c>
      <c r="B37" s="6">
        <v>9</v>
      </c>
      <c r="C37" s="6" t="s">
        <v>60</v>
      </c>
      <c r="D37" s="9">
        <f t="shared" si="0"/>
        <v>42248</v>
      </c>
      <c r="E37" s="6" t="str">
        <f t="shared" si="1"/>
        <v>Rural+Urban|2015|September</v>
      </c>
      <c r="F37" s="6">
        <f>IFERROR(MATCH(E37,Data!$AE$1:$AE$373,0),0)</f>
        <v>100</v>
      </c>
      <c r="G37" s="6">
        <f>IF($F37=0,"",IF(ISNUMBER(INDEX(Data!D$1:D$373,$F37)),INDEX(Data!D$1:D$373,$F37),""))</f>
        <v>124.6</v>
      </c>
      <c r="H37" s="6">
        <f>IF($F37=0,"",IF(ISNUMBER(INDEX(Data!E$1:E$373,$F37)),INDEX(Data!E$1:E$373,$F37),""))</f>
        <v>130.4</v>
      </c>
      <c r="I37" s="6">
        <f>IF($F37=0,"",IF(ISNUMBER(INDEX(Data!F$1:F$373,$F37)),INDEX(Data!F$1:F$373,$F37),""))</f>
        <v>118.7</v>
      </c>
      <c r="J37" s="6">
        <f>IF($F37=0,"",IF(ISNUMBER(INDEX(Data!G$1:G$373,$F37)),INDEX(Data!G$1:G$373,$F37),""))</f>
        <v>128.9</v>
      </c>
      <c r="K37" s="6">
        <f>IF($F37=0,"",IF(ISNUMBER(INDEX(Data!H$1:H$373,$F37)),INDEX(Data!H$1:H$373,$F37),""))</f>
        <v>111.9</v>
      </c>
      <c r="L37" s="6">
        <f>IF($F37=0,"",IF(ISNUMBER(INDEX(Data!I$1:I$373,$F37)),INDEX(Data!I$1:I$373,$F37),""))</f>
        <v>128.4</v>
      </c>
      <c r="M37" s="6">
        <f>IF($F37=0,"",IF(ISNUMBER(INDEX(Data!J$1:J$373,$F37)),INDEX(Data!J$1:J$373,$F37),""))</f>
        <v>162.2</v>
      </c>
      <c r="N37" s="6">
        <f>IF($F37=0,"",IF(ISNUMBER(INDEX(Data!K$1:K$373,$F37)),INDEX(Data!K$1:K$373,$F37),""))</f>
        <v>150</v>
      </c>
      <c r="O37" s="6">
        <f>IF($F37=0,"",IF(ISNUMBER(INDEX(Data!L$1:L$373,$F37)),INDEX(Data!L$1:L$373,$F37),""))</f>
        <v>90.4</v>
      </c>
      <c r="P37" s="6">
        <f>IF($F37=0,"",IF(ISNUMBER(INDEX(Data!M$1:M$373,$F37)),INDEX(Data!M$1:M$373,$F37),""))</f>
        <v>128.4</v>
      </c>
      <c r="Q37" s="6">
        <f>IF($F37=0,"",IF(ISNUMBER(INDEX(Data!N$1:N$373,$F37)),INDEX(Data!N$1:N$373,$F37),""))</f>
        <v>120.7</v>
      </c>
      <c r="R37" s="6">
        <f>IF($F37=0,"",IF(ISNUMBER(INDEX(Data!O$1:O$373,$F37)),INDEX(Data!O$1:O$373,$F37),""))</f>
        <v>132.5</v>
      </c>
      <c r="S37" s="6">
        <f>IF($F37=0,"",IF(ISNUMBER(INDEX(Data!P$1:P$373,$F37)),INDEX(Data!P$1:P$373,$F37),""))</f>
        <v>131.2</v>
      </c>
      <c r="T37" s="6">
        <f>IF($F37=0,"",IF(ISNUMBER(INDEX(Data!Q$1:Q$373,$F37)),INDEX(Data!Q$1:Q$373,$F37),""))</f>
        <v>132</v>
      </c>
      <c r="U37" s="6">
        <f>IF($F37=0,"",IF(ISNUMBER(INDEX(Data!R$1:R$373,$F37)),INDEX(Data!R$1:R$373,$F37),""))</f>
        <v>127.9</v>
      </c>
      <c r="V37" s="6">
        <f>IF($F37=0,"",IF(ISNUMBER(INDEX(Data!S$1:S$373,$F37)),INDEX(Data!S$1:S$373,$F37),""))</f>
        <v>123.4</v>
      </c>
      <c r="W37" s="6">
        <f>IF($F37=0,"",IF(ISNUMBER(INDEX(Data!T$1:T$373,$F37)),INDEX(Data!T$1:T$373,$F37),""))</f>
        <v>127.2</v>
      </c>
      <c r="X37" s="6">
        <f>IF($F37=0,"",IF(ISNUMBER(INDEX(Data!U$1:U$373,$F37)),INDEX(Data!U$1:U$373,$F37),""))</f>
        <v>121.6</v>
      </c>
      <c r="Y37" s="6">
        <f>IF($F37=0,"",IF(ISNUMBER(INDEX(Data!V$1:V$373,$F37)),INDEX(Data!V$1:V$373,$F37),""))</f>
        <v>120.4</v>
      </c>
      <c r="Z37" s="6">
        <f>IF($F37=0,"",IF(ISNUMBER(INDEX(Data!W$1:W$373,$F37)),INDEX(Data!W$1:W$373,$F37),""))</f>
        <v>122.6</v>
      </c>
      <c r="AA37" s="6">
        <f>IF($F37=0,"",IF(ISNUMBER(INDEX(Data!X$1:X$373,$F37)),INDEX(Data!X$1:X$373,$F37),""))</f>
        <v>119.8</v>
      </c>
      <c r="AB37" s="6">
        <f>IF($F37=0,"",IF(ISNUMBER(INDEX(Data!Y$1:Y$373,$F37)),INDEX(Data!Y$1:Y$373,$F37),""))</f>
        <v>111.3</v>
      </c>
      <c r="AC37" s="6">
        <f>IF($F37=0,"",IF(ISNUMBER(INDEX(Data!Z$1:Z$373,$F37)),INDEX(Data!Z$1:Z$373,$F37),""))</f>
        <v>118.3</v>
      </c>
      <c r="AD37" s="6">
        <f>IF($F37=0,"",IF(ISNUMBER(INDEX(Data!AA$1:AA$373,$F37)),INDEX(Data!AA$1:AA$373,$F37),""))</f>
        <v>125.7</v>
      </c>
      <c r="AE37" s="6">
        <f>IF($F37=0,"",IF(ISNUMBER(INDEX(Data!AB$1:AB$373,$F37)),INDEX(Data!AB$1:AB$373,$F37),""))</f>
        <v>113.4</v>
      </c>
      <c r="AF37" s="6">
        <f>IF($F37=0,"",IF(ISNUMBER(INDEX(Data!AC$1:AC$373,$F37)),INDEX(Data!AC$1:AC$373,$F37),""))</f>
        <v>117.5</v>
      </c>
      <c r="AG37" s="6">
        <f>IF($F37=0,"",IF(ISNUMBER(INDEX(Data!AD$1:AD$373,$F37)),INDEX(Data!AD$1:AD$373,$F37),""))</f>
        <v>125.4</v>
      </c>
    </row>
    <row r="38" spans="1:33">
      <c r="A38" s="6">
        <v>2015</v>
      </c>
      <c r="B38" s="6">
        <v>10</v>
      </c>
      <c r="C38" s="6" t="s">
        <v>61</v>
      </c>
      <c r="D38" s="9">
        <f t="shared" si="0"/>
        <v>42278</v>
      </c>
      <c r="E38" s="6" t="str">
        <f t="shared" si="1"/>
        <v>Rural+Urban|2015|October</v>
      </c>
      <c r="F38" s="6">
        <f>IFERROR(MATCH(E38,Data!$AE$1:$AE$373,0),0)</f>
        <v>103</v>
      </c>
      <c r="G38" s="6">
        <f>IF($F38=0,"",IF(ISNUMBER(INDEX(Data!D$1:D$373,$F38)),INDEX(Data!D$1:D$373,$F38),""))</f>
        <v>125</v>
      </c>
      <c r="H38" s="6">
        <f>IF($F38=0,"",IF(ISNUMBER(INDEX(Data!E$1:E$373,$F38)),INDEX(Data!E$1:E$373,$F38),""))</f>
        <v>129.8</v>
      </c>
      <c r="I38" s="6">
        <f>IF($F38=0,"",IF(ISNUMBER(INDEX(Data!F$1:F$373,$F38)),INDEX(Data!F$1:F$373,$F38),""))</f>
        <v>118.9</v>
      </c>
      <c r="J38" s="6">
        <f>IF($F38=0,"",IF(ISNUMBER(INDEX(Data!G$1:G$373,$F38)),INDEX(Data!G$1:G$373,$F38),""))</f>
        <v>129.1</v>
      </c>
      <c r="K38" s="6">
        <f>IF($F38=0,"",IF(ISNUMBER(INDEX(Data!H$1:H$373,$F38)),INDEX(Data!H$1:H$373,$F38),""))</f>
        <v>113.3</v>
      </c>
      <c r="L38" s="6">
        <f>IF($F38=0,"",IF(ISNUMBER(INDEX(Data!I$1:I$373,$F38)),INDEX(Data!I$1:I$373,$F38),""))</f>
        <v>129</v>
      </c>
      <c r="M38" s="6">
        <f>IF($F38=0,"",IF(ISNUMBER(INDEX(Data!J$1:J$373,$F38)),INDEX(Data!J$1:J$373,$F38),""))</f>
        <v>160.4</v>
      </c>
      <c r="N38" s="6">
        <f>IF($F38=0,"",IF(ISNUMBER(INDEX(Data!K$1:K$373,$F38)),INDEX(Data!K$1:K$373,$F38),""))</f>
        <v>165.3</v>
      </c>
      <c r="O38" s="6">
        <f>IF($F38=0,"",IF(ISNUMBER(INDEX(Data!L$1:L$373,$F38)),INDEX(Data!L$1:L$373,$F38),""))</f>
        <v>92.3</v>
      </c>
      <c r="P38" s="6">
        <f>IF($F38=0,"",IF(ISNUMBER(INDEX(Data!M$1:M$373,$F38)),INDEX(Data!M$1:M$373,$F38),""))</f>
        <v>129.7</v>
      </c>
      <c r="Q38" s="6">
        <f>IF($F38=0,"",IF(ISNUMBER(INDEX(Data!N$1:N$373,$F38)),INDEX(Data!N$1:N$373,$F38),""))</f>
        <v>121.1</v>
      </c>
      <c r="R38" s="6">
        <f>IF($F38=0,"",IF(ISNUMBER(INDEX(Data!O$1:O$373,$F38)),INDEX(Data!O$1:O$373,$F38),""))</f>
        <v>133</v>
      </c>
      <c r="S38" s="6">
        <f>IF($F38=0,"",IF(ISNUMBER(INDEX(Data!P$1:P$373,$F38)),INDEX(Data!P$1:P$373,$F38),""))</f>
        <v>132.1</v>
      </c>
      <c r="T38" s="6">
        <f>IF($F38=0,"",IF(ISNUMBER(INDEX(Data!Q$1:Q$373,$F38)),INDEX(Data!Q$1:Q$373,$F38),""))</f>
        <v>132.5</v>
      </c>
      <c r="U38" s="6">
        <f>IF($F38=0,"",IF(ISNUMBER(INDEX(Data!R$1:R$373,$F38)),INDEX(Data!R$1:R$373,$F38),""))</f>
        <v>128.5</v>
      </c>
      <c r="V38" s="6">
        <f>IF($F38=0,"",IF(ISNUMBER(INDEX(Data!S$1:S$373,$F38)),INDEX(Data!S$1:S$373,$F38),""))</f>
        <v>123.8</v>
      </c>
      <c r="W38" s="6">
        <f>IF($F38=0,"",IF(ISNUMBER(INDEX(Data!T$1:T$373,$F38)),INDEX(Data!T$1:T$373,$F38),""))</f>
        <v>127.8</v>
      </c>
      <c r="X38" s="6">
        <f>IF($F38=0,"",IF(ISNUMBER(INDEX(Data!U$1:U$373,$F38)),INDEX(Data!U$1:U$373,$F38),""))</f>
        <v>122.4</v>
      </c>
      <c r="Y38" s="6">
        <f>IF($F38=0,"",IF(ISNUMBER(INDEX(Data!V$1:V$373,$F38)),INDEX(Data!V$1:V$373,$F38),""))</f>
        <v>120.8</v>
      </c>
      <c r="Z38" s="6">
        <f>IF($F38=0,"",IF(ISNUMBER(INDEX(Data!W$1:W$373,$F38)),INDEX(Data!W$1:W$373,$F38),""))</f>
        <v>123</v>
      </c>
      <c r="AA38" s="6">
        <f>IF($F38=0,"",IF(ISNUMBER(INDEX(Data!X$1:X$373,$F38)),INDEX(Data!X$1:X$373,$F38),""))</f>
        <v>120.4</v>
      </c>
      <c r="AB38" s="6">
        <f>IF($F38=0,"",IF(ISNUMBER(INDEX(Data!Y$1:Y$373,$F38)),INDEX(Data!Y$1:Y$373,$F38),""))</f>
        <v>111.4</v>
      </c>
      <c r="AC38" s="6">
        <f>IF($F38=0,"",IF(ISNUMBER(INDEX(Data!Z$1:Z$373,$F38)),INDEX(Data!Z$1:Z$373,$F38),""))</f>
        <v>118.7</v>
      </c>
      <c r="AD38" s="6">
        <f>IF($F38=0,"",IF(ISNUMBER(INDEX(Data!AA$1:AA$373,$F38)),INDEX(Data!AA$1:AA$373,$F38),""))</f>
        <v>125.9</v>
      </c>
      <c r="AE38" s="6">
        <f>IF($F38=0,"",IF(ISNUMBER(INDEX(Data!AB$1:AB$373,$F38)),INDEX(Data!AB$1:AB$373,$F38),""))</f>
        <v>113.9</v>
      </c>
      <c r="AF38" s="6">
        <f>IF($F38=0,"",IF(ISNUMBER(INDEX(Data!AC$1:AC$373,$F38)),INDEX(Data!AC$1:AC$373,$F38),""))</f>
        <v>117.9</v>
      </c>
      <c r="AG38" s="6">
        <f>IF($F38=0,"",IF(ISNUMBER(INDEX(Data!AD$1:AD$373,$F38)),INDEX(Data!AD$1:AD$373,$F38),""))</f>
        <v>126.1</v>
      </c>
    </row>
    <row r="39" spans="1:33">
      <c r="A39" s="6">
        <v>2015</v>
      </c>
      <c r="B39" s="6">
        <v>11</v>
      </c>
      <c r="C39" s="6" t="s">
        <v>62</v>
      </c>
      <c r="D39" s="9">
        <f t="shared" si="0"/>
        <v>42309</v>
      </c>
      <c r="E39" s="6" t="str">
        <f t="shared" si="1"/>
        <v>Rural+Urban|2015|November</v>
      </c>
      <c r="F39" s="6">
        <f>IFERROR(MATCH(E39,Data!$AE$1:$AE$373,0),0)</f>
        <v>106</v>
      </c>
      <c r="G39" s="6">
        <f>IF($F39=0,"",IF(ISNUMBER(INDEX(Data!D$1:D$373,$F39)),INDEX(Data!D$1:D$373,$F39),""))</f>
        <v>125.4</v>
      </c>
      <c r="H39" s="6">
        <f>IF($F39=0,"",IF(ISNUMBER(INDEX(Data!E$1:E$373,$F39)),INDEX(Data!E$1:E$373,$F39),""))</f>
        <v>130.3</v>
      </c>
      <c r="I39" s="6">
        <f>IF($F39=0,"",IF(ISNUMBER(INDEX(Data!F$1:F$373,$F39)),INDEX(Data!F$1:F$373,$F39),""))</f>
        <v>121.6</v>
      </c>
      <c r="J39" s="6">
        <f>IF($F39=0,"",IF(ISNUMBER(INDEX(Data!G$1:G$373,$F39)),INDEX(Data!G$1:G$373,$F39),""))</f>
        <v>129.2</v>
      </c>
      <c r="K39" s="6">
        <f>IF($F39=0,"",IF(ISNUMBER(INDEX(Data!H$1:H$373,$F39)),INDEX(Data!H$1:H$373,$F39),""))</f>
        <v>114.9</v>
      </c>
      <c r="L39" s="6">
        <f>IF($F39=0,"",IF(ISNUMBER(INDEX(Data!I$1:I$373,$F39)),INDEX(Data!I$1:I$373,$F39),""))</f>
        <v>128.2</v>
      </c>
      <c r="M39" s="6">
        <f>IF($F39=0,"",IF(ISNUMBER(INDEX(Data!J$1:J$373,$F39)),INDEX(Data!J$1:J$373,$F39),""))</f>
        <v>158.4</v>
      </c>
      <c r="N39" s="6">
        <f>IF($F39=0,"",IF(ISNUMBER(INDEX(Data!K$1:K$373,$F39)),INDEX(Data!K$1:K$373,$F39),""))</f>
        <v>171.2</v>
      </c>
      <c r="O39" s="6">
        <f>IF($F39=0,"",IF(ISNUMBER(INDEX(Data!L$1:L$373,$F39)),INDEX(Data!L$1:L$373,$F39),""))</f>
        <v>93.3</v>
      </c>
      <c r="P39" s="6">
        <f>IF($F39=0,"",IF(ISNUMBER(INDEX(Data!M$1:M$373,$F39)),INDEX(Data!M$1:M$373,$F39),""))</f>
        <v>131.2</v>
      </c>
      <c r="Q39" s="6">
        <f>IF($F39=0,"",IF(ISNUMBER(INDEX(Data!N$1:N$373,$F39)),INDEX(Data!N$1:N$373,$F39),""))</f>
        <v>121.7</v>
      </c>
      <c r="R39" s="6">
        <f>IF($F39=0,"",IF(ISNUMBER(INDEX(Data!O$1:O$373,$F39)),INDEX(Data!O$1:O$373,$F39),""))</f>
        <v>134</v>
      </c>
      <c r="S39" s="6">
        <f>IF($F39=0,"",IF(ISNUMBER(INDEX(Data!P$1:P$373,$F39)),INDEX(Data!P$1:P$373,$F39),""))</f>
        <v>132.7</v>
      </c>
      <c r="T39" s="6">
        <f>IF($F39=0,"",IF(ISNUMBER(INDEX(Data!Q$1:Q$373,$F39)),INDEX(Data!Q$1:Q$373,$F39),""))</f>
        <v>133.6</v>
      </c>
      <c r="U39" s="6">
        <f>IF($F39=0,"",IF(ISNUMBER(INDEX(Data!R$1:R$373,$F39)),INDEX(Data!R$1:R$373,$F39),""))</f>
        <v>129.3</v>
      </c>
      <c r="V39" s="6">
        <f>IF($F39=0,"",IF(ISNUMBER(INDEX(Data!S$1:S$373,$F39)),INDEX(Data!S$1:S$373,$F39),""))</f>
        <v>124.5</v>
      </c>
      <c r="W39" s="6">
        <f>IF($F39=0,"",IF(ISNUMBER(INDEX(Data!T$1:T$373,$F39)),INDEX(Data!T$1:T$373,$F39),""))</f>
        <v>128.6</v>
      </c>
      <c r="X39" s="6">
        <f>IF($F39=0,"",IF(ISNUMBER(INDEX(Data!U$1:U$373,$F39)),INDEX(Data!U$1:U$373,$F39),""))</f>
        <v>122.9</v>
      </c>
      <c r="Y39" s="6">
        <f>IF($F39=0,"",IF(ISNUMBER(INDEX(Data!V$1:V$373,$F39)),INDEX(Data!V$1:V$373,$F39),""))</f>
        <v>121.6</v>
      </c>
      <c r="Z39" s="6">
        <f>IF($F39=0,"",IF(ISNUMBER(INDEX(Data!W$1:W$373,$F39)),INDEX(Data!W$1:W$373,$F39),""))</f>
        <v>123.4</v>
      </c>
      <c r="AA39" s="6">
        <f>IF($F39=0,"",IF(ISNUMBER(INDEX(Data!X$1:X$373,$F39)),INDEX(Data!X$1:X$373,$F39),""))</f>
        <v>120.9</v>
      </c>
      <c r="AB39" s="6">
        <f>IF($F39=0,"",IF(ISNUMBER(INDEX(Data!Y$1:Y$373,$F39)),INDEX(Data!Y$1:Y$373,$F39),""))</f>
        <v>111.5</v>
      </c>
      <c r="AC39" s="6">
        <f>IF($F39=0,"",IF(ISNUMBER(INDEX(Data!Z$1:Z$373,$F39)),INDEX(Data!Z$1:Z$373,$F39),""))</f>
        <v>119.2</v>
      </c>
      <c r="AD39" s="6">
        <f>IF($F39=0,"",IF(ISNUMBER(INDEX(Data!AA$1:AA$373,$F39)),INDEX(Data!AA$1:AA$373,$F39),""))</f>
        <v>126.3</v>
      </c>
      <c r="AE39" s="6">
        <f>IF($F39=0,"",IF(ISNUMBER(INDEX(Data!AB$1:AB$373,$F39)),INDEX(Data!AB$1:AB$373,$F39),""))</f>
        <v>113.8</v>
      </c>
      <c r="AF39" s="6">
        <f>IF($F39=0,"",IF(ISNUMBER(INDEX(Data!AC$1:AC$373,$F39)),INDEX(Data!AC$1:AC$373,$F39),""))</f>
        <v>118.1</v>
      </c>
      <c r="AG39" s="6">
        <f>IF($F39=0,"",IF(ISNUMBER(INDEX(Data!AD$1:AD$373,$F39)),INDEX(Data!AD$1:AD$373,$F39),""))</f>
        <v>126.6</v>
      </c>
    </row>
    <row r="40" spans="1:33">
      <c r="A40" s="6">
        <v>2015</v>
      </c>
      <c r="B40" s="6">
        <v>12</v>
      </c>
      <c r="C40" s="6" t="s">
        <v>63</v>
      </c>
      <c r="D40" s="9">
        <f t="shared" si="0"/>
        <v>42339</v>
      </c>
      <c r="E40" s="6" t="str">
        <f t="shared" si="1"/>
        <v>Rural+Urban|2015|December</v>
      </c>
      <c r="F40" s="6">
        <f>IFERROR(MATCH(E40,Data!$AE$1:$AE$373,0),0)</f>
        <v>109</v>
      </c>
      <c r="G40" s="6">
        <f>IF($F40=0,"",IF(ISNUMBER(INDEX(Data!D$1:D$373,$F40)),INDEX(Data!D$1:D$373,$F40),""))</f>
        <v>125.7</v>
      </c>
      <c r="H40" s="6">
        <f>IF($F40=0,"",IF(ISNUMBER(INDEX(Data!E$1:E$373,$F40)),INDEX(Data!E$1:E$373,$F40),""))</f>
        <v>131.4</v>
      </c>
      <c r="I40" s="6">
        <f>IF($F40=0,"",IF(ISNUMBER(INDEX(Data!F$1:F$373,$F40)),INDEX(Data!F$1:F$373,$F40),""))</f>
        <v>124.8</v>
      </c>
      <c r="J40" s="6">
        <f>IF($F40=0,"",IF(ISNUMBER(INDEX(Data!G$1:G$373,$F40)),INDEX(Data!G$1:G$373,$F40),""))</f>
        <v>129.4</v>
      </c>
      <c r="K40" s="6">
        <f>IF($F40=0,"",IF(ISNUMBER(INDEX(Data!H$1:H$373,$F40)),INDEX(Data!H$1:H$373,$F40),""))</f>
        <v>115.3</v>
      </c>
      <c r="L40" s="6">
        <f>IF($F40=0,"",IF(ISNUMBER(INDEX(Data!I$1:I$373,$F40)),INDEX(Data!I$1:I$373,$F40),""))</f>
        <v>126.6</v>
      </c>
      <c r="M40" s="6">
        <f>IF($F40=0,"",IF(ISNUMBER(INDEX(Data!J$1:J$373,$F40)),INDEX(Data!J$1:J$373,$F40),""))</f>
        <v>146.7</v>
      </c>
      <c r="N40" s="6">
        <f>IF($F40=0,"",IF(ISNUMBER(INDEX(Data!K$1:K$373,$F40)),INDEX(Data!K$1:K$373,$F40),""))</f>
        <v>171.5</v>
      </c>
      <c r="O40" s="6">
        <f>IF($F40=0,"",IF(ISNUMBER(INDEX(Data!L$1:L$373,$F40)),INDEX(Data!L$1:L$373,$F40),""))</f>
        <v>94.5</v>
      </c>
      <c r="P40" s="6">
        <f>IF($F40=0,"",IF(ISNUMBER(INDEX(Data!M$1:M$373,$F40)),INDEX(Data!M$1:M$373,$F40),""))</f>
        <v>132.1</v>
      </c>
      <c r="Q40" s="6">
        <f>IF($F40=0,"",IF(ISNUMBER(INDEX(Data!N$1:N$373,$F40)),INDEX(Data!N$1:N$373,$F40),""))</f>
        <v>122</v>
      </c>
      <c r="R40" s="6">
        <f>IF($F40=0,"",IF(ISNUMBER(INDEX(Data!O$1:O$373,$F40)),INDEX(Data!O$1:O$373,$F40),""))</f>
        <v>134.7</v>
      </c>
      <c r="S40" s="6">
        <f>IF($F40=0,"",IF(ISNUMBER(INDEX(Data!P$1:P$373,$F40)),INDEX(Data!P$1:P$373,$F40),""))</f>
        <v>131.4</v>
      </c>
      <c r="T40" s="6">
        <f>IF($F40=0,"",IF(ISNUMBER(INDEX(Data!Q$1:Q$373,$F40)),INDEX(Data!Q$1:Q$373,$F40),""))</f>
        <v>134.5</v>
      </c>
      <c r="U40" s="6">
        <f>IF($F40=0,"",IF(ISNUMBER(INDEX(Data!R$1:R$373,$F40)),INDEX(Data!R$1:R$373,$F40),""))</f>
        <v>129.7</v>
      </c>
      <c r="V40" s="6">
        <f>IF($F40=0,"",IF(ISNUMBER(INDEX(Data!S$1:S$373,$F40)),INDEX(Data!S$1:S$373,$F40),""))</f>
        <v>124.8</v>
      </c>
      <c r="W40" s="6">
        <f>IF($F40=0,"",IF(ISNUMBER(INDEX(Data!T$1:T$373,$F40)),INDEX(Data!T$1:T$373,$F40),""))</f>
        <v>129</v>
      </c>
      <c r="X40" s="6">
        <f>IF($F40=0,"",IF(ISNUMBER(INDEX(Data!U$1:U$373,$F40)),INDEX(Data!U$1:U$373,$F40),""))</f>
        <v>122.4</v>
      </c>
      <c r="Y40" s="6">
        <f>IF($F40=0,"",IF(ISNUMBER(INDEX(Data!V$1:V$373,$F40)),INDEX(Data!V$1:V$373,$F40),""))</f>
        <v>122</v>
      </c>
      <c r="Z40" s="6">
        <f>IF($F40=0,"",IF(ISNUMBER(INDEX(Data!W$1:W$373,$F40)),INDEX(Data!W$1:W$373,$F40),""))</f>
        <v>123.6</v>
      </c>
      <c r="AA40" s="6">
        <f>IF($F40=0,"",IF(ISNUMBER(INDEX(Data!X$1:X$373,$F40)),INDEX(Data!X$1:X$373,$F40),""))</f>
        <v>121.4</v>
      </c>
      <c r="AB40" s="6">
        <f>IF($F40=0,"",IF(ISNUMBER(INDEX(Data!Y$1:Y$373,$F40)),INDEX(Data!Y$1:Y$373,$F40),""))</f>
        <v>111.5</v>
      </c>
      <c r="AC40" s="6">
        <f>IF($F40=0,"",IF(ISNUMBER(INDEX(Data!Z$1:Z$373,$F40)),INDEX(Data!Z$1:Z$373,$F40),""))</f>
        <v>119.6</v>
      </c>
      <c r="AD40" s="6">
        <f>IF($F40=0,"",IF(ISNUMBER(INDEX(Data!AA$1:AA$373,$F40)),INDEX(Data!AA$1:AA$373,$F40),""))</f>
        <v>126.2</v>
      </c>
      <c r="AE40" s="6">
        <f>IF($F40=0,"",IF(ISNUMBER(INDEX(Data!AB$1:AB$373,$F40)),INDEX(Data!AB$1:AB$373,$F40),""))</f>
        <v>113.7</v>
      </c>
      <c r="AF40" s="6">
        <f>IF($F40=0,"",IF(ISNUMBER(INDEX(Data!AC$1:AC$373,$F40)),INDEX(Data!AC$1:AC$373,$F40),""))</f>
        <v>118.3</v>
      </c>
      <c r="AG40" s="6">
        <f>IF($F40=0,"",IF(ISNUMBER(INDEX(Data!AD$1:AD$373,$F40)),INDEX(Data!AD$1:AD$373,$F40),""))</f>
        <v>126.1</v>
      </c>
    </row>
    <row r="41" spans="1:33">
      <c r="A41" s="6">
        <v>2016</v>
      </c>
      <c r="B41" s="6">
        <v>1</v>
      </c>
      <c r="C41" s="6" t="s">
        <v>50</v>
      </c>
      <c r="D41" s="9">
        <f t="shared" si="0"/>
        <v>42370</v>
      </c>
      <c r="E41" s="6" t="str">
        <f t="shared" si="1"/>
        <v>Rural+Urban|2016|January</v>
      </c>
      <c r="F41" s="6">
        <f>IFERROR(MATCH(E41,Data!$AE$1:$AE$373,0),0)</f>
        <v>112</v>
      </c>
      <c r="G41" s="6">
        <f>IF($F41=0,"",IF(ISNUMBER(INDEX(Data!D$1:D$373,$F41)),INDEX(Data!D$1:D$373,$F41),""))</f>
        <v>126.1</v>
      </c>
      <c r="H41" s="6">
        <f>IF($F41=0,"",IF(ISNUMBER(INDEX(Data!E$1:E$373,$F41)),INDEX(Data!E$1:E$373,$F41),""))</f>
        <v>134.1</v>
      </c>
      <c r="I41" s="6">
        <f>IF($F41=0,"",IF(ISNUMBER(INDEX(Data!F$1:F$373,$F41)),INDEX(Data!F$1:F$373,$F41),""))</f>
        <v>128.6</v>
      </c>
      <c r="J41" s="6">
        <f>IF($F41=0,"",IF(ISNUMBER(INDEX(Data!G$1:G$373,$F41)),INDEX(Data!G$1:G$373,$F41),""))</f>
        <v>129.9</v>
      </c>
      <c r="K41" s="6">
        <f>IF($F41=0,"",IF(ISNUMBER(INDEX(Data!H$1:H$373,$F41)),INDEX(Data!H$1:H$373,$F41),""))</f>
        <v>115.5</v>
      </c>
      <c r="L41" s="6">
        <f>IF($F41=0,"",IF(ISNUMBER(INDEX(Data!I$1:I$373,$F41)),INDEX(Data!I$1:I$373,$F41),""))</f>
        <v>125.7</v>
      </c>
      <c r="M41" s="6">
        <f>IF($F41=0,"",IF(ISNUMBER(INDEX(Data!J$1:J$373,$F41)),INDEX(Data!J$1:J$373,$F41),""))</f>
        <v>141.5</v>
      </c>
      <c r="N41" s="6">
        <f>IF($F41=0,"",IF(ISNUMBER(INDEX(Data!K$1:K$373,$F41)),INDEX(Data!K$1:K$373,$F41),""))</f>
        <v>170.7</v>
      </c>
      <c r="O41" s="6">
        <f>IF($F41=0,"",IF(ISNUMBER(INDEX(Data!L$1:L$373,$F41)),INDEX(Data!L$1:L$373,$F41),""))</f>
        <v>97.4</v>
      </c>
      <c r="P41" s="6">
        <f>IF($F41=0,"",IF(ISNUMBER(INDEX(Data!M$1:M$373,$F41)),INDEX(Data!M$1:M$373,$F41),""))</f>
        <v>132.9</v>
      </c>
      <c r="Q41" s="6">
        <f>IF($F41=0,"",IF(ISNUMBER(INDEX(Data!N$1:N$373,$F41)),INDEX(Data!N$1:N$373,$F41),""))</f>
        <v>122.7</v>
      </c>
      <c r="R41" s="6">
        <f>IF($F41=0,"",IF(ISNUMBER(INDEX(Data!O$1:O$373,$F41)),INDEX(Data!O$1:O$373,$F41),""))</f>
        <v>135.3</v>
      </c>
      <c r="S41" s="6">
        <f>IF($F41=0,"",IF(ISNUMBER(INDEX(Data!P$1:P$373,$F41)),INDEX(Data!P$1:P$373,$F41),""))</f>
        <v>131.3</v>
      </c>
      <c r="T41" s="6">
        <f>IF($F41=0,"",IF(ISNUMBER(INDEX(Data!Q$1:Q$373,$F41)),INDEX(Data!Q$1:Q$373,$F41),""))</f>
        <v>135.2</v>
      </c>
      <c r="U41" s="6">
        <f>IF($F41=0,"",IF(ISNUMBER(INDEX(Data!R$1:R$373,$F41)),INDEX(Data!R$1:R$373,$F41),""))</f>
        <v>130.3</v>
      </c>
      <c r="V41" s="6">
        <f>IF($F41=0,"",IF(ISNUMBER(INDEX(Data!S$1:S$373,$F41)),INDEX(Data!S$1:S$373,$F41),""))</f>
        <v>125.1</v>
      </c>
      <c r="W41" s="6">
        <f>IF($F41=0,"",IF(ISNUMBER(INDEX(Data!T$1:T$373,$F41)),INDEX(Data!T$1:T$373,$F41),""))</f>
        <v>129.5</v>
      </c>
      <c r="X41" s="6">
        <f>IF($F41=0,"",IF(ISNUMBER(INDEX(Data!U$1:U$373,$F41)),INDEX(Data!U$1:U$373,$F41),""))</f>
        <v>123.4</v>
      </c>
      <c r="Y41" s="6">
        <f>IF($F41=0,"",IF(ISNUMBER(INDEX(Data!V$1:V$373,$F41)),INDEX(Data!V$1:V$373,$F41),""))</f>
        <v>122.7</v>
      </c>
      <c r="Z41" s="6">
        <f>IF($F41=0,"",IF(ISNUMBER(INDEX(Data!W$1:W$373,$F41)),INDEX(Data!W$1:W$373,$F41),""))</f>
        <v>124.2</v>
      </c>
      <c r="AA41" s="6">
        <f>IF($F41=0,"",IF(ISNUMBER(INDEX(Data!X$1:X$373,$F41)),INDEX(Data!X$1:X$373,$F41),""))</f>
        <v>122</v>
      </c>
      <c r="AB41" s="6">
        <f>IF($F41=0,"",IF(ISNUMBER(INDEX(Data!Y$1:Y$373,$F41)),INDEX(Data!Y$1:Y$373,$F41),""))</f>
        <v>111.1</v>
      </c>
      <c r="AC41" s="6">
        <f>IF($F41=0,"",IF(ISNUMBER(INDEX(Data!Z$1:Z$373,$F41)),INDEX(Data!Z$1:Z$373,$F41),""))</f>
        <v>119.8</v>
      </c>
      <c r="AD41" s="6">
        <f>IF($F41=0,"",IF(ISNUMBER(INDEX(Data!AA$1:AA$373,$F41)),INDEX(Data!AA$1:AA$373,$F41),""))</f>
        <v>126.3</v>
      </c>
      <c r="AE41" s="6">
        <f>IF($F41=0,"",IF(ISNUMBER(INDEX(Data!AB$1:AB$373,$F41)),INDEX(Data!AB$1:AB$373,$F41),""))</f>
        <v>114.5</v>
      </c>
      <c r="AF41" s="6">
        <f>IF($F41=0,"",IF(ISNUMBER(INDEX(Data!AC$1:AC$373,$F41)),INDEX(Data!AC$1:AC$373,$F41),""))</f>
        <v>118.5</v>
      </c>
      <c r="AG41" s="6">
        <f>IF($F41=0,"",IF(ISNUMBER(INDEX(Data!AD$1:AD$373,$F41)),INDEX(Data!AD$1:AD$373,$F41),""))</f>
        <v>126.3</v>
      </c>
    </row>
    <row r="42" spans="1:33">
      <c r="A42" s="6">
        <v>2016</v>
      </c>
      <c r="B42" s="6">
        <v>2</v>
      </c>
      <c r="C42" s="6" t="s">
        <v>53</v>
      </c>
      <c r="D42" s="9">
        <f t="shared" si="0"/>
        <v>42401</v>
      </c>
      <c r="E42" s="6" t="str">
        <f t="shared" si="1"/>
        <v>Rural+Urban|2016|February</v>
      </c>
      <c r="F42" s="6">
        <f>IFERROR(MATCH(E42,Data!$AE$1:$AE$373,0),0)</f>
        <v>115</v>
      </c>
      <c r="G42" s="6">
        <f>IF($F42=0,"",IF(ISNUMBER(INDEX(Data!D$1:D$373,$F42)),INDEX(Data!D$1:D$373,$F42),""))</f>
        <v>126.4</v>
      </c>
      <c r="H42" s="6">
        <f>IF($F42=0,"",IF(ISNUMBER(INDEX(Data!E$1:E$373,$F42)),INDEX(Data!E$1:E$373,$F42),""))</f>
        <v>134.2</v>
      </c>
      <c r="I42" s="6">
        <f>IF($F42=0,"",IF(ISNUMBER(INDEX(Data!F$1:F$373,$F42)),INDEX(Data!F$1:F$373,$F42),""))</f>
        <v>128.7</v>
      </c>
      <c r="J42" s="6">
        <f>IF($F42=0,"",IF(ISNUMBER(INDEX(Data!G$1:G$373,$F42)),INDEX(Data!G$1:G$373,$F42),""))</f>
        <v>130.3</v>
      </c>
      <c r="K42" s="6">
        <f>IF($F42=0,"",IF(ISNUMBER(INDEX(Data!H$1:H$373,$F42)),INDEX(Data!H$1:H$373,$F42),""))</f>
        <v>114.8</v>
      </c>
      <c r="L42" s="6">
        <f>IF($F42=0,"",IF(ISNUMBER(INDEX(Data!I$1:I$373,$F42)),INDEX(Data!I$1:I$373,$F42),""))</f>
        <v>124.9</v>
      </c>
      <c r="M42" s="6">
        <f>IF($F42=0,"",IF(ISNUMBER(INDEX(Data!J$1:J$373,$F42)),INDEX(Data!J$1:J$373,$F42),""))</f>
        <v>130.3</v>
      </c>
      <c r="N42" s="6">
        <f>IF($F42=0,"",IF(ISNUMBER(INDEX(Data!K$1:K$373,$F42)),INDEX(Data!K$1:K$373,$F42),""))</f>
        <v>167.4</v>
      </c>
      <c r="O42" s="6">
        <f>IF($F42=0,"",IF(ISNUMBER(INDEX(Data!L$1:L$373,$F42)),INDEX(Data!L$1:L$373,$F42),""))</f>
        <v>98.8</v>
      </c>
      <c r="P42" s="6">
        <f>IF($F42=0,"",IF(ISNUMBER(INDEX(Data!M$1:M$373,$F42)),INDEX(Data!M$1:M$373,$F42),""))</f>
        <v>133.6</v>
      </c>
      <c r="Q42" s="6">
        <f>IF($F42=0,"",IF(ISNUMBER(INDEX(Data!N$1:N$373,$F42)),INDEX(Data!N$1:N$373,$F42),""))</f>
        <v>123</v>
      </c>
      <c r="R42" s="6">
        <f>IF($F42=0,"",IF(ISNUMBER(INDEX(Data!O$1:O$373,$F42)),INDEX(Data!O$1:O$373,$F42),""))</f>
        <v>135.8</v>
      </c>
      <c r="S42" s="6">
        <f>IF($F42=0,"",IF(ISNUMBER(INDEX(Data!P$1:P$373,$F42)),INDEX(Data!P$1:P$373,$F42),""))</f>
        <v>129.9</v>
      </c>
      <c r="T42" s="6">
        <f>IF($F42=0,"",IF(ISNUMBER(INDEX(Data!Q$1:Q$373,$F42)),INDEX(Data!Q$1:Q$373,$F42),""))</f>
        <v>135.9</v>
      </c>
      <c r="U42" s="6">
        <f>IF($F42=0,"",IF(ISNUMBER(INDEX(Data!R$1:R$373,$F42)),INDEX(Data!R$1:R$373,$F42),""))</f>
        <v>130.9</v>
      </c>
      <c r="V42" s="6">
        <f>IF($F42=0,"",IF(ISNUMBER(INDEX(Data!S$1:S$373,$F42)),INDEX(Data!S$1:S$373,$F42),""))</f>
        <v>125.8</v>
      </c>
      <c r="W42" s="6">
        <f>IF($F42=0,"",IF(ISNUMBER(INDEX(Data!T$1:T$373,$F42)),INDEX(Data!T$1:T$373,$F42),""))</f>
        <v>130.2</v>
      </c>
      <c r="X42" s="6">
        <f>IF($F42=0,"",IF(ISNUMBER(INDEX(Data!U$1:U$373,$F42)),INDEX(Data!U$1:U$373,$F42),""))</f>
        <v>124.4</v>
      </c>
      <c r="Y42" s="6">
        <f>IF($F42=0,"",IF(ISNUMBER(INDEX(Data!V$1:V$373,$F42)),INDEX(Data!V$1:V$373,$F42),""))</f>
        <v>123.1</v>
      </c>
      <c r="Z42" s="6">
        <f>IF($F42=0,"",IF(ISNUMBER(INDEX(Data!W$1:W$373,$F42)),INDEX(Data!W$1:W$373,$F42),""))</f>
        <v>124.6</v>
      </c>
      <c r="AA42" s="6">
        <f>IF($F42=0,"",IF(ISNUMBER(INDEX(Data!X$1:X$373,$F42)),INDEX(Data!X$1:X$373,$F42),""))</f>
        <v>122.5</v>
      </c>
      <c r="AB42" s="6">
        <f>IF($F42=0,"",IF(ISNUMBER(INDEX(Data!Y$1:Y$373,$F42)),INDEX(Data!Y$1:Y$373,$F42),""))</f>
        <v>111.4</v>
      </c>
      <c r="AC42" s="6">
        <f>IF($F42=0,"",IF(ISNUMBER(INDEX(Data!Z$1:Z$373,$F42)),INDEX(Data!Z$1:Z$373,$F42),""))</f>
        <v>120.3</v>
      </c>
      <c r="AD42" s="6">
        <f>IF($F42=0,"",IF(ISNUMBER(INDEX(Data!AA$1:AA$373,$F42)),INDEX(Data!AA$1:AA$373,$F42),""))</f>
        <v>126.6</v>
      </c>
      <c r="AE42" s="6">
        <f>IF($F42=0,"",IF(ISNUMBER(INDEX(Data!AB$1:AB$373,$F42)),INDEX(Data!AB$1:AB$373,$F42),""))</f>
        <v>116.6</v>
      </c>
      <c r="AF42" s="6">
        <f>IF($F42=0,"",IF(ISNUMBER(INDEX(Data!AC$1:AC$373,$F42)),INDEX(Data!AC$1:AC$373,$F42),""))</f>
        <v>119.1</v>
      </c>
      <c r="AG42" s="6">
        <f>IF($F42=0,"",IF(ISNUMBER(INDEX(Data!AD$1:AD$373,$F42)),INDEX(Data!AD$1:AD$373,$F42),""))</f>
        <v>126</v>
      </c>
    </row>
    <row r="43" spans="1:33">
      <c r="A43" s="6">
        <v>2016</v>
      </c>
      <c r="B43" s="6">
        <v>3</v>
      </c>
      <c r="C43" s="6" t="s">
        <v>54</v>
      </c>
      <c r="D43" s="9">
        <f t="shared" si="0"/>
        <v>42430</v>
      </c>
      <c r="E43" s="6" t="str">
        <f t="shared" si="1"/>
        <v>Rural+Urban|2016|March</v>
      </c>
      <c r="F43" s="6">
        <f>IFERROR(MATCH(E43,Data!$AE$1:$AE$373,0),0)</f>
        <v>118</v>
      </c>
      <c r="G43" s="6">
        <f>IF($F43=0,"",IF(ISNUMBER(INDEX(Data!D$1:D$373,$F43)),INDEX(Data!D$1:D$373,$F43),""))</f>
        <v>126.5</v>
      </c>
      <c r="H43" s="6">
        <f>IF($F43=0,"",IF(ISNUMBER(INDEX(Data!E$1:E$373,$F43)),INDEX(Data!E$1:E$373,$F43),""))</f>
        <v>135.1</v>
      </c>
      <c r="I43" s="6">
        <f>IF($F43=0,"",IF(ISNUMBER(INDEX(Data!F$1:F$373,$F43)),INDEX(Data!F$1:F$373,$F43),""))</f>
        <v>124.6</v>
      </c>
      <c r="J43" s="6">
        <f>IF($F43=0,"",IF(ISNUMBER(INDEX(Data!G$1:G$373,$F43)),INDEX(Data!G$1:G$373,$F43),""))</f>
        <v>130.2</v>
      </c>
      <c r="K43" s="6">
        <f>IF($F43=0,"",IF(ISNUMBER(INDEX(Data!H$1:H$373,$F43)),INDEX(Data!H$1:H$373,$F43),""))</f>
        <v>114.5</v>
      </c>
      <c r="L43" s="6">
        <f>IF($F43=0,"",IF(ISNUMBER(INDEX(Data!I$1:I$373,$F43)),INDEX(Data!I$1:I$373,$F43),""))</f>
        <v>126.2</v>
      </c>
      <c r="M43" s="6">
        <f>IF($F43=0,"",IF(ISNUMBER(INDEX(Data!J$1:J$373,$F43)),INDEX(Data!J$1:J$373,$F43),""))</f>
        <v>129.8</v>
      </c>
      <c r="N43" s="6">
        <f>IF($F43=0,"",IF(ISNUMBER(INDEX(Data!K$1:K$373,$F43)),INDEX(Data!K$1:K$373,$F43),""))</f>
        <v>164.3</v>
      </c>
      <c r="O43" s="6">
        <f>IF($F43=0,"",IF(ISNUMBER(INDEX(Data!L$1:L$373,$F43)),INDEX(Data!L$1:L$373,$F43),""))</f>
        <v>100.9</v>
      </c>
      <c r="P43" s="6">
        <f>IF($F43=0,"",IF(ISNUMBER(INDEX(Data!M$1:M$373,$F43)),INDEX(Data!M$1:M$373,$F43),""))</f>
        <v>133.9</v>
      </c>
      <c r="Q43" s="6">
        <f>IF($F43=0,"",IF(ISNUMBER(INDEX(Data!N$1:N$373,$F43)),INDEX(Data!N$1:N$373,$F43),""))</f>
        <v>123.1</v>
      </c>
      <c r="R43" s="6">
        <f>IF($F43=0,"",IF(ISNUMBER(INDEX(Data!O$1:O$373,$F43)),INDEX(Data!O$1:O$373,$F43),""))</f>
        <v>136.3</v>
      </c>
      <c r="S43" s="6">
        <f>IF($F43=0,"",IF(ISNUMBER(INDEX(Data!P$1:P$373,$F43)),INDEX(Data!P$1:P$373,$F43),""))</f>
        <v>129.8</v>
      </c>
      <c r="T43" s="6">
        <f>IF($F43=0,"",IF(ISNUMBER(INDEX(Data!Q$1:Q$373,$F43)),INDEX(Data!Q$1:Q$373,$F43),""))</f>
        <v>136.5</v>
      </c>
      <c r="U43" s="6">
        <f>IF($F43=0,"",IF(ISNUMBER(INDEX(Data!R$1:R$373,$F43)),INDEX(Data!R$1:R$373,$F43),""))</f>
        <v>131.3</v>
      </c>
      <c r="V43" s="6">
        <f>IF($F43=0,"",IF(ISNUMBER(INDEX(Data!S$1:S$373,$F43)),INDEX(Data!S$1:S$373,$F43),""))</f>
        <v>126.1</v>
      </c>
      <c r="W43" s="6">
        <f>IF($F43=0,"",IF(ISNUMBER(INDEX(Data!T$1:T$373,$F43)),INDEX(Data!T$1:T$373,$F43),""))</f>
        <v>130.5</v>
      </c>
      <c r="X43" s="6">
        <f>IF($F43=0,"",IF(ISNUMBER(INDEX(Data!U$1:U$373,$F43)),INDEX(Data!U$1:U$373,$F43),""))</f>
        <v>124.9</v>
      </c>
      <c r="Y43" s="6">
        <f>IF($F43=0,"",IF(ISNUMBER(INDEX(Data!V$1:V$373,$F43)),INDEX(Data!V$1:V$373,$F43),""))</f>
        <v>122.4</v>
      </c>
      <c r="Z43" s="6">
        <f>IF($F43=0,"",IF(ISNUMBER(INDEX(Data!W$1:W$373,$F43)),INDEX(Data!W$1:W$373,$F43),""))</f>
        <v>125.1</v>
      </c>
      <c r="AA43" s="6">
        <f>IF($F43=0,"",IF(ISNUMBER(INDEX(Data!X$1:X$373,$F43)),INDEX(Data!X$1:X$373,$F43),""))</f>
        <v>122.9</v>
      </c>
      <c r="AB43" s="6">
        <f>IF($F43=0,"",IF(ISNUMBER(INDEX(Data!Y$1:Y$373,$F43)),INDEX(Data!Y$1:Y$373,$F43),""))</f>
        <v>110.9</v>
      </c>
      <c r="AC43" s="6">
        <f>IF($F43=0,"",IF(ISNUMBER(INDEX(Data!Z$1:Z$373,$F43)),INDEX(Data!Z$1:Z$373,$F43),""))</f>
        <v>120.6</v>
      </c>
      <c r="AD43" s="6">
        <f>IF($F43=0,"",IF(ISNUMBER(INDEX(Data!AA$1:AA$373,$F43)),INDEX(Data!AA$1:AA$373,$F43),""))</f>
        <v>126.9</v>
      </c>
      <c r="AE43" s="6">
        <f>IF($F43=0,"",IF(ISNUMBER(INDEX(Data!AB$1:AB$373,$F43)),INDEX(Data!AB$1:AB$373,$F43),""))</f>
        <v>117.3</v>
      </c>
      <c r="AF43" s="6">
        <f>IF($F43=0,"",IF(ISNUMBER(INDEX(Data!AC$1:AC$373,$F43)),INDEX(Data!AC$1:AC$373,$F43),""))</f>
        <v>119.3</v>
      </c>
      <c r="AG43" s="6">
        <f>IF($F43=0,"",IF(ISNUMBER(INDEX(Data!AD$1:AD$373,$F43)),INDEX(Data!AD$1:AD$373,$F43),""))</f>
        <v>126</v>
      </c>
    </row>
    <row r="44" spans="1:33">
      <c r="A44" s="6">
        <v>2016</v>
      </c>
      <c r="B44" s="6">
        <v>4</v>
      </c>
      <c r="C44" s="6" t="s">
        <v>55</v>
      </c>
      <c r="D44" s="9">
        <f t="shared" si="0"/>
        <v>42461</v>
      </c>
      <c r="E44" s="6" t="str">
        <f t="shared" si="1"/>
        <v>Rural+Urban|2016|April</v>
      </c>
      <c r="F44" s="6">
        <f>IFERROR(MATCH(E44,Data!$AE$1:$AE$373,0),0)</f>
        <v>121</v>
      </c>
      <c r="G44" s="6">
        <f>IF($F44=0,"",IF(ISNUMBER(INDEX(Data!D$1:D$373,$F44)),INDEX(Data!D$1:D$373,$F44),""))</f>
        <v>126.6</v>
      </c>
      <c r="H44" s="6">
        <f>IF($F44=0,"",IF(ISNUMBER(INDEX(Data!E$1:E$373,$F44)),INDEX(Data!E$1:E$373,$F44),""))</f>
        <v>136.8</v>
      </c>
      <c r="I44" s="6">
        <f>IF($F44=0,"",IF(ISNUMBER(INDEX(Data!F$1:F$373,$F44)),INDEX(Data!F$1:F$373,$F44),""))</f>
        <v>122</v>
      </c>
      <c r="J44" s="6">
        <f>IF($F44=0,"",IF(ISNUMBER(INDEX(Data!G$1:G$373,$F44)),INDEX(Data!G$1:G$373,$F44),""))</f>
        <v>130.9</v>
      </c>
      <c r="K44" s="6">
        <f>IF($F44=0,"",IF(ISNUMBER(INDEX(Data!H$1:H$373,$F44)),INDEX(Data!H$1:H$373,$F44),""))</f>
        <v>114.8</v>
      </c>
      <c r="L44" s="6">
        <f>IF($F44=0,"",IF(ISNUMBER(INDEX(Data!I$1:I$373,$F44)),INDEX(Data!I$1:I$373,$F44),""))</f>
        <v>134.8</v>
      </c>
      <c r="M44" s="6">
        <f>IF($F44=0,"",IF(ISNUMBER(INDEX(Data!J$1:J$373,$F44)),INDEX(Data!J$1:J$373,$F44),""))</f>
        <v>135</v>
      </c>
      <c r="N44" s="6">
        <f>IF($F44=0,"",IF(ISNUMBER(INDEX(Data!K$1:K$373,$F44)),INDEX(Data!K$1:K$373,$F44),""))</f>
        <v>167.5</v>
      </c>
      <c r="O44" s="6">
        <f>IF($F44=0,"",IF(ISNUMBER(INDEX(Data!L$1:L$373,$F44)),INDEX(Data!L$1:L$373,$F44),""))</f>
        <v>106.4</v>
      </c>
      <c r="P44" s="6">
        <f>IF($F44=0,"",IF(ISNUMBER(INDEX(Data!M$1:M$373,$F44)),INDEX(Data!M$1:M$373,$F44),""))</f>
        <v>134.4</v>
      </c>
      <c r="Q44" s="6">
        <f>IF($F44=0,"",IF(ISNUMBER(INDEX(Data!N$1:N$373,$F44)),INDEX(Data!N$1:N$373,$F44),""))</f>
        <v>123.6</v>
      </c>
      <c r="R44" s="6">
        <f>IF($F44=0,"",IF(ISNUMBER(INDEX(Data!O$1:O$373,$F44)),INDEX(Data!O$1:O$373,$F44),""))</f>
        <v>136.7</v>
      </c>
      <c r="S44" s="6">
        <f>IF($F44=0,"",IF(ISNUMBER(INDEX(Data!P$1:P$373,$F44)),INDEX(Data!P$1:P$373,$F44),""))</f>
        <v>131.8</v>
      </c>
      <c r="T44" s="6">
        <f>IF($F44=0,"",IF(ISNUMBER(INDEX(Data!Q$1:Q$373,$F44)),INDEX(Data!Q$1:Q$373,$F44),""))</f>
        <v>137.1</v>
      </c>
      <c r="U44" s="6">
        <f>IF($F44=0,"",IF(ISNUMBER(INDEX(Data!R$1:R$373,$F44)),INDEX(Data!R$1:R$373,$F44),""))</f>
        <v>131.8</v>
      </c>
      <c r="V44" s="6">
        <f>IF($F44=0,"",IF(ISNUMBER(INDEX(Data!S$1:S$373,$F44)),INDEX(Data!S$1:S$373,$F44),""))</f>
        <v>126.4</v>
      </c>
      <c r="W44" s="6">
        <f>IF($F44=0,"",IF(ISNUMBER(INDEX(Data!T$1:T$373,$F44)),INDEX(Data!T$1:T$373,$F44),""))</f>
        <v>131</v>
      </c>
      <c r="X44" s="6">
        <f>IF($F44=0,"",IF(ISNUMBER(INDEX(Data!U$1:U$373,$F44)),INDEX(Data!U$1:U$373,$F44),""))</f>
        <v>125.6</v>
      </c>
      <c r="Y44" s="6">
        <f>IF($F44=0,"",IF(ISNUMBER(INDEX(Data!V$1:V$373,$F44)),INDEX(Data!V$1:V$373,$F44),""))</f>
        <v>122.3</v>
      </c>
      <c r="Z44" s="6">
        <f>IF($F44=0,"",IF(ISNUMBER(INDEX(Data!W$1:W$373,$F44)),INDEX(Data!W$1:W$373,$F44),""))</f>
        <v>125.5</v>
      </c>
      <c r="AA44" s="6">
        <f>IF($F44=0,"",IF(ISNUMBER(INDEX(Data!X$1:X$373,$F44)),INDEX(Data!X$1:X$373,$F44),""))</f>
        <v>123.2</v>
      </c>
      <c r="AB44" s="6">
        <f>IF($F44=0,"",IF(ISNUMBER(INDEX(Data!Y$1:Y$373,$F44)),INDEX(Data!Y$1:Y$373,$F44),""))</f>
        <v>112.1</v>
      </c>
      <c r="AC44" s="6">
        <f>IF($F44=0,"",IF(ISNUMBER(INDEX(Data!Z$1:Z$373,$F44)),INDEX(Data!Z$1:Z$373,$F44),""))</f>
        <v>121.1</v>
      </c>
      <c r="AD44" s="6">
        <f>IF($F44=0,"",IF(ISNUMBER(INDEX(Data!AA$1:AA$373,$F44)),INDEX(Data!AA$1:AA$373,$F44),""))</f>
        <v>127.7</v>
      </c>
      <c r="AE44" s="6">
        <f>IF($F44=0,"",IF(ISNUMBER(INDEX(Data!AB$1:AB$373,$F44)),INDEX(Data!AB$1:AB$373,$F44),""))</f>
        <v>118.1</v>
      </c>
      <c r="AF44" s="6">
        <f>IF($F44=0,"",IF(ISNUMBER(INDEX(Data!AC$1:AC$373,$F44)),INDEX(Data!AC$1:AC$373,$F44),""))</f>
        <v>120</v>
      </c>
      <c r="AG44" s="6">
        <f>IF($F44=0,"",IF(ISNUMBER(INDEX(Data!AD$1:AD$373,$F44)),INDEX(Data!AD$1:AD$373,$F44),""))</f>
        <v>127.3</v>
      </c>
    </row>
    <row r="45" spans="1:33">
      <c r="A45" s="6">
        <v>2016</v>
      </c>
      <c r="B45" s="6">
        <v>5</v>
      </c>
      <c r="C45" s="6" t="s">
        <v>56</v>
      </c>
      <c r="D45" s="9">
        <f t="shared" si="0"/>
        <v>42491</v>
      </c>
      <c r="E45" s="6" t="str">
        <f t="shared" si="1"/>
        <v>Rural+Urban|2016|May</v>
      </c>
      <c r="F45" s="6">
        <f>IFERROR(MATCH(E45,Data!$AE$1:$AE$373,0),0)</f>
        <v>124</v>
      </c>
      <c r="G45" s="6">
        <f>IF($F45=0,"",IF(ISNUMBER(INDEX(Data!D$1:D$373,$F45)),INDEX(Data!D$1:D$373,$F45),""))</f>
        <v>126.8</v>
      </c>
      <c r="H45" s="6">
        <f>IF($F45=0,"",IF(ISNUMBER(INDEX(Data!E$1:E$373,$F45)),INDEX(Data!E$1:E$373,$F45),""))</f>
        <v>139.1</v>
      </c>
      <c r="I45" s="6">
        <f>IF($F45=0,"",IF(ISNUMBER(INDEX(Data!F$1:F$373,$F45)),INDEX(Data!F$1:F$373,$F45),""))</f>
        <v>125.4</v>
      </c>
      <c r="J45" s="6">
        <f>IF($F45=0,"",IF(ISNUMBER(INDEX(Data!G$1:G$373,$F45)),INDEX(Data!G$1:G$373,$F45),""))</f>
        <v>131.7</v>
      </c>
      <c r="K45" s="6">
        <f>IF($F45=0,"",IF(ISNUMBER(INDEX(Data!H$1:H$373,$F45)),INDEX(Data!H$1:H$373,$F45),""))</f>
        <v>115</v>
      </c>
      <c r="L45" s="6">
        <f>IF($F45=0,"",IF(ISNUMBER(INDEX(Data!I$1:I$373,$F45)),INDEX(Data!I$1:I$373,$F45),""))</f>
        <v>136</v>
      </c>
      <c r="M45" s="6">
        <f>IF($F45=0,"",IF(ISNUMBER(INDEX(Data!J$1:J$373,$F45)),INDEX(Data!J$1:J$373,$F45),""))</f>
        <v>145.1</v>
      </c>
      <c r="N45" s="6">
        <f>IF($F45=0,"",IF(ISNUMBER(INDEX(Data!K$1:K$373,$F45)),INDEX(Data!K$1:K$373,$F45),""))</f>
        <v>171.7</v>
      </c>
      <c r="O45" s="6">
        <f>IF($F45=0,"",IF(ISNUMBER(INDEX(Data!L$1:L$373,$F45)),INDEX(Data!L$1:L$373,$F45),""))</f>
        <v>108.7</v>
      </c>
      <c r="P45" s="6">
        <f>IF($F45=0,"",IF(ISNUMBER(INDEX(Data!M$1:M$373,$F45)),INDEX(Data!M$1:M$373,$F45),""))</f>
        <v>135.3</v>
      </c>
      <c r="Q45" s="6">
        <f>IF($F45=0,"",IF(ISNUMBER(INDEX(Data!N$1:N$373,$F45)),INDEX(Data!N$1:N$373,$F45),""))</f>
        <v>124.2</v>
      </c>
      <c r="R45" s="6">
        <f>IF($F45=0,"",IF(ISNUMBER(INDEX(Data!O$1:O$373,$F45)),INDEX(Data!O$1:O$373,$F45),""))</f>
        <v>137.4</v>
      </c>
      <c r="S45" s="6">
        <f>IF($F45=0,"",IF(ISNUMBER(INDEX(Data!P$1:P$373,$F45)),INDEX(Data!P$1:P$373,$F45),""))</f>
        <v>134</v>
      </c>
      <c r="T45" s="6">
        <f>IF($F45=0,"",IF(ISNUMBER(INDEX(Data!Q$1:Q$373,$F45)),INDEX(Data!Q$1:Q$373,$F45),""))</f>
        <v>137.7</v>
      </c>
      <c r="U45" s="6">
        <f>IF($F45=0,"",IF(ISNUMBER(INDEX(Data!R$1:R$373,$F45)),INDEX(Data!R$1:R$373,$F45),""))</f>
        <v>132.2</v>
      </c>
      <c r="V45" s="6">
        <f>IF($F45=0,"",IF(ISNUMBER(INDEX(Data!S$1:S$373,$F45)),INDEX(Data!S$1:S$373,$F45),""))</f>
        <v>126.8</v>
      </c>
      <c r="W45" s="6">
        <f>IF($F45=0,"",IF(ISNUMBER(INDEX(Data!T$1:T$373,$F45)),INDEX(Data!T$1:T$373,$F45),""))</f>
        <v>131.4</v>
      </c>
      <c r="X45" s="6">
        <f>IF($F45=0,"",IF(ISNUMBER(INDEX(Data!U$1:U$373,$F45)),INDEX(Data!U$1:U$373,$F45),""))</f>
        <v>126</v>
      </c>
      <c r="Y45" s="6">
        <f>IF($F45=0,"",IF(ISNUMBER(INDEX(Data!V$1:V$373,$F45)),INDEX(Data!V$1:V$373,$F45),""))</f>
        <v>122.7</v>
      </c>
      <c r="Z45" s="6">
        <f>IF($F45=0,"",IF(ISNUMBER(INDEX(Data!W$1:W$373,$F45)),INDEX(Data!W$1:W$373,$F45),""))</f>
        <v>126</v>
      </c>
      <c r="AA45" s="6">
        <f>IF($F45=0,"",IF(ISNUMBER(INDEX(Data!X$1:X$373,$F45)),INDEX(Data!X$1:X$373,$F45),""))</f>
        <v>123.7</v>
      </c>
      <c r="AB45" s="6">
        <f>IF($F45=0,"",IF(ISNUMBER(INDEX(Data!Y$1:Y$373,$F45)),INDEX(Data!Y$1:Y$373,$F45),""))</f>
        <v>112.8</v>
      </c>
      <c r="AC45" s="6">
        <f>IF($F45=0,"",IF(ISNUMBER(INDEX(Data!Z$1:Z$373,$F45)),INDEX(Data!Z$1:Z$373,$F45),""))</f>
        <v>121.5</v>
      </c>
      <c r="AD45" s="6">
        <f>IF($F45=0,"",IF(ISNUMBER(INDEX(Data!AA$1:AA$373,$F45)),INDEX(Data!AA$1:AA$373,$F45),""))</f>
        <v>128.5</v>
      </c>
      <c r="AE45" s="6">
        <f>IF($F45=0,"",IF(ISNUMBER(INDEX(Data!AB$1:AB$373,$F45)),INDEX(Data!AB$1:AB$373,$F45),""))</f>
        <v>119.2</v>
      </c>
      <c r="AF45" s="6">
        <f>IF($F45=0,"",IF(ISNUMBER(INDEX(Data!AC$1:AC$373,$F45)),INDEX(Data!AC$1:AC$373,$F45),""))</f>
        <v>120.7</v>
      </c>
      <c r="AG45" s="6">
        <f>IF($F45=0,"",IF(ISNUMBER(INDEX(Data!AD$1:AD$373,$F45)),INDEX(Data!AD$1:AD$373,$F45),""))</f>
        <v>128.6</v>
      </c>
    </row>
    <row r="46" spans="1:33">
      <c r="A46" s="6">
        <v>2016</v>
      </c>
      <c r="B46" s="6">
        <v>6</v>
      </c>
      <c r="C46" s="6" t="s">
        <v>57</v>
      </c>
      <c r="D46" s="9">
        <f t="shared" si="0"/>
        <v>42522</v>
      </c>
      <c r="E46" s="6" t="str">
        <f t="shared" si="1"/>
        <v>Rural+Urban|2016|June</v>
      </c>
      <c r="F46" s="6">
        <f>IFERROR(MATCH(E46,Data!$AE$1:$AE$373,0),0)</f>
        <v>127</v>
      </c>
      <c r="G46" s="6">
        <f>IF($F46=0,"",IF(ISNUMBER(INDEX(Data!D$1:D$373,$F46)),INDEX(Data!D$1:D$373,$F46),""))</f>
        <v>127.7</v>
      </c>
      <c r="H46" s="6">
        <f>IF($F46=0,"",IF(ISNUMBER(INDEX(Data!E$1:E$373,$F46)),INDEX(Data!E$1:E$373,$F46),""))</f>
        <v>140.5</v>
      </c>
      <c r="I46" s="6">
        <f>IF($F46=0,"",IF(ISNUMBER(INDEX(Data!F$1:F$373,$F46)),INDEX(Data!F$1:F$373,$F46),""))</f>
        <v>128.3</v>
      </c>
      <c r="J46" s="6">
        <f>IF($F46=0,"",IF(ISNUMBER(INDEX(Data!G$1:G$373,$F46)),INDEX(Data!G$1:G$373,$F46),""))</f>
        <v>132.6</v>
      </c>
      <c r="K46" s="6">
        <f>IF($F46=0,"",IF(ISNUMBER(INDEX(Data!H$1:H$373,$F46)),INDEX(Data!H$1:H$373,$F46),""))</f>
        <v>115.5</v>
      </c>
      <c r="L46" s="6">
        <f>IF($F46=0,"",IF(ISNUMBER(INDEX(Data!I$1:I$373,$F46)),INDEX(Data!I$1:I$373,$F46),""))</f>
        <v>136.5</v>
      </c>
      <c r="M46" s="6">
        <f>IF($F46=0,"",IF(ISNUMBER(INDEX(Data!J$1:J$373,$F46)),INDEX(Data!J$1:J$373,$F46),""))</f>
        <v>159.7</v>
      </c>
      <c r="N46" s="6">
        <f>IF($F46=0,"",IF(ISNUMBER(INDEX(Data!K$1:K$373,$F46)),INDEX(Data!K$1:K$373,$F46),""))</f>
        <v>174.3</v>
      </c>
      <c r="O46" s="6">
        <f>IF($F46=0,"",IF(ISNUMBER(INDEX(Data!L$1:L$373,$F46)),INDEX(Data!L$1:L$373,$F46),""))</f>
        <v>109.9</v>
      </c>
      <c r="P46" s="6">
        <f>IF($F46=0,"",IF(ISNUMBER(INDEX(Data!M$1:M$373,$F46)),INDEX(Data!M$1:M$373,$F46),""))</f>
        <v>136.3</v>
      </c>
      <c r="Q46" s="6">
        <f>IF($F46=0,"",IF(ISNUMBER(INDEX(Data!N$1:N$373,$F46)),INDEX(Data!N$1:N$373,$F46),""))</f>
        <v>124.4</v>
      </c>
      <c r="R46" s="6">
        <f>IF($F46=0,"",IF(ISNUMBER(INDEX(Data!O$1:O$373,$F46)),INDEX(Data!O$1:O$373,$F46),""))</f>
        <v>138.1</v>
      </c>
      <c r="S46" s="6">
        <f>IF($F46=0,"",IF(ISNUMBER(INDEX(Data!P$1:P$373,$F46)),INDEX(Data!P$1:P$373,$F46),""))</f>
        <v>136.8</v>
      </c>
      <c r="T46" s="6">
        <f>IF($F46=0,"",IF(ISNUMBER(INDEX(Data!Q$1:Q$373,$F46)),INDEX(Data!Q$1:Q$373,$F46),""))</f>
        <v>138.7</v>
      </c>
      <c r="U46" s="6">
        <f>IF($F46=0,"",IF(ISNUMBER(INDEX(Data!R$1:R$373,$F46)),INDEX(Data!R$1:R$373,$F46),""))</f>
        <v>132.9</v>
      </c>
      <c r="V46" s="6">
        <f>IF($F46=0,"",IF(ISNUMBER(INDEX(Data!S$1:S$373,$F46)),INDEX(Data!S$1:S$373,$F46),""))</f>
        <v>127.2</v>
      </c>
      <c r="W46" s="6">
        <f>IF($F46=0,"",IF(ISNUMBER(INDEX(Data!T$1:T$373,$F46)),INDEX(Data!T$1:T$373,$F46),""))</f>
        <v>132</v>
      </c>
      <c r="X46" s="6">
        <f>IF($F46=0,"",IF(ISNUMBER(INDEX(Data!U$1:U$373,$F46)),INDEX(Data!U$1:U$373,$F46),""))</f>
        <v>125.5</v>
      </c>
      <c r="Y46" s="6">
        <f>IF($F46=0,"",IF(ISNUMBER(INDEX(Data!V$1:V$373,$F46)),INDEX(Data!V$1:V$373,$F46),""))</f>
        <v>123.3</v>
      </c>
      <c r="Z46" s="6">
        <f>IF($F46=0,"",IF(ISNUMBER(INDEX(Data!W$1:W$373,$F46)),INDEX(Data!W$1:W$373,$F46),""))</f>
        <v>126.4</v>
      </c>
      <c r="AA46" s="6">
        <f>IF($F46=0,"",IF(ISNUMBER(INDEX(Data!X$1:X$373,$F46)),INDEX(Data!X$1:X$373,$F46),""))</f>
        <v>124.1</v>
      </c>
      <c r="AB46" s="6">
        <f>IF($F46=0,"",IF(ISNUMBER(INDEX(Data!Y$1:Y$373,$F46)),INDEX(Data!Y$1:Y$373,$F46),""))</f>
        <v>114.2</v>
      </c>
      <c r="AC46" s="6">
        <f>IF($F46=0,"",IF(ISNUMBER(INDEX(Data!Z$1:Z$373,$F46)),INDEX(Data!Z$1:Z$373,$F46),""))</f>
        <v>121.7</v>
      </c>
      <c r="AD46" s="6">
        <f>IF($F46=0,"",IF(ISNUMBER(INDEX(Data!AA$1:AA$373,$F46)),INDEX(Data!AA$1:AA$373,$F46),""))</f>
        <v>129.7</v>
      </c>
      <c r="AE46" s="6">
        <f>IF($F46=0,"",IF(ISNUMBER(INDEX(Data!AB$1:AB$373,$F46)),INDEX(Data!AB$1:AB$373,$F46),""))</f>
        <v>119.4</v>
      </c>
      <c r="AF46" s="6">
        <f>IF($F46=0,"",IF(ISNUMBER(INDEX(Data!AC$1:AC$373,$F46)),INDEX(Data!AC$1:AC$373,$F46),""))</f>
        <v>121.5</v>
      </c>
      <c r="AG46" s="6">
        <f>IF($F46=0,"",IF(ISNUMBER(INDEX(Data!AD$1:AD$373,$F46)),INDEX(Data!AD$1:AD$373,$F46),""))</f>
        <v>130.1</v>
      </c>
    </row>
    <row r="47" spans="1:33">
      <c r="A47" s="6">
        <v>2016</v>
      </c>
      <c r="B47" s="6">
        <v>7</v>
      </c>
      <c r="C47" s="6" t="s">
        <v>58</v>
      </c>
      <c r="D47" s="9">
        <f t="shared" si="0"/>
        <v>42552</v>
      </c>
      <c r="E47" s="6" t="str">
        <f t="shared" si="1"/>
        <v>Rural+Urban|2016|July</v>
      </c>
      <c r="F47" s="6">
        <f>IFERROR(MATCH(E47,Data!$AE$1:$AE$373,0),0)</f>
        <v>130</v>
      </c>
      <c r="G47" s="6">
        <f>IF($F47=0,"",IF(ISNUMBER(INDEX(Data!D$1:D$373,$F47)),INDEX(Data!D$1:D$373,$F47),""))</f>
        <v>128.5</v>
      </c>
      <c r="H47" s="6">
        <f>IF($F47=0,"",IF(ISNUMBER(INDEX(Data!E$1:E$373,$F47)),INDEX(Data!E$1:E$373,$F47),""))</f>
        <v>141.2</v>
      </c>
      <c r="I47" s="6">
        <f>IF($F47=0,"",IF(ISNUMBER(INDEX(Data!F$1:F$373,$F47)),INDEX(Data!F$1:F$373,$F47),""))</f>
        <v>132.3</v>
      </c>
      <c r="J47" s="6">
        <f>IF($F47=0,"",IF(ISNUMBER(INDEX(Data!G$1:G$373,$F47)),INDEX(Data!G$1:G$373,$F47),""))</f>
        <v>133.5</v>
      </c>
      <c r="K47" s="6">
        <f>IF($F47=0,"",IF(ISNUMBER(INDEX(Data!H$1:H$373,$F47)),INDEX(Data!H$1:H$373,$F47),""))</f>
        <v>116.4</v>
      </c>
      <c r="L47" s="6">
        <f>IF($F47=0,"",IF(ISNUMBER(INDEX(Data!I$1:I$373,$F47)),INDEX(Data!I$1:I$373,$F47),""))</f>
        <v>137.8</v>
      </c>
      <c r="M47" s="6">
        <f>IF($F47=0,"",IF(ISNUMBER(INDEX(Data!J$1:J$373,$F47)),INDEX(Data!J$1:J$373,$F47),""))</f>
        <v>165.4</v>
      </c>
      <c r="N47" s="6">
        <f>IF($F47=0,"",IF(ISNUMBER(INDEX(Data!K$1:K$373,$F47)),INDEX(Data!K$1:K$373,$F47),""))</f>
        <v>177.4</v>
      </c>
      <c r="O47" s="6">
        <f>IF($F47=0,"",IF(ISNUMBER(INDEX(Data!L$1:L$373,$F47)),INDEX(Data!L$1:L$373,$F47),""))</f>
        <v>111.3</v>
      </c>
      <c r="P47" s="6">
        <f>IF($F47=0,"",IF(ISNUMBER(INDEX(Data!M$1:M$373,$F47)),INDEX(Data!M$1:M$373,$F47),""))</f>
        <v>137.5</v>
      </c>
      <c r="Q47" s="6">
        <f>IF($F47=0,"",IF(ISNUMBER(INDEX(Data!N$1:N$373,$F47)),INDEX(Data!N$1:N$373,$F47),""))</f>
        <v>125</v>
      </c>
      <c r="R47" s="6">
        <f>IF($F47=0,"",IF(ISNUMBER(INDEX(Data!O$1:O$373,$F47)),INDEX(Data!O$1:O$373,$F47),""))</f>
        <v>138.8</v>
      </c>
      <c r="S47" s="6">
        <f>IF($F47=0,"",IF(ISNUMBER(INDEX(Data!P$1:P$373,$F47)),INDEX(Data!P$1:P$373,$F47),""))</f>
        <v>138.4</v>
      </c>
      <c r="T47" s="6">
        <f>IF($F47=0,"",IF(ISNUMBER(INDEX(Data!Q$1:Q$373,$F47)),INDEX(Data!Q$1:Q$373,$F47),""))</f>
        <v>139.3</v>
      </c>
      <c r="U47" s="6">
        <f>IF($F47=0,"",IF(ISNUMBER(INDEX(Data!R$1:R$373,$F47)),INDEX(Data!R$1:R$373,$F47),""))</f>
        <v>133.5</v>
      </c>
      <c r="V47" s="6">
        <f>IF($F47=0,"",IF(ISNUMBER(INDEX(Data!S$1:S$373,$F47)),INDEX(Data!S$1:S$373,$F47),""))</f>
        <v>127.6</v>
      </c>
      <c r="W47" s="6">
        <f>IF($F47=0,"",IF(ISNUMBER(INDEX(Data!T$1:T$373,$F47)),INDEX(Data!T$1:T$373,$F47),""))</f>
        <v>132.7</v>
      </c>
      <c r="X47" s="6">
        <f>IF($F47=0,"",IF(ISNUMBER(INDEX(Data!U$1:U$373,$F47)),INDEX(Data!U$1:U$373,$F47),""))</f>
        <v>126.4</v>
      </c>
      <c r="Y47" s="6">
        <f>IF($F47=0,"",IF(ISNUMBER(INDEX(Data!V$1:V$373,$F47)),INDEX(Data!V$1:V$373,$F47),""))</f>
        <v>123.4</v>
      </c>
      <c r="Z47" s="6">
        <f>IF($F47=0,"",IF(ISNUMBER(INDEX(Data!W$1:W$373,$F47)),INDEX(Data!W$1:W$373,$F47),""))</f>
        <v>126.9</v>
      </c>
      <c r="AA47" s="6">
        <f>IF($F47=0,"",IF(ISNUMBER(INDEX(Data!X$1:X$373,$F47)),INDEX(Data!X$1:X$373,$F47),""))</f>
        <v>124.5</v>
      </c>
      <c r="AB47" s="6">
        <f>IF($F47=0,"",IF(ISNUMBER(INDEX(Data!Y$1:Y$373,$F47)),INDEX(Data!Y$1:Y$373,$F47),""))</f>
        <v>113.9</v>
      </c>
      <c r="AC47" s="6">
        <f>IF($F47=0,"",IF(ISNUMBER(INDEX(Data!Z$1:Z$373,$F47)),INDEX(Data!Z$1:Z$373,$F47),""))</f>
        <v>122.4</v>
      </c>
      <c r="AD47" s="6">
        <f>IF($F47=0,"",IF(ISNUMBER(INDEX(Data!AA$1:AA$373,$F47)),INDEX(Data!AA$1:AA$373,$F47),""))</f>
        <v>130.8</v>
      </c>
      <c r="AE47" s="6">
        <f>IF($F47=0,"",IF(ISNUMBER(INDEX(Data!AB$1:AB$373,$F47)),INDEX(Data!AB$1:AB$373,$F47),""))</f>
        <v>120.5</v>
      </c>
      <c r="AF47" s="6">
        <f>IF($F47=0,"",IF(ISNUMBER(INDEX(Data!AC$1:AC$373,$F47)),INDEX(Data!AC$1:AC$373,$F47),""))</f>
        <v>121.9</v>
      </c>
      <c r="AG47" s="6">
        <f>IF($F47=0,"",IF(ISNUMBER(INDEX(Data!AD$1:AD$373,$F47)),INDEX(Data!AD$1:AD$373,$F47),""))</f>
        <v>131.1</v>
      </c>
    </row>
    <row r="48" spans="1:33">
      <c r="A48" s="6">
        <v>2016</v>
      </c>
      <c r="B48" s="6">
        <v>8</v>
      </c>
      <c r="C48" s="6" t="s">
        <v>59</v>
      </c>
      <c r="D48" s="9">
        <f t="shared" si="0"/>
        <v>42583</v>
      </c>
      <c r="E48" s="6" t="str">
        <f t="shared" si="1"/>
        <v>Rural+Urban|2016|August</v>
      </c>
      <c r="F48" s="6">
        <f>IFERROR(MATCH(E48,Data!$AE$1:$AE$373,0),0)</f>
        <v>133</v>
      </c>
      <c r="G48" s="6">
        <f>IF($F48=0,"",IF(ISNUMBER(INDEX(Data!D$1:D$373,$F48)),INDEX(Data!D$1:D$373,$F48),""))</f>
        <v>129.3</v>
      </c>
      <c r="H48" s="6">
        <f>IF($F48=0,"",IF(ISNUMBER(INDEX(Data!E$1:E$373,$F48)),INDEX(Data!E$1:E$373,$F48),""))</f>
        <v>139.3</v>
      </c>
      <c r="I48" s="6">
        <f>IF($F48=0,"",IF(ISNUMBER(INDEX(Data!F$1:F$373,$F48)),INDEX(Data!F$1:F$373,$F48),""))</f>
        <v>131.6</v>
      </c>
      <c r="J48" s="6">
        <f>IF($F48=0,"",IF(ISNUMBER(INDEX(Data!G$1:G$373,$F48)),INDEX(Data!G$1:G$373,$F48),""))</f>
        <v>134.1</v>
      </c>
      <c r="K48" s="6">
        <f>IF($F48=0,"",IF(ISNUMBER(INDEX(Data!H$1:H$373,$F48)),INDEX(Data!H$1:H$373,$F48),""))</f>
        <v>116.9</v>
      </c>
      <c r="L48" s="6">
        <f>IF($F48=0,"",IF(ISNUMBER(INDEX(Data!I$1:I$373,$F48)),INDEX(Data!I$1:I$373,$F48),""))</f>
        <v>138.1</v>
      </c>
      <c r="M48" s="6">
        <f>IF($F48=0,"",IF(ISNUMBER(INDEX(Data!J$1:J$373,$F48)),INDEX(Data!J$1:J$373,$F48),""))</f>
        <v>159.1</v>
      </c>
      <c r="N48" s="6">
        <f>IF($F48=0,"",IF(ISNUMBER(INDEX(Data!K$1:K$373,$F48)),INDEX(Data!K$1:K$373,$F48),""))</f>
        <v>175.6</v>
      </c>
      <c r="O48" s="6">
        <f>IF($F48=0,"",IF(ISNUMBER(INDEX(Data!L$1:L$373,$F48)),INDEX(Data!L$1:L$373,$F48),""))</f>
        <v>112.9</v>
      </c>
      <c r="P48" s="6">
        <f>IF($F48=0,"",IF(ISNUMBER(INDEX(Data!M$1:M$373,$F48)),INDEX(Data!M$1:M$373,$F48),""))</f>
        <v>138.1</v>
      </c>
      <c r="Q48" s="6">
        <f>IF($F48=0,"",IF(ISNUMBER(INDEX(Data!N$1:N$373,$F48)),INDEX(Data!N$1:N$373,$F48),""))</f>
        <v>125.5</v>
      </c>
      <c r="R48" s="6">
        <f>IF($F48=0,"",IF(ISNUMBER(INDEX(Data!O$1:O$373,$F48)),INDEX(Data!O$1:O$373,$F48),""))</f>
        <v>139.5</v>
      </c>
      <c r="S48" s="6">
        <f>IF($F48=0,"",IF(ISNUMBER(INDEX(Data!P$1:P$373,$F48)),INDEX(Data!P$1:P$373,$F48),""))</f>
        <v>137.9</v>
      </c>
      <c r="T48" s="6">
        <f>IF($F48=0,"",IF(ISNUMBER(INDEX(Data!Q$1:Q$373,$F48)),INDEX(Data!Q$1:Q$373,$F48),""))</f>
        <v>140.2</v>
      </c>
      <c r="U48" s="6">
        <f>IF($F48=0,"",IF(ISNUMBER(INDEX(Data!R$1:R$373,$F48)),INDEX(Data!R$1:R$373,$F48),""))</f>
        <v>134.1</v>
      </c>
      <c r="V48" s="6">
        <f>IF($F48=0,"",IF(ISNUMBER(INDEX(Data!S$1:S$373,$F48)),INDEX(Data!S$1:S$373,$F48),""))</f>
        <v>128.2</v>
      </c>
      <c r="W48" s="6">
        <f>IF($F48=0,"",IF(ISNUMBER(INDEX(Data!T$1:T$373,$F48)),INDEX(Data!T$1:T$373,$F48),""))</f>
        <v>133.2</v>
      </c>
      <c r="X48" s="6">
        <f>IF($F48=0,"",IF(ISNUMBER(INDEX(Data!U$1:U$373,$F48)),INDEX(Data!U$1:U$373,$F48),""))</f>
        <v>127.3</v>
      </c>
      <c r="Y48" s="6">
        <f>IF($F48=0,"",IF(ISNUMBER(INDEX(Data!V$1:V$373,$F48)),INDEX(Data!V$1:V$373,$F48),""))</f>
        <v>123.6</v>
      </c>
      <c r="Z48" s="6">
        <f>IF($F48=0,"",IF(ISNUMBER(INDEX(Data!W$1:W$373,$F48)),INDEX(Data!W$1:W$373,$F48),""))</f>
        <v>127.4</v>
      </c>
      <c r="AA48" s="6">
        <f>IF($F48=0,"",IF(ISNUMBER(INDEX(Data!X$1:X$373,$F48)),INDEX(Data!X$1:X$373,$F48),""))</f>
        <v>124.8</v>
      </c>
      <c r="AB48" s="6">
        <f>IF($F48=0,"",IF(ISNUMBER(INDEX(Data!Y$1:Y$373,$F48)),INDEX(Data!Y$1:Y$373,$F48),""))</f>
        <v>113.1</v>
      </c>
      <c r="AC48" s="6">
        <f>IF($F48=0,"",IF(ISNUMBER(INDEX(Data!Z$1:Z$373,$F48)),INDEX(Data!Z$1:Z$373,$F48),""))</f>
        <v>122.7</v>
      </c>
      <c r="AD48" s="6">
        <f>IF($F48=0,"",IF(ISNUMBER(INDEX(Data!AA$1:AA$373,$F48)),INDEX(Data!AA$1:AA$373,$F48),""))</f>
        <v>131.7</v>
      </c>
      <c r="AE48" s="6">
        <f>IF($F48=0,"",IF(ISNUMBER(INDEX(Data!AB$1:AB$373,$F48)),INDEX(Data!AB$1:AB$373,$F48),""))</f>
        <v>121.5</v>
      </c>
      <c r="AF48" s="6">
        <f>IF($F48=0,"",IF(ISNUMBER(INDEX(Data!AC$1:AC$373,$F48)),INDEX(Data!AC$1:AC$373,$F48),""))</f>
        <v>122.1</v>
      </c>
      <c r="AG48" s="6">
        <f>IF($F48=0,"",IF(ISNUMBER(INDEX(Data!AD$1:AD$373,$F48)),INDEX(Data!AD$1:AD$373,$F48),""))</f>
        <v>131.1</v>
      </c>
    </row>
    <row r="49" spans="1:33">
      <c r="A49" s="6">
        <v>2016</v>
      </c>
      <c r="B49" s="6">
        <v>9</v>
      </c>
      <c r="C49" s="6" t="s">
        <v>60</v>
      </c>
      <c r="D49" s="9">
        <f t="shared" si="0"/>
        <v>42614</v>
      </c>
      <c r="E49" s="6" t="str">
        <f t="shared" si="1"/>
        <v>Rural+Urban|2016|September</v>
      </c>
      <c r="F49" s="6">
        <f>IFERROR(MATCH(E49,Data!$AE$1:$AE$373,0),0)</f>
        <v>136</v>
      </c>
      <c r="G49" s="6">
        <f>IF($F49=0,"",IF(ISNUMBER(INDEX(Data!D$1:D$373,$F49)),INDEX(Data!D$1:D$373,$F49),""))</f>
        <v>129.9</v>
      </c>
      <c r="H49" s="6">
        <f>IF($F49=0,"",IF(ISNUMBER(INDEX(Data!E$1:E$373,$F49)),INDEX(Data!E$1:E$373,$F49),""))</f>
        <v>138</v>
      </c>
      <c r="I49" s="6">
        <f>IF($F49=0,"",IF(ISNUMBER(INDEX(Data!F$1:F$373,$F49)),INDEX(Data!F$1:F$373,$F49),""))</f>
        <v>130.5</v>
      </c>
      <c r="J49" s="6">
        <f>IF($F49=0,"",IF(ISNUMBER(INDEX(Data!G$1:G$373,$F49)),INDEX(Data!G$1:G$373,$F49),""))</f>
        <v>134.4</v>
      </c>
      <c r="K49" s="6">
        <f>IF($F49=0,"",IF(ISNUMBER(INDEX(Data!H$1:H$373,$F49)),INDEX(Data!H$1:H$373,$F49),""))</f>
        <v>117.2</v>
      </c>
      <c r="L49" s="6">
        <f>IF($F49=0,"",IF(ISNUMBER(INDEX(Data!I$1:I$373,$F49)),INDEX(Data!I$1:I$373,$F49),""))</f>
        <v>136.1</v>
      </c>
      <c r="M49" s="6">
        <f>IF($F49=0,"",IF(ISNUMBER(INDEX(Data!J$1:J$373,$F49)),INDEX(Data!J$1:J$373,$F49),""))</f>
        <v>150.7</v>
      </c>
      <c r="N49" s="6">
        <f>IF($F49=0,"",IF(ISNUMBER(INDEX(Data!K$1:K$373,$F49)),INDEX(Data!K$1:K$373,$F49),""))</f>
        <v>171.5</v>
      </c>
      <c r="O49" s="6">
        <f>IF($F49=0,"",IF(ISNUMBER(INDEX(Data!L$1:L$373,$F49)),INDEX(Data!L$1:L$373,$F49),""))</f>
        <v>113.8</v>
      </c>
      <c r="P49" s="6">
        <f>IF($F49=0,"",IF(ISNUMBER(INDEX(Data!M$1:M$373,$F49)),INDEX(Data!M$1:M$373,$F49),""))</f>
        <v>138.8</v>
      </c>
      <c r="Q49" s="6">
        <f>IF($F49=0,"",IF(ISNUMBER(INDEX(Data!N$1:N$373,$F49)),INDEX(Data!N$1:N$373,$F49),""))</f>
        <v>126</v>
      </c>
      <c r="R49" s="6">
        <f>IF($F49=0,"",IF(ISNUMBER(INDEX(Data!O$1:O$373,$F49)),INDEX(Data!O$1:O$373,$F49),""))</f>
        <v>140.2</v>
      </c>
      <c r="S49" s="6">
        <f>IF($F49=0,"",IF(ISNUMBER(INDEX(Data!P$1:P$373,$F49)),INDEX(Data!P$1:P$373,$F49),""))</f>
        <v>136.6</v>
      </c>
      <c r="T49" s="6">
        <f>IF($F49=0,"",IF(ISNUMBER(INDEX(Data!Q$1:Q$373,$F49)),INDEX(Data!Q$1:Q$373,$F49),""))</f>
        <v>141</v>
      </c>
      <c r="U49" s="6">
        <f>IF($F49=0,"",IF(ISNUMBER(INDEX(Data!R$1:R$373,$F49)),INDEX(Data!R$1:R$373,$F49),""))</f>
        <v>134.6</v>
      </c>
      <c r="V49" s="6">
        <f>IF($F49=0,"",IF(ISNUMBER(INDEX(Data!S$1:S$373,$F49)),INDEX(Data!S$1:S$373,$F49),""))</f>
        <v>128.6</v>
      </c>
      <c r="W49" s="6">
        <f>IF($F49=0,"",IF(ISNUMBER(INDEX(Data!T$1:T$373,$F49)),INDEX(Data!T$1:T$373,$F49),""))</f>
        <v>133.8</v>
      </c>
      <c r="X49" s="6">
        <f>IF($F49=0,"",IF(ISNUMBER(INDEX(Data!U$1:U$373,$F49)),INDEX(Data!U$1:U$373,$F49),""))</f>
        <v>127.9</v>
      </c>
      <c r="Y49" s="6">
        <f>IF($F49=0,"",IF(ISNUMBER(INDEX(Data!V$1:V$373,$F49)),INDEX(Data!V$1:V$373,$F49),""))</f>
        <v>124.1</v>
      </c>
      <c r="Z49" s="6">
        <f>IF($F49=0,"",IF(ISNUMBER(INDEX(Data!W$1:W$373,$F49)),INDEX(Data!W$1:W$373,$F49),""))</f>
        <v>127.9</v>
      </c>
      <c r="AA49" s="6">
        <f>IF($F49=0,"",IF(ISNUMBER(INDEX(Data!X$1:X$373,$F49)),INDEX(Data!X$1:X$373,$F49),""))</f>
        <v>125.4</v>
      </c>
      <c r="AB49" s="6">
        <f>IF($F49=0,"",IF(ISNUMBER(INDEX(Data!Y$1:Y$373,$F49)),INDEX(Data!Y$1:Y$373,$F49),""))</f>
        <v>114.3</v>
      </c>
      <c r="AC49" s="6">
        <f>IF($F49=0,"",IF(ISNUMBER(INDEX(Data!Z$1:Z$373,$F49)),INDEX(Data!Z$1:Z$373,$F49),""))</f>
        <v>122.9</v>
      </c>
      <c r="AD49" s="6">
        <f>IF($F49=0,"",IF(ISNUMBER(INDEX(Data!AA$1:AA$373,$F49)),INDEX(Data!AA$1:AA$373,$F49),""))</f>
        <v>131.8</v>
      </c>
      <c r="AE49" s="6">
        <f>IF($F49=0,"",IF(ISNUMBER(INDEX(Data!AB$1:AB$373,$F49)),INDEX(Data!AB$1:AB$373,$F49),""))</f>
        <v>122.1</v>
      </c>
      <c r="AF49" s="6">
        <f>IF($F49=0,"",IF(ISNUMBER(INDEX(Data!AC$1:AC$373,$F49)),INDEX(Data!AC$1:AC$373,$F49),""))</f>
        <v>122.8</v>
      </c>
      <c r="AG49" s="6">
        <f>IF($F49=0,"",IF(ISNUMBER(INDEX(Data!AD$1:AD$373,$F49)),INDEX(Data!AD$1:AD$373,$F49),""))</f>
        <v>130.9</v>
      </c>
    </row>
    <row r="50" spans="1:33">
      <c r="A50" s="6">
        <v>2016</v>
      </c>
      <c r="B50" s="6">
        <v>10</v>
      </c>
      <c r="C50" s="6" t="s">
        <v>61</v>
      </c>
      <c r="D50" s="9">
        <f t="shared" si="0"/>
        <v>42644</v>
      </c>
      <c r="E50" s="6" t="str">
        <f t="shared" si="1"/>
        <v>Rural+Urban|2016|October</v>
      </c>
      <c r="F50" s="6">
        <f>IFERROR(MATCH(E50,Data!$AE$1:$AE$373,0),0)</f>
        <v>139</v>
      </c>
      <c r="G50" s="6">
        <f>IF($F50=0,"",IF(ISNUMBER(INDEX(Data!D$1:D$373,$F50)),INDEX(Data!D$1:D$373,$F50),""))</f>
        <v>130.5</v>
      </c>
      <c r="H50" s="6">
        <f>IF($F50=0,"",IF(ISNUMBER(INDEX(Data!E$1:E$373,$F50)),INDEX(Data!E$1:E$373,$F50),""))</f>
        <v>137.9</v>
      </c>
      <c r="I50" s="6">
        <f>IF($F50=0,"",IF(ISNUMBER(INDEX(Data!F$1:F$373,$F50)),INDEX(Data!F$1:F$373,$F50),""))</f>
        <v>130.2</v>
      </c>
      <c r="J50" s="6">
        <f>IF($F50=0,"",IF(ISNUMBER(INDEX(Data!G$1:G$373,$F50)),INDEX(Data!G$1:G$373,$F50),""))</f>
        <v>134.8</v>
      </c>
      <c r="K50" s="6">
        <f>IF($F50=0,"",IF(ISNUMBER(INDEX(Data!H$1:H$373,$F50)),INDEX(Data!H$1:H$373,$F50),""))</f>
        <v>117.8</v>
      </c>
      <c r="L50" s="6">
        <f>IF($F50=0,"",IF(ISNUMBER(INDEX(Data!I$1:I$373,$F50)),INDEX(Data!I$1:I$373,$F50),""))</f>
        <v>134.7</v>
      </c>
      <c r="M50" s="6">
        <f>IF($F50=0,"",IF(ISNUMBER(INDEX(Data!J$1:J$373,$F50)),INDEX(Data!J$1:J$373,$F50),""))</f>
        <v>151.2</v>
      </c>
      <c r="N50" s="6">
        <f>IF($F50=0,"",IF(ISNUMBER(INDEX(Data!K$1:K$373,$F50)),INDEX(Data!K$1:K$373,$F50),""))</f>
        <v>172.1</v>
      </c>
      <c r="O50" s="6">
        <f>IF($F50=0,"",IF(ISNUMBER(INDEX(Data!L$1:L$373,$F50)),INDEX(Data!L$1:L$373,$F50),""))</f>
        <v>114.1</v>
      </c>
      <c r="P50" s="6">
        <f>IF($F50=0,"",IF(ISNUMBER(INDEX(Data!M$1:M$373,$F50)),INDEX(Data!M$1:M$373,$F50),""))</f>
        <v>139.3</v>
      </c>
      <c r="Q50" s="6">
        <f>IF($F50=0,"",IF(ISNUMBER(INDEX(Data!N$1:N$373,$F50)),INDEX(Data!N$1:N$373,$F50),""))</f>
        <v>126.1</v>
      </c>
      <c r="R50" s="6">
        <f>IF($F50=0,"",IF(ISNUMBER(INDEX(Data!O$1:O$373,$F50)),INDEX(Data!O$1:O$373,$F50),""))</f>
        <v>141.1</v>
      </c>
      <c r="S50" s="6">
        <f>IF($F50=0,"",IF(ISNUMBER(INDEX(Data!P$1:P$373,$F50)),INDEX(Data!P$1:P$373,$F50),""))</f>
        <v>137</v>
      </c>
      <c r="T50" s="6">
        <f>IF($F50=0,"",IF(ISNUMBER(INDEX(Data!Q$1:Q$373,$F50)),INDEX(Data!Q$1:Q$373,$F50),""))</f>
        <v>141.8</v>
      </c>
      <c r="U50" s="6">
        <f>IF($F50=0,"",IF(ISNUMBER(INDEX(Data!R$1:R$373,$F50)),INDEX(Data!R$1:R$373,$F50),""))</f>
        <v>135.5</v>
      </c>
      <c r="V50" s="6">
        <f>IF($F50=0,"",IF(ISNUMBER(INDEX(Data!S$1:S$373,$F50)),INDEX(Data!S$1:S$373,$F50),""))</f>
        <v>129.1</v>
      </c>
      <c r="W50" s="6">
        <f>IF($F50=0,"",IF(ISNUMBER(INDEX(Data!T$1:T$373,$F50)),INDEX(Data!T$1:T$373,$F50),""))</f>
        <v>134.5</v>
      </c>
      <c r="X50" s="6">
        <f>IF($F50=0,"",IF(ISNUMBER(INDEX(Data!U$1:U$373,$F50)),INDEX(Data!U$1:U$373,$F50),""))</f>
        <v>128.7</v>
      </c>
      <c r="Y50" s="6">
        <f>IF($F50=0,"",IF(ISNUMBER(INDEX(Data!V$1:V$373,$F50)),INDEX(Data!V$1:V$373,$F50),""))</f>
        <v>124.3</v>
      </c>
      <c r="Z50" s="6">
        <f>IF($F50=0,"",IF(ISNUMBER(INDEX(Data!W$1:W$373,$F50)),INDEX(Data!W$1:W$373,$F50),""))</f>
        <v>128.4</v>
      </c>
      <c r="AA50" s="6">
        <f>IF($F50=0,"",IF(ISNUMBER(INDEX(Data!X$1:X$373,$F50)),INDEX(Data!X$1:X$373,$F50),""))</f>
        <v>126.1</v>
      </c>
      <c r="AB50" s="6">
        <f>IF($F50=0,"",IF(ISNUMBER(INDEX(Data!Y$1:Y$373,$F50)),INDEX(Data!Y$1:Y$373,$F50),""))</f>
        <v>115.2</v>
      </c>
      <c r="AC50" s="6">
        <f>IF($F50=0,"",IF(ISNUMBER(INDEX(Data!Z$1:Z$373,$F50)),INDEX(Data!Z$1:Z$373,$F50),""))</f>
        <v>123.5</v>
      </c>
      <c r="AD50" s="6">
        <f>IF($F50=0,"",IF(ISNUMBER(INDEX(Data!AA$1:AA$373,$F50)),INDEX(Data!AA$1:AA$373,$F50),""))</f>
        <v>132.4</v>
      </c>
      <c r="AE50" s="6">
        <f>IF($F50=0,"",IF(ISNUMBER(INDEX(Data!AB$1:AB$373,$F50)),INDEX(Data!AB$1:AB$373,$F50),""))</f>
        <v>122.1</v>
      </c>
      <c r="AF50" s="6">
        <f>IF($F50=0,"",IF(ISNUMBER(INDEX(Data!AC$1:AC$373,$F50)),INDEX(Data!AC$1:AC$373,$F50),""))</f>
        <v>123.4</v>
      </c>
      <c r="AG50" s="6">
        <f>IF($F50=0,"",IF(ISNUMBER(INDEX(Data!AD$1:AD$373,$F50)),INDEX(Data!AD$1:AD$373,$F50),""))</f>
        <v>131.4</v>
      </c>
    </row>
    <row r="51" spans="1:33">
      <c r="A51" s="6">
        <v>2016</v>
      </c>
      <c r="B51" s="6">
        <v>11</v>
      </c>
      <c r="C51" s="6" t="s">
        <v>62</v>
      </c>
      <c r="D51" s="9">
        <f t="shared" si="0"/>
        <v>42675</v>
      </c>
      <c r="E51" s="6" t="str">
        <f t="shared" si="1"/>
        <v>Rural+Urban|2016|November</v>
      </c>
      <c r="F51" s="6">
        <f>IFERROR(MATCH(E51,Data!$AE$1:$AE$373,0),0)</f>
        <v>142</v>
      </c>
      <c r="G51" s="6">
        <f>IF($F51=0,"",IF(ISNUMBER(INDEX(Data!D$1:D$373,$F51)),INDEX(Data!D$1:D$373,$F51),""))</f>
        <v>131.4</v>
      </c>
      <c r="H51" s="6">
        <f>IF($F51=0,"",IF(ISNUMBER(INDEX(Data!E$1:E$373,$F51)),INDEX(Data!E$1:E$373,$F51),""))</f>
        <v>137.8</v>
      </c>
      <c r="I51" s="6">
        <f>IF($F51=0,"",IF(ISNUMBER(INDEX(Data!F$1:F$373,$F51)),INDEX(Data!F$1:F$373,$F51),""))</f>
        <v>132</v>
      </c>
      <c r="J51" s="6">
        <f>IF($F51=0,"",IF(ISNUMBER(INDEX(Data!G$1:G$373,$F51)),INDEX(Data!G$1:G$373,$F51),""))</f>
        <v>135</v>
      </c>
      <c r="K51" s="6">
        <f>IF($F51=0,"",IF(ISNUMBER(INDEX(Data!H$1:H$373,$F51)),INDEX(Data!H$1:H$373,$F51),""))</f>
        <v>118</v>
      </c>
      <c r="L51" s="6">
        <f>IF($F51=0,"",IF(ISNUMBER(INDEX(Data!I$1:I$373,$F51)),INDEX(Data!I$1:I$373,$F51),""))</f>
        <v>134.1</v>
      </c>
      <c r="M51" s="6">
        <f>IF($F51=0,"",IF(ISNUMBER(INDEX(Data!J$1:J$373,$F51)),INDEX(Data!J$1:J$373,$F51),""))</f>
        <v>141.9</v>
      </c>
      <c r="N51" s="6">
        <f>IF($F51=0,"",IF(ISNUMBER(INDEX(Data!K$1:K$373,$F51)),INDEX(Data!K$1:K$373,$F51),""))</f>
        <v>171.7</v>
      </c>
      <c r="O51" s="6">
        <f>IF($F51=0,"",IF(ISNUMBER(INDEX(Data!L$1:L$373,$F51)),INDEX(Data!L$1:L$373,$F51),""))</f>
        <v>114.1</v>
      </c>
      <c r="P51" s="6">
        <f>IF($F51=0,"",IF(ISNUMBER(INDEX(Data!M$1:M$373,$F51)),INDEX(Data!M$1:M$373,$F51),""))</f>
        <v>139.7</v>
      </c>
      <c r="Q51" s="6">
        <f>IF($F51=0,"",IF(ISNUMBER(INDEX(Data!N$1:N$373,$F51)),INDEX(Data!N$1:N$373,$F51),""))</f>
        <v>126.2</v>
      </c>
      <c r="R51" s="6">
        <f>IF($F51=0,"",IF(ISNUMBER(INDEX(Data!O$1:O$373,$F51)),INDEX(Data!O$1:O$373,$F51),""))</f>
        <v>141.8</v>
      </c>
      <c r="S51" s="6">
        <f>IF($F51=0,"",IF(ISNUMBER(INDEX(Data!P$1:P$373,$F51)),INDEX(Data!P$1:P$373,$F51),""))</f>
        <v>136.1</v>
      </c>
      <c r="T51" s="6">
        <f>IF($F51=0,"",IF(ISNUMBER(INDEX(Data!Q$1:Q$373,$F51)),INDEX(Data!Q$1:Q$373,$F51),""))</f>
        <v>142</v>
      </c>
      <c r="U51" s="6">
        <f>IF($F51=0,"",IF(ISNUMBER(INDEX(Data!R$1:R$373,$F51)),INDEX(Data!R$1:R$373,$F51),""))</f>
        <v>135.8</v>
      </c>
      <c r="V51" s="6">
        <f>IF($F51=0,"",IF(ISNUMBER(INDEX(Data!S$1:S$373,$F51)),INDEX(Data!S$1:S$373,$F51),""))</f>
        <v>129.3</v>
      </c>
      <c r="W51" s="6">
        <f>IF($F51=0,"",IF(ISNUMBER(INDEX(Data!T$1:T$373,$F51)),INDEX(Data!T$1:T$373,$F51),""))</f>
        <v>135</v>
      </c>
      <c r="X51" s="6">
        <f>IF($F51=0,"",IF(ISNUMBER(INDEX(Data!U$1:U$373,$F51)),INDEX(Data!U$1:U$373,$F51),""))</f>
        <v>129.1</v>
      </c>
      <c r="Y51" s="6">
        <f>IF($F51=0,"",IF(ISNUMBER(INDEX(Data!V$1:V$373,$F51)),INDEX(Data!V$1:V$373,$F51),""))</f>
        <v>125</v>
      </c>
      <c r="Z51" s="6">
        <f>IF($F51=0,"",IF(ISNUMBER(INDEX(Data!W$1:W$373,$F51)),INDEX(Data!W$1:W$373,$F51),""))</f>
        <v>128.6</v>
      </c>
      <c r="AA51" s="6">
        <f>IF($F51=0,"",IF(ISNUMBER(INDEX(Data!X$1:X$373,$F51)),INDEX(Data!X$1:X$373,$F51),""))</f>
        <v>126.4</v>
      </c>
      <c r="AB51" s="6">
        <f>IF($F51=0,"",IF(ISNUMBER(INDEX(Data!Y$1:Y$373,$F51)),INDEX(Data!Y$1:Y$373,$F51),""))</f>
        <v>115.7</v>
      </c>
      <c r="AC51" s="6">
        <f>IF($F51=0,"",IF(ISNUMBER(INDEX(Data!Z$1:Z$373,$F51)),INDEX(Data!Z$1:Z$373,$F51),""))</f>
        <v>124</v>
      </c>
      <c r="AD51" s="6">
        <f>IF($F51=0,"",IF(ISNUMBER(INDEX(Data!AA$1:AA$373,$F51)),INDEX(Data!AA$1:AA$373,$F51),""))</f>
        <v>132.8</v>
      </c>
      <c r="AE51" s="6">
        <f>IF($F51=0,"",IF(ISNUMBER(INDEX(Data!AB$1:AB$373,$F51)),INDEX(Data!AB$1:AB$373,$F51),""))</f>
        <v>122.6</v>
      </c>
      <c r="AF51" s="6">
        <f>IF($F51=0,"",IF(ISNUMBER(INDEX(Data!AC$1:AC$373,$F51)),INDEX(Data!AC$1:AC$373,$F51),""))</f>
        <v>123.8</v>
      </c>
      <c r="AG51" s="6">
        <f>IF($F51=0,"",IF(ISNUMBER(INDEX(Data!AD$1:AD$373,$F51)),INDEX(Data!AD$1:AD$373,$F51),""))</f>
        <v>131.2</v>
      </c>
    </row>
    <row r="52" spans="1:33">
      <c r="A52" s="6">
        <v>2016</v>
      </c>
      <c r="B52" s="6">
        <v>12</v>
      </c>
      <c r="C52" s="6" t="s">
        <v>63</v>
      </c>
      <c r="D52" s="9">
        <f t="shared" si="0"/>
        <v>42705</v>
      </c>
      <c r="E52" s="6" t="str">
        <f t="shared" si="1"/>
        <v>Rural+Urban|2016|December</v>
      </c>
      <c r="F52" s="6">
        <f>IFERROR(MATCH(E52,Data!$AE$1:$AE$373,0),0)</f>
        <v>145</v>
      </c>
      <c r="G52" s="6">
        <f>IF($F52=0,"",IF(ISNUMBER(INDEX(Data!D$1:D$373,$F52)),INDEX(Data!D$1:D$373,$F52),""))</f>
        <v>132.3</v>
      </c>
      <c r="H52" s="6">
        <f>IF($F52=0,"",IF(ISNUMBER(INDEX(Data!E$1:E$373,$F52)),INDEX(Data!E$1:E$373,$F52),""))</f>
        <v>137.6</v>
      </c>
      <c r="I52" s="6">
        <f>IF($F52=0,"",IF(ISNUMBER(INDEX(Data!F$1:F$373,$F52)),INDEX(Data!F$1:F$373,$F52),""))</f>
        <v>132.9</v>
      </c>
      <c r="J52" s="6">
        <f>IF($F52=0,"",IF(ISNUMBER(INDEX(Data!G$1:G$373,$F52)),INDEX(Data!G$1:G$373,$F52),""))</f>
        <v>135.1</v>
      </c>
      <c r="K52" s="6">
        <f>IF($F52=0,"",IF(ISNUMBER(INDEX(Data!H$1:H$373,$F52)),INDEX(Data!H$1:H$373,$F52),""))</f>
        <v>118.6</v>
      </c>
      <c r="L52" s="6">
        <f>IF($F52=0,"",IF(ISNUMBER(INDEX(Data!I$1:I$373,$F52)),INDEX(Data!I$1:I$373,$F52),""))</f>
        <v>132.7</v>
      </c>
      <c r="M52" s="6">
        <f>IF($F52=0,"",IF(ISNUMBER(INDEX(Data!J$1:J$373,$F52)),INDEX(Data!J$1:J$373,$F52),""))</f>
        <v>125.3</v>
      </c>
      <c r="N52" s="6">
        <f>IF($F52=0,"",IF(ISNUMBER(INDEX(Data!K$1:K$373,$F52)),INDEX(Data!K$1:K$373,$F52),""))</f>
        <v>168.7</v>
      </c>
      <c r="O52" s="6">
        <f>IF($F52=0,"",IF(ISNUMBER(INDEX(Data!L$1:L$373,$F52)),INDEX(Data!L$1:L$373,$F52),""))</f>
        <v>114.4</v>
      </c>
      <c r="P52" s="6">
        <f>IF($F52=0,"",IF(ISNUMBER(INDEX(Data!M$1:M$373,$F52)),INDEX(Data!M$1:M$373,$F52),""))</f>
        <v>140.2</v>
      </c>
      <c r="Q52" s="6">
        <f>IF($F52=0,"",IF(ISNUMBER(INDEX(Data!N$1:N$373,$F52)),INDEX(Data!N$1:N$373,$F52),""))</f>
        <v>126.6</v>
      </c>
      <c r="R52" s="6">
        <f>IF($F52=0,"",IF(ISNUMBER(INDEX(Data!O$1:O$373,$F52)),INDEX(Data!O$1:O$373,$F52),""))</f>
        <v>142.3</v>
      </c>
      <c r="S52" s="6">
        <f>IF($F52=0,"",IF(ISNUMBER(INDEX(Data!P$1:P$373,$F52)),INDEX(Data!P$1:P$373,$F52),""))</f>
        <v>134</v>
      </c>
      <c r="T52" s="6">
        <f>IF($F52=0,"",IF(ISNUMBER(INDEX(Data!Q$1:Q$373,$F52)),INDEX(Data!Q$1:Q$373,$F52),""))</f>
        <v>143.1</v>
      </c>
      <c r="U52" s="6">
        <f>IF($F52=0,"",IF(ISNUMBER(INDEX(Data!R$1:R$373,$F52)),INDEX(Data!R$1:R$373,$F52),""))</f>
        <v>136.3</v>
      </c>
      <c r="V52" s="6">
        <f>IF($F52=0,"",IF(ISNUMBER(INDEX(Data!S$1:S$373,$F52)),INDEX(Data!S$1:S$373,$F52),""))</f>
        <v>129.8</v>
      </c>
      <c r="W52" s="6">
        <f>IF($F52=0,"",IF(ISNUMBER(INDEX(Data!T$1:T$373,$F52)),INDEX(Data!T$1:T$373,$F52),""))</f>
        <v>135.4</v>
      </c>
      <c r="X52" s="6">
        <f>IF($F52=0,"",IF(ISNUMBER(INDEX(Data!U$1:U$373,$F52)),INDEX(Data!U$1:U$373,$F52),""))</f>
        <v>128.5</v>
      </c>
      <c r="Y52" s="6">
        <f>IF($F52=0,"",IF(ISNUMBER(INDEX(Data!V$1:V$373,$F52)),INDEX(Data!V$1:V$373,$F52),""))</f>
        <v>126.6</v>
      </c>
      <c r="Z52" s="6">
        <f>IF($F52=0,"",IF(ISNUMBER(INDEX(Data!W$1:W$373,$F52)),INDEX(Data!W$1:W$373,$F52),""))</f>
        <v>129.2</v>
      </c>
      <c r="AA52" s="6">
        <f>IF($F52=0,"",IF(ISNUMBER(INDEX(Data!X$1:X$373,$F52)),INDEX(Data!X$1:X$373,$F52),""))</f>
        <v>126.9</v>
      </c>
      <c r="AB52" s="6">
        <f>IF($F52=0,"",IF(ISNUMBER(INDEX(Data!Y$1:Y$373,$F52)),INDEX(Data!Y$1:Y$373,$F52),""))</f>
        <v>116</v>
      </c>
      <c r="AC52" s="6">
        <f>IF($F52=0,"",IF(ISNUMBER(INDEX(Data!Z$1:Z$373,$F52)),INDEX(Data!Z$1:Z$373,$F52),""))</f>
        <v>124.2</v>
      </c>
      <c r="AD52" s="6">
        <f>IF($F52=0,"",IF(ISNUMBER(INDEX(Data!AA$1:AA$373,$F52)),INDEX(Data!AA$1:AA$373,$F52),""))</f>
        <v>133.1</v>
      </c>
      <c r="AE52" s="6">
        <f>IF($F52=0,"",IF(ISNUMBER(INDEX(Data!AB$1:AB$373,$F52)),INDEX(Data!AB$1:AB$373,$F52),""))</f>
        <v>121.1</v>
      </c>
      <c r="AF52" s="6">
        <f>IF($F52=0,"",IF(ISNUMBER(INDEX(Data!AC$1:AC$373,$F52)),INDEX(Data!AC$1:AC$373,$F52),""))</f>
        <v>123.9</v>
      </c>
      <c r="AG52" s="6">
        <f>IF($F52=0,"",IF(ISNUMBER(INDEX(Data!AD$1:AD$373,$F52)),INDEX(Data!AD$1:AD$373,$F52),""))</f>
        <v>130.4</v>
      </c>
    </row>
    <row r="53" spans="1:33">
      <c r="A53" s="6">
        <v>2017</v>
      </c>
      <c r="B53" s="6">
        <v>1</v>
      </c>
      <c r="C53" s="6" t="s">
        <v>50</v>
      </c>
      <c r="D53" s="9">
        <f t="shared" si="0"/>
        <v>42736</v>
      </c>
      <c r="E53" s="6" t="str">
        <f t="shared" si="1"/>
        <v>Rural+Urban|2017|January</v>
      </c>
      <c r="F53" s="6">
        <f>IFERROR(MATCH(E53,Data!$AE$1:$AE$373,0),0)</f>
        <v>148</v>
      </c>
      <c r="G53" s="6">
        <f>IF($F53=0,"",IF(ISNUMBER(INDEX(Data!D$1:D$373,$F53)),INDEX(Data!D$1:D$373,$F53),""))</f>
        <v>132.8</v>
      </c>
      <c r="H53" s="6">
        <f>IF($F53=0,"",IF(ISNUMBER(INDEX(Data!E$1:E$373,$F53)),INDEX(Data!E$1:E$373,$F53),""))</f>
        <v>138.2</v>
      </c>
      <c r="I53" s="6">
        <f>IF($F53=0,"",IF(ISNUMBER(INDEX(Data!F$1:F$373,$F53)),INDEX(Data!F$1:F$373,$F53),""))</f>
        <v>132.2</v>
      </c>
      <c r="J53" s="6">
        <f>IF($F53=0,"",IF(ISNUMBER(INDEX(Data!G$1:G$373,$F53)),INDEX(Data!G$1:G$373,$F53),""))</f>
        <v>135.4</v>
      </c>
      <c r="K53" s="6">
        <f>IF($F53=0,"",IF(ISNUMBER(INDEX(Data!H$1:H$373,$F53)),INDEX(Data!H$1:H$373,$F53),""))</f>
        <v>119.1</v>
      </c>
      <c r="L53" s="6">
        <f>IF($F53=0,"",IF(ISNUMBER(INDEX(Data!I$1:I$373,$F53)),INDEX(Data!I$1:I$373,$F53),""))</f>
        <v>133</v>
      </c>
      <c r="M53" s="6">
        <f>IF($F53=0,"",IF(ISNUMBER(INDEX(Data!J$1:J$373,$F53)),INDEX(Data!J$1:J$373,$F53),""))</f>
        <v>119.4</v>
      </c>
      <c r="N53" s="6">
        <f>IF($F53=0,"",IF(ISNUMBER(INDEX(Data!K$1:K$373,$F53)),INDEX(Data!K$1:K$373,$F53),""))</f>
        <v>159.5</v>
      </c>
      <c r="O53" s="6">
        <f>IF($F53=0,"",IF(ISNUMBER(INDEX(Data!L$1:L$373,$F53)),INDEX(Data!L$1:L$373,$F53),""))</f>
        <v>115.6</v>
      </c>
      <c r="P53" s="6">
        <f>IF($F53=0,"",IF(ISNUMBER(INDEX(Data!M$1:M$373,$F53)),INDEX(Data!M$1:M$373,$F53),""))</f>
        <v>139.6</v>
      </c>
      <c r="Q53" s="6">
        <f>IF($F53=0,"",IF(ISNUMBER(INDEX(Data!N$1:N$373,$F53)),INDEX(Data!N$1:N$373,$F53),""))</f>
        <v>126.6</v>
      </c>
      <c r="R53" s="6">
        <f>IF($F53=0,"",IF(ISNUMBER(INDEX(Data!O$1:O$373,$F53)),INDEX(Data!O$1:O$373,$F53),""))</f>
        <v>142.8</v>
      </c>
      <c r="S53" s="6">
        <f>IF($F53=0,"",IF(ISNUMBER(INDEX(Data!P$1:P$373,$F53)),INDEX(Data!P$1:P$373,$F53),""))</f>
        <v>133.1</v>
      </c>
      <c r="T53" s="6">
        <f>IF($F53=0,"",IF(ISNUMBER(INDEX(Data!Q$1:Q$373,$F53)),INDEX(Data!Q$1:Q$373,$F53),""))</f>
        <v>143.8</v>
      </c>
      <c r="U53" s="6">
        <f>IF($F53=0,"",IF(ISNUMBER(INDEX(Data!R$1:R$373,$F53)),INDEX(Data!R$1:R$373,$F53),""))</f>
        <v>136.6</v>
      </c>
      <c r="V53" s="6">
        <f>IF($F53=0,"",IF(ISNUMBER(INDEX(Data!S$1:S$373,$F53)),INDEX(Data!S$1:S$373,$F53),""))</f>
        <v>130.2</v>
      </c>
      <c r="W53" s="6">
        <f>IF($F53=0,"",IF(ISNUMBER(INDEX(Data!T$1:T$373,$F53)),INDEX(Data!T$1:T$373,$F53),""))</f>
        <v>135.6</v>
      </c>
      <c r="X53" s="6">
        <f>IF($F53=0,"",IF(ISNUMBER(INDEX(Data!U$1:U$373,$F53)),INDEX(Data!U$1:U$373,$F53),""))</f>
        <v>129.6</v>
      </c>
      <c r="Y53" s="6">
        <f>IF($F53=0,"",IF(ISNUMBER(INDEX(Data!V$1:V$373,$F53)),INDEX(Data!V$1:V$373,$F53),""))</f>
        <v>126.8</v>
      </c>
      <c r="Z53" s="6">
        <f>IF($F53=0,"",IF(ISNUMBER(INDEX(Data!W$1:W$373,$F53)),INDEX(Data!W$1:W$373,$F53),""))</f>
        <v>129.4</v>
      </c>
      <c r="AA53" s="6">
        <f>IF($F53=0,"",IF(ISNUMBER(INDEX(Data!X$1:X$373,$F53)),INDEX(Data!X$1:X$373,$F53),""))</f>
        <v>127.1</v>
      </c>
      <c r="AB53" s="6">
        <f>IF($F53=0,"",IF(ISNUMBER(INDEX(Data!Y$1:Y$373,$F53)),INDEX(Data!Y$1:Y$373,$F53),""))</f>
        <v>117</v>
      </c>
      <c r="AC53" s="6">
        <f>IF($F53=0,"",IF(ISNUMBER(INDEX(Data!Z$1:Z$373,$F53)),INDEX(Data!Z$1:Z$373,$F53),""))</f>
        <v>124.2</v>
      </c>
      <c r="AD53" s="6">
        <f>IF($F53=0,"",IF(ISNUMBER(INDEX(Data!AA$1:AA$373,$F53)),INDEX(Data!AA$1:AA$373,$F53),""))</f>
        <v>133.3</v>
      </c>
      <c r="AE53" s="6">
        <f>IF($F53=0,"",IF(ISNUMBER(INDEX(Data!AB$1:AB$373,$F53)),INDEX(Data!AB$1:AB$373,$F53),""))</f>
        <v>121.7</v>
      </c>
      <c r="AF53" s="6">
        <f>IF($F53=0,"",IF(ISNUMBER(INDEX(Data!AC$1:AC$373,$F53)),INDEX(Data!AC$1:AC$373,$F53),""))</f>
        <v>124.4</v>
      </c>
      <c r="AG53" s="6">
        <f>IF($F53=0,"",IF(ISNUMBER(INDEX(Data!AD$1:AD$373,$F53)),INDEX(Data!AD$1:AD$373,$F53),""))</f>
        <v>130.3</v>
      </c>
    </row>
    <row r="54" spans="1:33">
      <c r="A54" s="6">
        <v>2017</v>
      </c>
      <c r="B54" s="6">
        <v>2</v>
      </c>
      <c r="C54" s="6" t="s">
        <v>53</v>
      </c>
      <c r="D54" s="9">
        <f t="shared" si="0"/>
        <v>42767</v>
      </c>
      <c r="E54" s="6" t="str">
        <f t="shared" si="1"/>
        <v>Rural+Urban|2017|February</v>
      </c>
      <c r="F54" s="6">
        <f>IFERROR(MATCH(E54,Data!$AE$1:$AE$373,0),0)</f>
        <v>151</v>
      </c>
      <c r="G54" s="6">
        <f>IF($F54=0,"",IF(ISNUMBER(INDEX(Data!D$1:D$373,$F54)),INDEX(Data!D$1:D$373,$F54),""))</f>
        <v>133.1</v>
      </c>
      <c r="H54" s="6">
        <f>IF($F54=0,"",IF(ISNUMBER(INDEX(Data!E$1:E$373,$F54)),INDEX(Data!E$1:E$373,$F54),""))</f>
        <v>138.8</v>
      </c>
      <c r="I54" s="6">
        <f>IF($F54=0,"",IF(ISNUMBER(INDEX(Data!F$1:F$373,$F54)),INDEX(Data!F$1:F$373,$F54),""))</f>
        <v>129.3</v>
      </c>
      <c r="J54" s="6">
        <f>IF($F54=0,"",IF(ISNUMBER(INDEX(Data!G$1:G$373,$F54)),INDEX(Data!G$1:G$373,$F54),""))</f>
        <v>135.8</v>
      </c>
      <c r="K54" s="6">
        <f>IF($F54=0,"",IF(ISNUMBER(INDEX(Data!H$1:H$373,$F54)),INDEX(Data!H$1:H$373,$F54),""))</f>
        <v>119.2</v>
      </c>
      <c r="L54" s="6">
        <f>IF($F54=0,"",IF(ISNUMBER(INDEX(Data!I$1:I$373,$F54)),INDEX(Data!I$1:I$373,$F54),""))</f>
        <v>135.3</v>
      </c>
      <c r="M54" s="6">
        <f>IF($F54=0,"",IF(ISNUMBER(INDEX(Data!J$1:J$373,$F54)),INDEX(Data!J$1:J$373,$F54),""))</f>
        <v>119.5</v>
      </c>
      <c r="N54" s="6">
        <f>IF($F54=0,"",IF(ISNUMBER(INDEX(Data!K$1:K$373,$F54)),INDEX(Data!K$1:K$373,$F54),""))</f>
        <v>152.2</v>
      </c>
      <c r="O54" s="6">
        <f>IF($F54=0,"",IF(ISNUMBER(INDEX(Data!L$1:L$373,$F54)),INDEX(Data!L$1:L$373,$F54),""))</f>
        <v>117.3</v>
      </c>
      <c r="P54" s="6">
        <f>IF($F54=0,"",IF(ISNUMBER(INDEX(Data!M$1:M$373,$F54)),INDEX(Data!M$1:M$373,$F54),""))</f>
        <v>138.7</v>
      </c>
      <c r="Q54" s="6">
        <f>IF($F54=0,"",IF(ISNUMBER(INDEX(Data!N$1:N$373,$F54)),INDEX(Data!N$1:N$373,$F54),""))</f>
        <v>126.9</v>
      </c>
      <c r="R54" s="6">
        <f>IF($F54=0,"",IF(ISNUMBER(INDEX(Data!O$1:O$373,$F54)),INDEX(Data!O$1:O$373,$F54),""))</f>
        <v>143.2</v>
      </c>
      <c r="S54" s="6">
        <f>IF($F54=0,"",IF(ISNUMBER(INDEX(Data!P$1:P$373,$F54)),INDEX(Data!P$1:P$373,$F54),""))</f>
        <v>133</v>
      </c>
      <c r="T54" s="6">
        <f>IF($F54=0,"",IF(ISNUMBER(INDEX(Data!Q$1:Q$373,$F54)),INDEX(Data!Q$1:Q$373,$F54),""))</f>
        <v>144.4</v>
      </c>
      <c r="U54" s="6">
        <f>IF($F54=0,"",IF(ISNUMBER(INDEX(Data!R$1:R$373,$F54)),INDEX(Data!R$1:R$373,$F54),""))</f>
        <v>136.8</v>
      </c>
      <c r="V54" s="6">
        <f>IF($F54=0,"",IF(ISNUMBER(INDEX(Data!S$1:S$373,$F54)),INDEX(Data!S$1:S$373,$F54),""))</f>
        <v>130.3</v>
      </c>
      <c r="W54" s="6">
        <f>IF($F54=0,"",IF(ISNUMBER(INDEX(Data!T$1:T$373,$F54)),INDEX(Data!T$1:T$373,$F54),""))</f>
        <v>135.9</v>
      </c>
      <c r="X54" s="6">
        <f>IF($F54=0,"",IF(ISNUMBER(INDEX(Data!U$1:U$373,$F54)),INDEX(Data!U$1:U$373,$F54),""))</f>
        <v>130.5</v>
      </c>
      <c r="Y54" s="6">
        <f>IF($F54=0,"",IF(ISNUMBER(INDEX(Data!V$1:V$373,$F54)),INDEX(Data!V$1:V$373,$F54),""))</f>
        <v>127.9</v>
      </c>
      <c r="Z54" s="6">
        <f>IF($F54=0,"",IF(ISNUMBER(INDEX(Data!W$1:W$373,$F54)),INDEX(Data!W$1:W$373,$F54),""))</f>
        <v>129.7</v>
      </c>
      <c r="AA54" s="6">
        <f>IF($F54=0,"",IF(ISNUMBER(INDEX(Data!X$1:X$373,$F54)),INDEX(Data!X$1:X$373,$F54),""))</f>
        <v>127.4</v>
      </c>
      <c r="AB54" s="6">
        <f>IF($F54=0,"",IF(ISNUMBER(INDEX(Data!Y$1:Y$373,$F54)),INDEX(Data!Y$1:Y$373,$F54),""))</f>
        <v>117.4</v>
      </c>
      <c r="AC54" s="6">
        <f>IF($F54=0,"",IF(ISNUMBER(INDEX(Data!Z$1:Z$373,$F54)),INDEX(Data!Z$1:Z$373,$F54),""))</f>
        <v>124.6</v>
      </c>
      <c r="AD54" s="6">
        <f>IF($F54=0,"",IF(ISNUMBER(INDEX(Data!AA$1:AA$373,$F54)),INDEX(Data!AA$1:AA$373,$F54),""))</f>
        <v>133.4</v>
      </c>
      <c r="AE54" s="6">
        <f>IF($F54=0,"",IF(ISNUMBER(INDEX(Data!AB$1:AB$373,$F54)),INDEX(Data!AB$1:AB$373,$F54),""))</f>
        <v>122.6</v>
      </c>
      <c r="AF54" s="6">
        <f>IF($F54=0,"",IF(ISNUMBER(INDEX(Data!AC$1:AC$373,$F54)),INDEX(Data!AC$1:AC$373,$F54),""))</f>
        <v>124.8</v>
      </c>
      <c r="AG54" s="6">
        <f>IF($F54=0,"",IF(ISNUMBER(INDEX(Data!AD$1:AD$373,$F54)),INDEX(Data!AD$1:AD$373,$F54),""))</f>
        <v>130.6</v>
      </c>
    </row>
    <row r="55" spans="1:33">
      <c r="A55" s="6">
        <v>2017</v>
      </c>
      <c r="B55" s="6">
        <v>3</v>
      </c>
      <c r="C55" s="6" t="s">
        <v>54</v>
      </c>
      <c r="D55" s="9">
        <f t="shared" si="0"/>
        <v>42795</v>
      </c>
      <c r="E55" s="6" t="str">
        <f t="shared" si="1"/>
        <v>Rural+Urban|2017|March</v>
      </c>
      <c r="F55" s="6">
        <f>IFERROR(MATCH(E55,Data!$AE$1:$AE$373,0),0)</f>
        <v>154</v>
      </c>
      <c r="G55" s="6">
        <f>IF($F55=0,"",IF(ISNUMBER(INDEX(Data!D$1:D$373,$F55)),INDEX(Data!D$1:D$373,$F55),""))</f>
        <v>133.3</v>
      </c>
      <c r="H55" s="6">
        <f>IF($F55=0,"",IF(ISNUMBER(INDEX(Data!E$1:E$373,$F55)),INDEX(Data!E$1:E$373,$F55),""))</f>
        <v>139</v>
      </c>
      <c r="I55" s="6">
        <f>IF($F55=0,"",IF(ISNUMBER(INDEX(Data!F$1:F$373,$F55)),INDEX(Data!F$1:F$373,$F55),""))</f>
        <v>128.6</v>
      </c>
      <c r="J55" s="6">
        <f>IF($F55=0,"",IF(ISNUMBER(INDEX(Data!G$1:G$373,$F55)),INDEX(Data!G$1:G$373,$F55),""))</f>
        <v>136.3</v>
      </c>
      <c r="K55" s="6">
        <f>IF($F55=0,"",IF(ISNUMBER(INDEX(Data!H$1:H$373,$F55)),INDEX(Data!H$1:H$373,$F55),""))</f>
        <v>118.8</v>
      </c>
      <c r="L55" s="6">
        <f>IF($F55=0,"",IF(ISNUMBER(INDEX(Data!I$1:I$373,$F55)),INDEX(Data!I$1:I$373,$F55),""))</f>
        <v>138.3</v>
      </c>
      <c r="M55" s="6">
        <f>IF($F55=0,"",IF(ISNUMBER(INDEX(Data!J$1:J$373,$F55)),INDEX(Data!J$1:J$373,$F55),""))</f>
        <v>120.5</v>
      </c>
      <c r="N55" s="6">
        <f>IF($F55=0,"",IF(ISNUMBER(INDEX(Data!K$1:K$373,$F55)),INDEX(Data!K$1:K$373,$F55),""))</f>
        <v>143.9</v>
      </c>
      <c r="O55" s="6">
        <f>IF($F55=0,"",IF(ISNUMBER(INDEX(Data!L$1:L$373,$F55)),INDEX(Data!L$1:L$373,$F55),""))</f>
        <v>118</v>
      </c>
      <c r="P55" s="6">
        <f>IF($F55=0,"",IF(ISNUMBER(INDEX(Data!M$1:M$373,$F55)),INDEX(Data!M$1:M$373,$F55),""))</f>
        <v>137.9</v>
      </c>
      <c r="Q55" s="6">
        <f>IF($F55=0,"",IF(ISNUMBER(INDEX(Data!N$1:N$373,$F55)),INDEX(Data!N$1:N$373,$F55),""))</f>
        <v>127.2</v>
      </c>
      <c r="R55" s="6">
        <f>IF($F55=0,"",IF(ISNUMBER(INDEX(Data!O$1:O$373,$F55)),INDEX(Data!O$1:O$373,$F55),""))</f>
        <v>144</v>
      </c>
      <c r="S55" s="6">
        <f>IF($F55=0,"",IF(ISNUMBER(INDEX(Data!P$1:P$373,$F55)),INDEX(Data!P$1:P$373,$F55),""))</f>
        <v>133.1</v>
      </c>
      <c r="T55" s="6">
        <f>IF($F55=0,"",IF(ISNUMBER(INDEX(Data!Q$1:Q$373,$F55)),INDEX(Data!Q$1:Q$373,$F55),""))</f>
        <v>145.1</v>
      </c>
      <c r="U55" s="6">
        <f>IF($F55=0,"",IF(ISNUMBER(INDEX(Data!R$1:R$373,$F55)),INDEX(Data!R$1:R$373,$F55),""))</f>
        <v>137.3</v>
      </c>
      <c r="V55" s="6">
        <f>IF($F55=0,"",IF(ISNUMBER(INDEX(Data!S$1:S$373,$F55)),INDEX(Data!S$1:S$373,$F55),""))</f>
        <v>130.6</v>
      </c>
      <c r="W55" s="6">
        <f>IF($F55=0,"",IF(ISNUMBER(INDEX(Data!T$1:T$373,$F55)),INDEX(Data!T$1:T$373,$F55),""))</f>
        <v>136.4</v>
      </c>
      <c r="X55" s="6">
        <f>IF($F55=0,"",IF(ISNUMBER(INDEX(Data!U$1:U$373,$F55)),INDEX(Data!U$1:U$373,$F55),""))</f>
        <v>131.1</v>
      </c>
      <c r="Y55" s="6">
        <f>IF($F55=0,"",IF(ISNUMBER(INDEX(Data!V$1:V$373,$F55)),INDEX(Data!V$1:V$373,$F55),""))</f>
        <v>129.1</v>
      </c>
      <c r="Z55" s="6">
        <f>IF($F55=0,"",IF(ISNUMBER(INDEX(Data!W$1:W$373,$F55)),INDEX(Data!W$1:W$373,$F55),""))</f>
        <v>130.1</v>
      </c>
      <c r="AA55" s="6">
        <f>IF($F55=0,"",IF(ISNUMBER(INDEX(Data!X$1:X$373,$F55)),INDEX(Data!X$1:X$373,$F55),""))</f>
        <v>127.8</v>
      </c>
      <c r="AB55" s="6">
        <f>IF($F55=0,"",IF(ISNUMBER(INDEX(Data!Y$1:Y$373,$F55)),INDEX(Data!Y$1:Y$373,$F55),""))</f>
        <v>117.6</v>
      </c>
      <c r="AC55" s="6">
        <f>IF($F55=0,"",IF(ISNUMBER(INDEX(Data!Z$1:Z$373,$F55)),INDEX(Data!Z$1:Z$373,$F55),""))</f>
        <v>125</v>
      </c>
      <c r="AD55" s="6">
        <f>IF($F55=0,"",IF(ISNUMBER(INDEX(Data!AA$1:AA$373,$F55)),INDEX(Data!AA$1:AA$373,$F55),""))</f>
        <v>133.8</v>
      </c>
      <c r="AE55" s="6">
        <f>IF($F55=0,"",IF(ISNUMBER(INDEX(Data!AB$1:AB$373,$F55)),INDEX(Data!AB$1:AB$373,$F55),""))</f>
        <v>122.6</v>
      </c>
      <c r="AF55" s="6">
        <f>IF($F55=0,"",IF(ISNUMBER(INDEX(Data!AC$1:AC$373,$F55)),INDEX(Data!AC$1:AC$373,$F55),""))</f>
        <v>125.1</v>
      </c>
      <c r="AG55" s="6">
        <f>IF($F55=0,"",IF(ISNUMBER(INDEX(Data!AD$1:AD$373,$F55)),INDEX(Data!AD$1:AD$373,$F55),""))</f>
        <v>130.9</v>
      </c>
    </row>
    <row r="56" spans="1:33">
      <c r="A56" s="6">
        <v>2017</v>
      </c>
      <c r="B56" s="6">
        <v>4</v>
      </c>
      <c r="C56" s="6" t="s">
        <v>55</v>
      </c>
      <c r="D56" s="9">
        <f t="shared" si="0"/>
        <v>42826</v>
      </c>
      <c r="E56" s="6" t="str">
        <f t="shared" si="1"/>
        <v>Rural+Urban|2017|April</v>
      </c>
      <c r="F56" s="6">
        <f>IFERROR(MATCH(E56,Data!$AE$1:$AE$373,0),0)</f>
        <v>157</v>
      </c>
      <c r="G56" s="6">
        <f>IF($F56=0,"",IF(ISNUMBER(INDEX(Data!D$1:D$373,$F56)),INDEX(Data!D$1:D$373,$F56),""))</f>
        <v>133</v>
      </c>
      <c r="H56" s="6">
        <f>IF($F56=0,"",IF(ISNUMBER(INDEX(Data!E$1:E$373,$F56)),INDEX(Data!E$1:E$373,$F56),""))</f>
        <v>139.4</v>
      </c>
      <c r="I56" s="6">
        <f>IF($F56=0,"",IF(ISNUMBER(INDEX(Data!F$1:F$373,$F56)),INDEX(Data!F$1:F$373,$F56),""))</f>
        <v>126.1</v>
      </c>
      <c r="J56" s="6">
        <f>IF($F56=0,"",IF(ISNUMBER(INDEX(Data!G$1:G$373,$F56)),INDEX(Data!G$1:G$373,$F56),""))</f>
        <v>137.2</v>
      </c>
      <c r="K56" s="6">
        <f>IF($F56=0,"",IF(ISNUMBER(INDEX(Data!H$1:H$373,$F56)),INDEX(Data!H$1:H$373,$F56),""))</f>
        <v>118.4</v>
      </c>
      <c r="L56" s="6">
        <f>IF($F56=0,"",IF(ISNUMBER(INDEX(Data!I$1:I$373,$F56)),INDEX(Data!I$1:I$373,$F56),""))</f>
        <v>139.9</v>
      </c>
      <c r="M56" s="6">
        <f>IF($F56=0,"",IF(ISNUMBER(INDEX(Data!J$1:J$373,$F56)),INDEX(Data!J$1:J$373,$F56),""))</f>
        <v>123.4</v>
      </c>
      <c r="N56" s="6">
        <f>IF($F56=0,"",IF(ISNUMBER(INDEX(Data!K$1:K$373,$F56)),INDEX(Data!K$1:K$373,$F56),""))</f>
        <v>140.9</v>
      </c>
      <c r="O56" s="6">
        <f>IF($F56=0,"",IF(ISNUMBER(INDEX(Data!L$1:L$373,$F56)),INDEX(Data!L$1:L$373,$F56),""))</f>
        <v>118.5</v>
      </c>
      <c r="P56" s="6">
        <f>IF($F56=0,"",IF(ISNUMBER(INDEX(Data!M$1:M$373,$F56)),INDEX(Data!M$1:M$373,$F56),""))</f>
        <v>136.5</v>
      </c>
      <c r="Q56" s="6">
        <f>IF($F56=0,"",IF(ISNUMBER(INDEX(Data!N$1:N$373,$F56)),INDEX(Data!N$1:N$373,$F56),""))</f>
        <v>127.4</v>
      </c>
      <c r="R56" s="6">
        <f>IF($F56=0,"",IF(ISNUMBER(INDEX(Data!O$1:O$373,$F56)),INDEX(Data!O$1:O$373,$F56),""))</f>
        <v>144.2</v>
      </c>
      <c r="S56" s="6">
        <f>IF($F56=0,"",IF(ISNUMBER(INDEX(Data!P$1:P$373,$F56)),INDEX(Data!P$1:P$373,$F56),""))</f>
        <v>133.5</v>
      </c>
      <c r="T56" s="6">
        <f>IF($F56=0,"",IF(ISNUMBER(INDEX(Data!Q$1:Q$373,$F56)),INDEX(Data!Q$1:Q$373,$F56),""))</f>
        <v>145.4</v>
      </c>
      <c r="U56" s="6">
        <f>IF($F56=0,"",IF(ISNUMBER(INDEX(Data!R$1:R$373,$F56)),INDEX(Data!R$1:R$373,$F56),""))</f>
        <v>138</v>
      </c>
      <c r="V56" s="6">
        <f>IF($F56=0,"",IF(ISNUMBER(INDEX(Data!S$1:S$373,$F56)),INDEX(Data!S$1:S$373,$F56),""))</f>
        <v>131.1</v>
      </c>
      <c r="W56" s="6">
        <f>IF($F56=0,"",IF(ISNUMBER(INDEX(Data!T$1:T$373,$F56)),INDEX(Data!T$1:T$373,$F56),""))</f>
        <v>137</v>
      </c>
      <c r="X56" s="6">
        <f>IF($F56=0,"",IF(ISNUMBER(INDEX(Data!U$1:U$373,$F56)),INDEX(Data!U$1:U$373,$F56),""))</f>
        <v>131.7</v>
      </c>
      <c r="Y56" s="6">
        <f>IF($F56=0,"",IF(ISNUMBER(INDEX(Data!V$1:V$373,$F56)),INDEX(Data!V$1:V$373,$F56),""))</f>
        <v>129.8</v>
      </c>
      <c r="Z56" s="6">
        <f>IF($F56=0,"",IF(ISNUMBER(INDEX(Data!W$1:W$373,$F56)),INDEX(Data!W$1:W$373,$F56),""))</f>
        <v>130.4</v>
      </c>
      <c r="AA56" s="6">
        <f>IF($F56=0,"",IF(ISNUMBER(INDEX(Data!X$1:X$373,$F56)),INDEX(Data!X$1:X$373,$F56),""))</f>
        <v>128.1</v>
      </c>
      <c r="AB56" s="6">
        <f>IF($F56=0,"",IF(ISNUMBER(INDEX(Data!Y$1:Y$373,$F56)),INDEX(Data!Y$1:Y$373,$F56),""))</f>
        <v>116.6</v>
      </c>
      <c r="AC56" s="6">
        <f>IF($F56=0,"",IF(ISNUMBER(INDEX(Data!Z$1:Z$373,$F56)),INDEX(Data!Z$1:Z$373,$F56),""))</f>
        <v>125.1</v>
      </c>
      <c r="AD56" s="6">
        <f>IF($F56=0,"",IF(ISNUMBER(INDEX(Data!AA$1:AA$373,$F56)),INDEX(Data!AA$1:AA$373,$F56),""))</f>
        <v>134.5</v>
      </c>
      <c r="AE56" s="6">
        <f>IF($F56=0,"",IF(ISNUMBER(INDEX(Data!AB$1:AB$373,$F56)),INDEX(Data!AB$1:AB$373,$F56),""))</f>
        <v>123.1</v>
      </c>
      <c r="AF56" s="6">
        <f>IF($F56=0,"",IF(ISNUMBER(INDEX(Data!AC$1:AC$373,$F56)),INDEX(Data!AC$1:AC$373,$F56),""))</f>
        <v>125.1</v>
      </c>
      <c r="AG56" s="6">
        <f>IF($F56=0,"",IF(ISNUMBER(INDEX(Data!AD$1:AD$373,$F56)),INDEX(Data!AD$1:AD$373,$F56),""))</f>
        <v>131.1</v>
      </c>
    </row>
    <row r="57" spans="1:33">
      <c r="A57" s="6">
        <v>2017</v>
      </c>
      <c r="B57" s="6">
        <v>5</v>
      </c>
      <c r="C57" s="6" t="s">
        <v>56</v>
      </c>
      <c r="D57" s="9">
        <f t="shared" si="0"/>
        <v>42856</v>
      </c>
      <c r="E57" s="6" t="str">
        <f t="shared" si="1"/>
        <v>Rural+Urban|2017|May</v>
      </c>
      <c r="F57" s="6">
        <f>IFERROR(MATCH(E57,Data!$AE$1:$AE$373,0),0)</f>
        <v>160</v>
      </c>
      <c r="G57" s="6">
        <f>IF($F57=0,"",IF(ISNUMBER(INDEX(Data!D$1:D$373,$F57)),INDEX(Data!D$1:D$373,$F57),""))</f>
        <v>132.9</v>
      </c>
      <c r="H57" s="6">
        <f>IF($F57=0,"",IF(ISNUMBER(INDEX(Data!E$1:E$373,$F57)),INDEX(Data!E$1:E$373,$F57),""))</f>
        <v>141.6</v>
      </c>
      <c r="I57" s="6">
        <f>IF($F57=0,"",IF(ISNUMBER(INDEX(Data!F$1:F$373,$F57)),INDEX(Data!F$1:F$373,$F57),""))</f>
        <v>126.3</v>
      </c>
      <c r="J57" s="6">
        <f>IF($F57=0,"",IF(ISNUMBER(INDEX(Data!G$1:G$373,$F57)),INDEX(Data!G$1:G$373,$F57),""))</f>
        <v>137.7</v>
      </c>
      <c r="K57" s="6">
        <f>IF($F57=0,"",IF(ISNUMBER(INDEX(Data!H$1:H$373,$F57)),INDEX(Data!H$1:H$373,$F57),""))</f>
        <v>118.1</v>
      </c>
      <c r="L57" s="6">
        <f>IF($F57=0,"",IF(ISNUMBER(INDEX(Data!I$1:I$373,$F57)),INDEX(Data!I$1:I$373,$F57),""))</f>
        <v>137.9</v>
      </c>
      <c r="M57" s="6">
        <f>IF($F57=0,"",IF(ISNUMBER(INDEX(Data!J$1:J$373,$F57)),INDEX(Data!J$1:J$373,$F57),""))</f>
        <v>125.6</v>
      </c>
      <c r="N57" s="6">
        <f>IF($F57=0,"",IF(ISNUMBER(INDEX(Data!K$1:K$373,$F57)),INDEX(Data!K$1:K$373,$F57),""))</f>
        <v>138.3</v>
      </c>
      <c r="O57" s="6">
        <f>IF($F57=0,"",IF(ISNUMBER(INDEX(Data!L$1:L$373,$F57)),INDEX(Data!L$1:L$373,$F57),""))</f>
        <v>119.4</v>
      </c>
      <c r="P57" s="6">
        <f>IF($F57=0,"",IF(ISNUMBER(INDEX(Data!M$1:M$373,$F57)),INDEX(Data!M$1:M$373,$F57),""))</f>
        <v>136</v>
      </c>
      <c r="Q57" s="6">
        <f>IF($F57=0,"",IF(ISNUMBER(INDEX(Data!N$1:N$373,$F57)),INDEX(Data!N$1:N$373,$F57),""))</f>
        <v>127.6</v>
      </c>
      <c r="R57" s="6">
        <f>IF($F57=0,"",IF(ISNUMBER(INDEX(Data!O$1:O$373,$F57)),INDEX(Data!O$1:O$373,$F57),""))</f>
        <v>144.5</v>
      </c>
      <c r="S57" s="6">
        <f>IF($F57=0,"",IF(ISNUMBER(INDEX(Data!P$1:P$373,$F57)),INDEX(Data!P$1:P$373,$F57),""))</f>
        <v>133.7</v>
      </c>
      <c r="T57" s="6">
        <f>IF($F57=0,"",IF(ISNUMBER(INDEX(Data!Q$1:Q$373,$F57)),INDEX(Data!Q$1:Q$373,$F57),""))</f>
        <v>146.2</v>
      </c>
      <c r="U57" s="6">
        <f>IF($F57=0,"",IF(ISNUMBER(INDEX(Data!R$1:R$373,$F57)),INDEX(Data!R$1:R$373,$F57),""))</f>
        <v>138.2</v>
      </c>
      <c r="V57" s="6">
        <f>IF($F57=0,"",IF(ISNUMBER(INDEX(Data!S$1:S$373,$F57)),INDEX(Data!S$1:S$373,$F57),""))</f>
        <v>131.4</v>
      </c>
      <c r="W57" s="6">
        <f>IF($F57=0,"",IF(ISNUMBER(INDEX(Data!T$1:T$373,$F57)),INDEX(Data!T$1:T$373,$F57),""))</f>
        <v>137.2</v>
      </c>
      <c r="X57" s="6">
        <f>IF($F57=0,"",IF(ISNUMBER(INDEX(Data!U$1:U$373,$F57)),INDEX(Data!U$1:U$373,$F57),""))</f>
        <v>132.1</v>
      </c>
      <c r="Y57" s="6">
        <f>IF($F57=0,"",IF(ISNUMBER(INDEX(Data!V$1:V$373,$F57)),INDEX(Data!V$1:V$373,$F57),""))</f>
        <v>129.4</v>
      </c>
      <c r="Z57" s="6">
        <f>IF($F57=0,"",IF(ISNUMBER(INDEX(Data!W$1:W$373,$F57)),INDEX(Data!W$1:W$373,$F57),""))</f>
        <v>130.9</v>
      </c>
      <c r="AA57" s="6">
        <f>IF($F57=0,"",IF(ISNUMBER(INDEX(Data!X$1:X$373,$F57)),INDEX(Data!X$1:X$373,$F57),""))</f>
        <v>128.4</v>
      </c>
      <c r="AB57" s="6">
        <f>IF($F57=0,"",IF(ISNUMBER(INDEX(Data!Y$1:Y$373,$F57)),INDEX(Data!Y$1:Y$373,$F57),""))</f>
        <v>116.7</v>
      </c>
      <c r="AC57" s="6">
        <f>IF($F57=0,"",IF(ISNUMBER(INDEX(Data!Z$1:Z$373,$F57)),INDEX(Data!Z$1:Z$373,$F57),""))</f>
        <v>125.7</v>
      </c>
      <c r="AD57" s="6">
        <f>IF($F57=0,"",IF(ISNUMBER(INDEX(Data!AA$1:AA$373,$F57)),INDEX(Data!AA$1:AA$373,$F57),""))</f>
        <v>134.8</v>
      </c>
      <c r="AE57" s="6">
        <f>IF($F57=0,"",IF(ISNUMBER(INDEX(Data!AB$1:AB$373,$F57)),INDEX(Data!AB$1:AB$373,$F57),""))</f>
        <v>123</v>
      </c>
      <c r="AF57" s="6">
        <f>IF($F57=0,"",IF(ISNUMBER(INDEX(Data!AC$1:AC$373,$F57)),INDEX(Data!AC$1:AC$373,$F57),""))</f>
        <v>125.3</v>
      </c>
      <c r="AG57" s="6">
        <f>IF($F57=0,"",IF(ISNUMBER(INDEX(Data!AD$1:AD$373,$F57)),INDEX(Data!AD$1:AD$373,$F57),""))</f>
        <v>131.4</v>
      </c>
    </row>
    <row r="58" spans="1:33">
      <c r="A58" s="6">
        <v>2017</v>
      </c>
      <c r="B58" s="6">
        <v>6</v>
      </c>
      <c r="C58" s="6" t="s">
        <v>57</v>
      </c>
      <c r="D58" s="9">
        <f t="shared" si="0"/>
        <v>42887</v>
      </c>
      <c r="E58" s="6" t="str">
        <f t="shared" si="1"/>
        <v>Rural+Urban|2017|June</v>
      </c>
      <c r="F58" s="6">
        <f>IFERROR(MATCH(E58,Data!$AE$1:$AE$373,0),0)</f>
        <v>163</v>
      </c>
      <c r="G58" s="6">
        <f>IF($F58=0,"",IF(ISNUMBER(INDEX(Data!D$1:D$373,$F58)),INDEX(Data!D$1:D$373,$F58),""))</f>
        <v>133.3</v>
      </c>
      <c r="H58" s="6">
        <f>IF($F58=0,"",IF(ISNUMBER(INDEX(Data!E$1:E$373,$F58)),INDEX(Data!E$1:E$373,$F58),""))</f>
        <v>145.5</v>
      </c>
      <c r="I58" s="6">
        <f>IF($F58=0,"",IF(ISNUMBER(INDEX(Data!F$1:F$373,$F58)),INDEX(Data!F$1:F$373,$F58),""))</f>
        <v>128.1</v>
      </c>
      <c r="J58" s="6">
        <f>IF($F58=0,"",IF(ISNUMBER(INDEX(Data!G$1:G$373,$F58)),INDEX(Data!G$1:G$373,$F58),""))</f>
        <v>138.1</v>
      </c>
      <c r="K58" s="6">
        <f>IF($F58=0,"",IF(ISNUMBER(INDEX(Data!H$1:H$373,$F58)),INDEX(Data!H$1:H$373,$F58),""))</f>
        <v>118.2</v>
      </c>
      <c r="L58" s="6">
        <f>IF($F58=0,"",IF(ISNUMBER(INDEX(Data!I$1:I$373,$F58)),INDEX(Data!I$1:I$373,$F58),""))</f>
        <v>139.2</v>
      </c>
      <c r="M58" s="6">
        <f>IF($F58=0,"",IF(ISNUMBER(INDEX(Data!J$1:J$373,$F58)),INDEX(Data!J$1:J$373,$F58),""))</f>
        <v>133.3</v>
      </c>
      <c r="N58" s="6">
        <f>IF($F58=0,"",IF(ISNUMBER(INDEX(Data!K$1:K$373,$F58)),INDEX(Data!K$1:K$373,$F58),""))</f>
        <v>136.2</v>
      </c>
      <c r="O58" s="6">
        <f>IF($F58=0,"",IF(ISNUMBER(INDEX(Data!L$1:L$373,$F58)),INDEX(Data!L$1:L$373,$F58),""))</f>
        <v>119.6</v>
      </c>
      <c r="P58" s="6">
        <f>IF($F58=0,"",IF(ISNUMBER(INDEX(Data!M$1:M$373,$F58)),INDEX(Data!M$1:M$373,$F58),""))</f>
        <v>135.3</v>
      </c>
      <c r="Q58" s="6">
        <f>IF($F58=0,"",IF(ISNUMBER(INDEX(Data!N$1:N$373,$F58)),INDEX(Data!N$1:N$373,$F58),""))</f>
        <v>127.8</v>
      </c>
      <c r="R58" s="6">
        <f>IF($F58=0,"",IF(ISNUMBER(INDEX(Data!O$1:O$373,$F58)),INDEX(Data!O$1:O$373,$F58),""))</f>
        <v>144.9</v>
      </c>
      <c r="S58" s="6">
        <f>IF($F58=0,"",IF(ISNUMBER(INDEX(Data!P$1:P$373,$F58)),INDEX(Data!P$1:P$373,$F58),""))</f>
        <v>135.2</v>
      </c>
      <c r="T58" s="6">
        <f>IF($F58=0,"",IF(ISNUMBER(INDEX(Data!Q$1:Q$373,$F58)),INDEX(Data!Q$1:Q$373,$F58),""))</f>
        <v>146.5</v>
      </c>
      <c r="U58" s="6">
        <f>IF($F58=0,"",IF(ISNUMBER(INDEX(Data!R$1:R$373,$F58)),INDEX(Data!R$1:R$373,$F58),""))</f>
        <v>138.5</v>
      </c>
      <c r="V58" s="6">
        <f>IF($F58=0,"",IF(ISNUMBER(INDEX(Data!S$1:S$373,$F58)),INDEX(Data!S$1:S$373,$F58),""))</f>
        <v>131.7</v>
      </c>
      <c r="W58" s="6">
        <f>IF($F58=0,"",IF(ISNUMBER(INDEX(Data!T$1:T$373,$F58)),INDEX(Data!T$1:T$373,$F58),""))</f>
        <v>137.5</v>
      </c>
      <c r="X58" s="6">
        <f>IF($F58=0,"",IF(ISNUMBER(INDEX(Data!U$1:U$373,$F58)),INDEX(Data!U$1:U$373,$F58),""))</f>
        <v>131.4</v>
      </c>
      <c r="Y58" s="6">
        <f>IF($F58=0,"",IF(ISNUMBER(INDEX(Data!V$1:V$373,$F58)),INDEX(Data!V$1:V$373,$F58),""))</f>
        <v>128.8</v>
      </c>
      <c r="Z58" s="6">
        <f>IF($F58=0,"",IF(ISNUMBER(INDEX(Data!W$1:W$373,$F58)),INDEX(Data!W$1:W$373,$F58),""))</f>
        <v>131.2</v>
      </c>
      <c r="AA58" s="6">
        <f>IF($F58=0,"",IF(ISNUMBER(INDEX(Data!X$1:X$373,$F58)),INDEX(Data!X$1:X$373,$F58),""))</f>
        <v>128.5</v>
      </c>
      <c r="AB58" s="6">
        <f>IF($F58=0,"",IF(ISNUMBER(INDEX(Data!Y$1:Y$373,$F58)),INDEX(Data!Y$1:Y$373,$F58),""))</f>
        <v>116.5</v>
      </c>
      <c r="AC58" s="6">
        <f>IF($F58=0,"",IF(ISNUMBER(INDEX(Data!Z$1:Z$373,$F58)),INDEX(Data!Z$1:Z$373,$F58),""))</f>
        <v>125.9</v>
      </c>
      <c r="AD58" s="6">
        <f>IF($F58=0,"",IF(ISNUMBER(INDEX(Data!AA$1:AA$373,$F58)),INDEX(Data!AA$1:AA$373,$F58),""))</f>
        <v>135.4</v>
      </c>
      <c r="AE58" s="6">
        <f>IF($F58=0,"",IF(ISNUMBER(INDEX(Data!AB$1:AB$373,$F58)),INDEX(Data!AB$1:AB$373,$F58),""))</f>
        <v>123.4</v>
      </c>
      <c r="AF58" s="6">
        <f>IF($F58=0,"",IF(ISNUMBER(INDEX(Data!AC$1:AC$373,$F58)),INDEX(Data!AC$1:AC$373,$F58),""))</f>
        <v>125.5</v>
      </c>
      <c r="AG58" s="6">
        <f>IF($F58=0,"",IF(ISNUMBER(INDEX(Data!AD$1:AD$373,$F58)),INDEX(Data!AD$1:AD$373,$F58),""))</f>
        <v>132</v>
      </c>
    </row>
    <row r="59" spans="1:33">
      <c r="A59" s="6">
        <v>2017</v>
      </c>
      <c r="B59" s="6">
        <v>7</v>
      </c>
      <c r="C59" s="6" t="s">
        <v>58</v>
      </c>
      <c r="D59" s="9">
        <f t="shared" si="0"/>
        <v>42917</v>
      </c>
      <c r="E59" s="6" t="str">
        <f t="shared" si="1"/>
        <v>Rural+Urban|2017|July</v>
      </c>
      <c r="F59" s="6">
        <f>IFERROR(MATCH(E59,Data!$AE$1:$AE$373,0),0)</f>
        <v>166</v>
      </c>
      <c r="G59" s="6">
        <f>IF($F59=0,"",IF(ISNUMBER(INDEX(Data!D$1:D$373,$F59)),INDEX(Data!D$1:D$373,$F59),""))</f>
        <v>133.6</v>
      </c>
      <c r="H59" s="6">
        <f>IF($F59=0,"",IF(ISNUMBER(INDEX(Data!E$1:E$373,$F59)),INDEX(Data!E$1:E$373,$F59),""))</f>
        <v>145.7</v>
      </c>
      <c r="I59" s="6">
        <f>IF($F59=0,"",IF(ISNUMBER(INDEX(Data!F$1:F$373,$F59)),INDEX(Data!F$1:F$373,$F59),""))</f>
        <v>129.6</v>
      </c>
      <c r="J59" s="6">
        <f>IF($F59=0,"",IF(ISNUMBER(INDEX(Data!G$1:G$373,$F59)),INDEX(Data!G$1:G$373,$F59),""))</f>
        <v>138.5</v>
      </c>
      <c r="K59" s="6">
        <f>IF($F59=0,"",IF(ISNUMBER(INDEX(Data!H$1:H$373,$F59)),INDEX(Data!H$1:H$373,$F59),""))</f>
        <v>118.1</v>
      </c>
      <c r="L59" s="6">
        <f>IF($F59=0,"",IF(ISNUMBER(INDEX(Data!I$1:I$373,$F59)),INDEX(Data!I$1:I$373,$F59),""))</f>
        <v>141.8</v>
      </c>
      <c r="M59" s="6">
        <f>IF($F59=0,"",IF(ISNUMBER(INDEX(Data!J$1:J$373,$F59)),INDEX(Data!J$1:J$373,$F59),""))</f>
        <v>159.5</v>
      </c>
      <c r="N59" s="6">
        <f>IF($F59=0,"",IF(ISNUMBER(INDEX(Data!K$1:K$373,$F59)),INDEX(Data!K$1:K$373,$F59),""))</f>
        <v>133.6</v>
      </c>
      <c r="O59" s="6">
        <f>IF($F59=0,"",IF(ISNUMBER(INDEX(Data!L$1:L$373,$F59)),INDEX(Data!L$1:L$373,$F59),""))</f>
        <v>120.5</v>
      </c>
      <c r="P59" s="6">
        <f>IF($F59=0,"",IF(ISNUMBER(INDEX(Data!M$1:M$373,$F59)),INDEX(Data!M$1:M$373,$F59),""))</f>
        <v>135.2</v>
      </c>
      <c r="Q59" s="6">
        <f>IF($F59=0,"",IF(ISNUMBER(INDEX(Data!N$1:N$373,$F59)),INDEX(Data!N$1:N$373,$F59),""))</f>
        <v>128.5</v>
      </c>
      <c r="R59" s="6">
        <f>IF($F59=0,"",IF(ISNUMBER(INDEX(Data!O$1:O$373,$F59)),INDEX(Data!O$1:O$373,$F59),""))</f>
        <v>145.8</v>
      </c>
      <c r="S59" s="6">
        <f>IF($F59=0,"",IF(ISNUMBER(INDEX(Data!P$1:P$373,$F59)),INDEX(Data!P$1:P$373,$F59),""))</f>
        <v>139</v>
      </c>
      <c r="T59" s="6">
        <f>IF($F59=0,"",IF(ISNUMBER(INDEX(Data!Q$1:Q$373,$F59)),INDEX(Data!Q$1:Q$373,$F59),""))</f>
        <v>148.2</v>
      </c>
      <c r="U59" s="6">
        <f>IF($F59=0,"",IF(ISNUMBER(INDEX(Data!R$1:R$373,$F59)),INDEX(Data!R$1:R$373,$F59),""))</f>
        <v>139.3</v>
      </c>
      <c r="V59" s="6">
        <f>IF($F59=0,"",IF(ISNUMBER(INDEX(Data!S$1:S$373,$F59)),INDEX(Data!S$1:S$373,$F59),""))</f>
        <v>132.1</v>
      </c>
      <c r="W59" s="6">
        <f>IF($F59=0,"",IF(ISNUMBER(INDEX(Data!T$1:T$373,$F59)),INDEX(Data!T$1:T$373,$F59),""))</f>
        <v>138.3</v>
      </c>
      <c r="X59" s="6">
        <f>IF($F59=0,"",IF(ISNUMBER(INDEX(Data!U$1:U$373,$F59)),INDEX(Data!U$1:U$373,$F59),""))</f>
        <v>132.6</v>
      </c>
      <c r="Y59" s="6">
        <f>IF($F59=0,"",IF(ISNUMBER(INDEX(Data!V$1:V$373,$F59)),INDEX(Data!V$1:V$373,$F59),""))</f>
        <v>129.4</v>
      </c>
      <c r="Z59" s="6">
        <f>IF($F59=0,"",IF(ISNUMBER(INDEX(Data!W$1:W$373,$F59)),INDEX(Data!W$1:W$373,$F59),""))</f>
        <v>131.9</v>
      </c>
      <c r="AA59" s="6">
        <f>IF($F59=0,"",IF(ISNUMBER(INDEX(Data!X$1:X$373,$F59)),INDEX(Data!X$1:X$373,$F59),""))</f>
        <v>129.4</v>
      </c>
      <c r="AB59" s="6">
        <f>IF($F59=0,"",IF(ISNUMBER(INDEX(Data!Y$1:Y$373,$F59)),INDEX(Data!Y$1:Y$373,$F59),""))</f>
        <v>116</v>
      </c>
      <c r="AC59" s="6">
        <f>IF($F59=0,"",IF(ISNUMBER(INDEX(Data!Z$1:Z$373,$F59)),INDEX(Data!Z$1:Z$373,$F59),""))</f>
        <v>126.6</v>
      </c>
      <c r="AD59" s="6">
        <f>IF($F59=0,"",IF(ISNUMBER(INDEX(Data!AA$1:AA$373,$F59)),INDEX(Data!AA$1:AA$373,$F59),""))</f>
        <v>136.8</v>
      </c>
      <c r="AE59" s="6">
        <f>IF($F59=0,"",IF(ISNUMBER(INDEX(Data!AB$1:AB$373,$F59)),INDEX(Data!AB$1:AB$373,$F59),""))</f>
        <v>123.6</v>
      </c>
      <c r="AF59" s="6">
        <f>IF($F59=0,"",IF(ISNUMBER(INDEX(Data!AC$1:AC$373,$F59)),INDEX(Data!AC$1:AC$373,$F59),""))</f>
        <v>125.9</v>
      </c>
      <c r="AG59" s="6">
        <f>IF($F59=0,"",IF(ISNUMBER(INDEX(Data!AD$1:AD$373,$F59)),INDEX(Data!AD$1:AD$373,$F59),""))</f>
        <v>134.2</v>
      </c>
    </row>
    <row r="60" spans="1:33">
      <c r="A60" s="6">
        <v>2017</v>
      </c>
      <c r="B60" s="6">
        <v>8</v>
      </c>
      <c r="C60" s="6" t="s">
        <v>59</v>
      </c>
      <c r="D60" s="9">
        <f t="shared" si="0"/>
        <v>42948</v>
      </c>
      <c r="E60" s="6" t="str">
        <f t="shared" si="1"/>
        <v>Rural+Urban|2017|August</v>
      </c>
      <c r="F60" s="6">
        <f>IFERROR(MATCH(E60,Data!$AE$1:$AE$373,0),0)</f>
        <v>169</v>
      </c>
      <c r="G60" s="6">
        <f>IF($F60=0,"",IF(ISNUMBER(INDEX(Data!D$1:D$373,$F60)),INDEX(Data!D$1:D$373,$F60),""))</f>
        <v>134.3</v>
      </c>
      <c r="H60" s="6">
        <f>IF($F60=0,"",IF(ISNUMBER(INDEX(Data!E$1:E$373,$F60)),INDEX(Data!E$1:E$373,$F60),""))</f>
        <v>143.4</v>
      </c>
      <c r="I60" s="6">
        <f>IF($F60=0,"",IF(ISNUMBER(INDEX(Data!F$1:F$373,$F60)),INDEX(Data!F$1:F$373,$F60),""))</f>
        <v>129.3</v>
      </c>
      <c r="J60" s="6">
        <f>IF($F60=0,"",IF(ISNUMBER(INDEX(Data!G$1:G$373,$F60)),INDEX(Data!G$1:G$373,$F60),""))</f>
        <v>139</v>
      </c>
      <c r="K60" s="6">
        <f>IF($F60=0,"",IF(ISNUMBER(INDEX(Data!H$1:H$373,$F60)),INDEX(Data!H$1:H$373,$F60),""))</f>
        <v>118.1</v>
      </c>
      <c r="L60" s="6">
        <f>IF($F60=0,"",IF(ISNUMBER(INDEX(Data!I$1:I$373,$F60)),INDEX(Data!I$1:I$373,$F60),""))</f>
        <v>145.5</v>
      </c>
      <c r="M60" s="6">
        <f>IF($F60=0,"",IF(ISNUMBER(INDEX(Data!J$1:J$373,$F60)),INDEX(Data!J$1:J$373,$F60),""))</f>
        <v>168.6</v>
      </c>
      <c r="N60" s="6">
        <f>IF($F60=0,"",IF(ISNUMBER(INDEX(Data!K$1:K$373,$F60)),INDEX(Data!K$1:K$373,$F60),""))</f>
        <v>132.7</v>
      </c>
      <c r="O60" s="6">
        <f>IF($F60=0,"",IF(ISNUMBER(INDEX(Data!L$1:L$373,$F60)),INDEX(Data!L$1:L$373,$F60),""))</f>
        <v>121.2</v>
      </c>
      <c r="P60" s="6">
        <f>IF($F60=0,"",IF(ISNUMBER(INDEX(Data!M$1:M$373,$F60)),INDEX(Data!M$1:M$373,$F60),""))</f>
        <v>135.6</v>
      </c>
      <c r="Q60" s="6">
        <f>IF($F60=0,"",IF(ISNUMBER(INDEX(Data!N$1:N$373,$F60)),INDEX(Data!N$1:N$373,$F60),""))</f>
        <v>128.7</v>
      </c>
      <c r="R60" s="6">
        <f>IF($F60=0,"",IF(ISNUMBER(INDEX(Data!O$1:O$373,$F60)),INDEX(Data!O$1:O$373,$F60),""))</f>
        <v>146.8</v>
      </c>
      <c r="S60" s="6">
        <f>IF($F60=0,"",IF(ISNUMBER(INDEX(Data!P$1:P$373,$F60)),INDEX(Data!P$1:P$373,$F60),""))</f>
        <v>140.6</v>
      </c>
      <c r="T60" s="6">
        <f>IF($F60=0,"",IF(ISNUMBER(INDEX(Data!Q$1:Q$373,$F60)),INDEX(Data!Q$1:Q$373,$F60),""))</f>
        <v>149.8</v>
      </c>
      <c r="U60" s="6">
        <f>IF($F60=0,"",IF(ISNUMBER(INDEX(Data!R$1:R$373,$F60)),INDEX(Data!R$1:R$373,$F60),""))</f>
        <v>140.3</v>
      </c>
      <c r="V60" s="6">
        <f>IF($F60=0,"",IF(ISNUMBER(INDEX(Data!S$1:S$373,$F60)),INDEX(Data!S$1:S$373,$F60),""))</f>
        <v>133</v>
      </c>
      <c r="W60" s="6">
        <f>IF($F60=0,"",IF(ISNUMBER(INDEX(Data!T$1:T$373,$F60)),INDEX(Data!T$1:T$373,$F60),""))</f>
        <v>139.3</v>
      </c>
      <c r="X60" s="6">
        <f>IF($F60=0,"",IF(ISNUMBER(INDEX(Data!U$1:U$373,$F60)),INDEX(Data!U$1:U$373,$F60),""))</f>
        <v>134.4</v>
      </c>
      <c r="Y60" s="6">
        <f>IF($F60=0,"",IF(ISNUMBER(INDEX(Data!V$1:V$373,$F60)),INDEX(Data!V$1:V$373,$F60),""))</f>
        <v>129.8</v>
      </c>
      <c r="Z60" s="6">
        <f>IF($F60=0,"",IF(ISNUMBER(INDEX(Data!W$1:W$373,$F60)),INDEX(Data!W$1:W$373,$F60),""))</f>
        <v>132.8</v>
      </c>
      <c r="AA60" s="6">
        <f>IF($F60=0,"",IF(ISNUMBER(INDEX(Data!X$1:X$373,$F60)),INDEX(Data!X$1:X$373,$F60),""))</f>
        <v>130.2</v>
      </c>
      <c r="AB60" s="6">
        <f>IF($F60=0,"",IF(ISNUMBER(INDEX(Data!Y$1:Y$373,$F60)),INDEX(Data!Y$1:Y$373,$F60),""))</f>
        <v>117.3</v>
      </c>
      <c r="AC60" s="6">
        <f>IF($F60=0,"",IF(ISNUMBER(INDEX(Data!Z$1:Z$373,$F60)),INDEX(Data!Z$1:Z$373,$F60),""))</f>
        <v>127.3</v>
      </c>
      <c r="AD60" s="6">
        <f>IF($F60=0,"",IF(ISNUMBER(INDEX(Data!AA$1:AA$373,$F60)),INDEX(Data!AA$1:AA$373,$F60),""))</f>
        <v>137.6</v>
      </c>
      <c r="AE60" s="6">
        <f>IF($F60=0,"",IF(ISNUMBER(INDEX(Data!AB$1:AB$373,$F60)),INDEX(Data!AB$1:AB$373,$F60),""))</f>
        <v>124.5</v>
      </c>
      <c r="AF60" s="6">
        <f>IF($F60=0,"",IF(ISNUMBER(INDEX(Data!AC$1:AC$373,$F60)),INDEX(Data!AC$1:AC$373,$F60),""))</f>
        <v>126.8</v>
      </c>
      <c r="AG60" s="6">
        <f>IF($F60=0,"",IF(ISNUMBER(INDEX(Data!AD$1:AD$373,$F60)),INDEX(Data!AD$1:AD$373,$F60),""))</f>
        <v>135.4</v>
      </c>
    </row>
    <row r="61" spans="1:33">
      <c r="A61" s="6">
        <v>2017</v>
      </c>
      <c r="B61" s="6">
        <v>9</v>
      </c>
      <c r="C61" s="6" t="s">
        <v>60</v>
      </c>
      <c r="D61" s="9">
        <f t="shared" si="0"/>
        <v>42979</v>
      </c>
      <c r="E61" s="6" t="str">
        <f t="shared" si="1"/>
        <v>Rural+Urban|2017|September</v>
      </c>
      <c r="F61" s="6">
        <f>IFERROR(MATCH(E61,Data!$AE$1:$AE$373,0),0)</f>
        <v>172</v>
      </c>
      <c r="G61" s="6">
        <f>IF($F61=0,"",IF(ISNUMBER(INDEX(Data!D$1:D$373,$F61)),INDEX(Data!D$1:D$373,$F61),""))</f>
        <v>134.7</v>
      </c>
      <c r="H61" s="6">
        <f>IF($F61=0,"",IF(ISNUMBER(INDEX(Data!E$1:E$373,$F61)),INDEX(Data!E$1:E$373,$F61),""))</f>
        <v>142.4</v>
      </c>
      <c r="I61" s="6">
        <f>IF($F61=0,"",IF(ISNUMBER(INDEX(Data!F$1:F$373,$F61)),INDEX(Data!F$1:F$373,$F61),""))</f>
        <v>130.2</v>
      </c>
      <c r="J61" s="6">
        <f>IF($F61=0,"",IF(ISNUMBER(INDEX(Data!G$1:G$373,$F61)),INDEX(Data!G$1:G$373,$F61),""))</f>
        <v>139.6</v>
      </c>
      <c r="K61" s="6">
        <f>IF($F61=0,"",IF(ISNUMBER(INDEX(Data!H$1:H$373,$F61)),INDEX(Data!H$1:H$373,$F61),""))</f>
        <v>118.4</v>
      </c>
      <c r="L61" s="6">
        <f>IF($F61=0,"",IF(ISNUMBER(INDEX(Data!I$1:I$373,$F61)),INDEX(Data!I$1:I$373,$F61),""))</f>
        <v>143</v>
      </c>
      <c r="M61" s="6">
        <f>IF($F61=0,"",IF(ISNUMBER(INDEX(Data!J$1:J$373,$F61)),INDEX(Data!J$1:J$373,$F61),""))</f>
        <v>156.6</v>
      </c>
      <c r="N61" s="6">
        <f>IF($F61=0,"",IF(ISNUMBER(INDEX(Data!K$1:K$373,$F61)),INDEX(Data!K$1:K$373,$F61),""))</f>
        <v>132.9</v>
      </c>
      <c r="O61" s="6">
        <f>IF($F61=0,"",IF(ISNUMBER(INDEX(Data!L$1:L$373,$F61)),INDEX(Data!L$1:L$373,$F61),""))</f>
        <v>121.5</v>
      </c>
      <c r="P61" s="6">
        <f>IF($F61=0,"",IF(ISNUMBER(INDEX(Data!M$1:M$373,$F61)),INDEX(Data!M$1:M$373,$F61),""))</f>
        <v>135.6</v>
      </c>
      <c r="Q61" s="6">
        <f>IF($F61=0,"",IF(ISNUMBER(INDEX(Data!N$1:N$373,$F61)),INDEX(Data!N$1:N$373,$F61),""))</f>
        <v>128.8</v>
      </c>
      <c r="R61" s="6">
        <f>IF($F61=0,"",IF(ISNUMBER(INDEX(Data!O$1:O$373,$F61)),INDEX(Data!O$1:O$373,$F61),""))</f>
        <v>147.3</v>
      </c>
      <c r="S61" s="6">
        <f>IF($F61=0,"",IF(ISNUMBER(INDEX(Data!P$1:P$373,$F61)),INDEX(Data!P$1:P$373,$F61),""))</f>
        <v>139</v>
      </c>
      <c r="T61" s="6">
        <f>IF($F61=0,"",IF(ISNUMBER(INDEX(Data!Q$1:Q$373,$F61)),INDEX(Data!Q$1:Q$373,$F61),""))</f>
        <v>150.8</v>
      </c>
      <c r="U61" s="6">
        <f>IF($F61=0,"",IF(ISNUMBER(INDEX(Data!R$1:R$373,$F61)),INDEX(Data!R$1:R$373,$F61),""))</f>
        <v>141.1</v>
      </c>
      <c r="V61" s="6">
        <f>IF($F61=0,"",IF(ISNUMBER(INDEX(Data!S$1:S$373,$F61)),INDEX(Data!S$1:S$373,$F61),""))</f>
        <v>133.4</v>
      </c>
      <c r="W61" s="6">
        <f>IF($F61=0,"",IF(ISNUMBER(INDEX(Data!T$1:T$373,$F61)),INDEX(Data!T$1:T$373,$F61),""))</f>
        <v>140</v>
      </c>
      <c r="X61" s="6">
        <f>IF($F61=0,"",IF(ISNUMBER(INDEX(Data!U$1:U$373,$F61)),INDEX(Data!U$1:U$373,$F61),""))</f>
        <v>135.7</v>
      </c>
      <c r="Y61" s="6">
        <f>IF($F61=0,"",IF(ISNUMBER(INDEX(Data!V$1:V$373,$F61)),INDEX(Data!V$1:V$373,$F61),""))</f>
        <v>131</v>
      </c>
      <c r="Z61" s="6">
        <f>IF($F61=0,"",IF(ISNUMBER(INDEX(Data!W$1:W$373,$F61)),INDEX(Data!W$1:W$373,$F61),""))</f>
        <v>133.3</v>
      </c>
      <c r="AA61" s="6">
        <f>IF($F61=0,"",IF(ISNUMBER(INDEX(Data!X$1:X$373,$F61)),INDEX(Data!X$1:X$373,$F61),""))</f>
        <v>130.6</v>
      </c>
      <c r="AB61" s="6">
        <f>IF($F61=0,"",IF(ISNUMBER(INDEX(Data!Y$1:Y$373,$F61)),INDEX(Data!Y$1:Y$373,$F61),""))</f>
        <v>118.3</v>
      </c>
      <c r="AC61" s="6">
        <f>IF($F61=0,"",IF(ISNUMBER(INDEX(Data!Z$1:Z$373,$F61)),INDEX(Data!Z$1:Z$373,$F61),""))</f>
        <v>127.9</v>
      </c>
      <c r="AD61" s="6">
        <f>IF($F61=0,"",IF(ISNUMBER(INDEX(Data!AA$1:AA$373,$F61)),INDEX(Data!AA$1:AA$373,$F61),""))</f>
        <v>137.4</v>
      </c>
      <c r="AE61" s="6">
        <f>IF($F61=0,"",IF(ISNUMBER(INDEX(Data!AB$1:AB$373,$F61)),INDEX(Data!AB$1:AB$373,$F61),""))</f>
        <v>125.7</v>
      </c>
      <c r="AF61" s="6">
        <f>IF($F61=0,"",IF(ISNUMBER(INDEX(Data!AC$1:AC$373,$F61)),INDEX(Data!AC$1:AC$373,$F61),""))</f>
        <v>127.5</v>
      </c>
      <c r="AG61" s="6">
        <f>IF($F61=0,"",IF(ISNUMBER(INDEX(Data!AD$1:AD$373,$F61)),INDEX(Data!AD$1:AD$373,$F61),""))</f>
        <v>135.2</v>
      </c>
    </row>
    <row r="62" spans="1:33">
      <c r="A62" s="6">
        <v>2017</v>
      </c>
      <c r="B62" s="6">
        <v>10</v>
      </c>
      <c r="C62" s="6" t="s">
        <v>61</v>
      </c>
      <c r="D62" s="9">
        <f t="shared" si="0"/>
        <v>43009</v>
      </c>
      <c r="E62" s="6" t="str">
        <f t="shared" si="1"/>
        <v>Rural+Urban|2017|October</v>
      </c>
      <c r="F62" s="6">
        <f>IFERROR(MATCH(E62,Data!$AE$1:$AE$373,0),0)</f>
        <v>175</v>
      </c>
      <c r="G62" s="6">
        <f>IF($F62=0,"",IF(ISNUMBER(INDEX(Data!D$1:D$373,$F62)),INDEX(Data!D$1:D$373,$F62),""))</f>
        <v>135.3</v>
      </c>
      <c r="H62" s="6">
        <f>IF($F62=0,"",IF(ISNUMBER(INDEX(Data!E$1:E$373,$F62)),INDEX(Data!E$1:E$373,$F62),""))</f>
        <v>142.2</v>
      </c>
      <c r="I62" s="6">
        <f>IF($F62=0,"",IF(ISNUMBER(INDEX(Data!F$1:F$373,$F62)),INDEX(Data!F$1:F$373,$F62),""))</f>
        <v>131.2</v>
      </c>
      <c r="J62" s="6">
        <f>IF($F62=0,"",IF(ISNUMBER(INDEX(Data!G$1:G$373,$F62)),INDEX(Data!G$1:G$373,$F62),""))</f>
        <v>140.6</v>
      </c>
      <c r="K62" s="6">
        <f>IF($F62=0,"",IF(ISNUMBER(INDEX(Data!H$1:H$373,$F62)),INDEX(Data!H$1:H$373,$F62),""))</f>
        <v>119</v>
      </c>
      <c r="L62" s="6">
        <f>IF($F62=0,"",IF(ISNUMBER(INDEX(Data!I$1:I$373,$F62)),INDEX(Data!I$1:I$373,$F62),""))</f>
        <v>141.5</v>
      </c>
      <c r="M62" s="6">
        <f>IF($F62=0,"",IF(ISNUMBER(INDEX(Data!J$1:J$373,$F62)),INDEX(Data!J$1:J$373,$F62),""))</f>
        <v>162.6</v>
      </c>
      <c r="N62" s="6">
        <f>IF($F62=0,"",IF(ISNUMBER(INDEX(Data!K$1:K$373,$F62)),INDEX(Data!K$1:K$373,$F62),""))</f>
        <v>132.3</v>
      </c>
      <c r="O62" s="6">
        <f>IF($F62=0,"",IF(ISNUMBER(INDEX(Data!L$1:L$373,$F62)),INDEX(Data!L$1:L$373,$F62),""))</f>
        <v>121.8</v>
      </c>
      <c r="P62" s="6">
        <f>IF($F62=0,"",IF(ISNUMBER(INDEX(Data!M$1:M$373,$F62)),INDEX(Data!M$1:M$373,$F62),""))</f>
        <v>136.3</v>
      </c>
      <c r="Q62" s="6">
        <f>IF($F62=0,"",IF(ISNUMBER(INDEX(Data!N$1:N$373,$F62)),INDEX(Data!N$1:N$373,$F62),""))</f>
        <v>128.7</v>
      </c>
      <c r="R62" s="6">
        <f>IF($F62=0,"",IF(ISNUMBER(INDEX(Data!O$1:O$373,$F62)),INDEX(Data!O$1:O$373,$F62),""))</f>
        <v>148.1</v>
      </c>
      <c r="S62" s="6">
        <f>IF($F62=0,"",IF(ISNUMBER(INDEX(Data!P$1:P$373,$F62)),INDEX(Data!P$1:P$373,$F62),""))</f>
        <v>140.1</v>
      </c>
      <c r="T62" s="6">
        <f>IF($F62=0,"",IF(ISNUMBER(INDEX(Data!Q$1:Q$373,$F62)),INDEX(Data!Q$1:Q$373,$F62),""))</f>
        <v>151.6</v>
      </c>
      <c r="U62" s="6">
        <f>IF($F62=0,"",IF(ISNUMBER(INDEX(Data!R$1:R$373,$F62)),INDEX(Data!R$1:R$373,$F62),""))</f>
        <v>142</v>
      </c>
      <c r="V62" s="6">
        <f>IF($F62=0,"",IF(ISNUMBER(INDEX(Data!S$1:S$373,$F62)),INDEX(Data!S$1:S$373,$F62),""))</f>
        <v>134.1</v>
      </c>
      <c r="W62" s="6">
        <f>IF($F62=0,"",IF(ISNUMBER(INDEX(Data!T$1:T$373,$F62)),INDEX(Data!T$1:T$373,$F62),""))</f>
        <v>140.8</v>
      </c>
      <c r="X62" s="6">
        <f>IF($F62=0,"",IF(ISNUMBER(INDEX(Data!U$1:U$373,$F62)),INDEX(Data!U$1:U$373,$F62),""))</f>
        <v>137.3</v>
      </c>
      <c r="Y62" s="6">
        <f>IF($F62=0,"",IF(ISNUMBER(INDEX(Data!V$1:V$373,$F62)),INDEX(Data!V$1:V$373,$F62),""))</f>
        <v>132.2</v>
      </c>
      <c r="Z62" s="6">
        <f>IF($F62=0,"",IF(ISNUMBER(INDEX(Data!W$1:W$373,$F62)),INDEX(Data!W$1:W$373,$F62),""))</f>
        <v>133.6</v>
      </c>
      <c r="AA62" s="6">
        <f>IF($F62=0,"",IF(ISNUMBER(INDEX(Data!X$1:X$373,$F62)),INDEX(Data!X$1:X$373,$F62),""))</f>
        <v>131.3</v>
      </c>
      <c r="AB62" s="6">
        <f>IF($F62=0,"",IF(ISNUMBER(INDEX(Data!Y$1:Y$373,$F62)),INDEX(Data!Y$1:Y$373,$F62),""))</f>
        <v>117.8</v>
      </c>
      <c r="AC62" s="6">
        <f>IF($F62=0,"",IF(ISNUMBER(INDEX(Data!Z$1:Z$373,$F62)),INDEX(Data!Z$1:Z$373,$F62),""))</f>
        <v>128.4</v>
      </c>
      <c r="AD62" s="6">
        <f>IF($F62=0,"",IF(ISNUMBER(INDEX(Data!AA$1:AA$373,$F62)),INDEX(Data!AA$1:AA$373,$F62),""))</f>
        <v>137.9</v>
      </c>
      <c r="AE62" s="6">
        <f>IF($F62=0,"",IF(ISNUMBER(INDEX(Data!AB$1:AB$373,$F62)),INDEX(Data!AB$1:AB$373,$F62),""))</f>
        <v>126.2</v>
      </c>
      <c r="AF62" s="6">
        <f>IF($F62=0,"",IF(ISNUMBER(INDEX(Data!AC$1:AC$373,$F62)),INDEX(Data!AC$1:AC$373,$F62),""))</f>
        <v>127.7</v>
      </c>
      <c r="AG62" s="6">
        <f>IF($F62=0,"",IF(ISNUMBER(INDEX(Data!AD$1:AD$373,$F62)),INDEX(Data!AD$1:AD$373,$F62),""))</f>
        <v>136.1</v>
      </c>
    </row>
    <row r="63" spans="1:33">
      <c r="A63" s="6">
        <v>2017</v>
      </c>
      <c r="B63" s="6">
        <v>11</v>
      </c>
      <c r="C63" s="6" t="s">
        <v>62</v>
      </c>
      <c r="D63" s="9">
        <f t="shared" si="0"/>
        <v>43040</v>
      </c>
      <c r="E63" s="6" t="str">
        <f t="shared" si="1"/>
        <v>Rural+Urban|2017|November</v>
      </c>
      <c r="F63" s="6">
        <f>IFERROR(MATCH(E63,Data!$AE$1:$AE$373,0),0)</f>
        <v>178</v>
      </c>
      <c r="G63" s="6">
        <f>IF($F63=0,"",IF(ISNUMBER(INDEX(Data!D$1:D$373,$F63)),INDEX(Data!D$1:D$373,$F63),""))</f>
        <v>135.7</v>
      </c>
      <c r="H63" s="6">
        <f>IF($F63=0,"",IF(ISNUMBER(INDEX(Data!E$1:E$373,$F63)),INDEX(Data!E$1:E$373,$F63),""))</f>
        <v>142.4</v>
      </c>
      <c r="I63" s="6">
        <f>IF($F63=0,"",IF(ISNUMBER(INDEX(Data!F$1:F$373,$F63)),INDEX(Data!F$1:F$373,$F63),""))</f>
        <v>142.9</v>
      </c>
      <c r="J63" s="6">
        <f>IF($F63=0,"",IF(ISNUMBER(INDEX(Data!G$1:G$373,$F63)),INDEX(Data!G$1:G$373,$F63),""))</f>
        <v>140.8</v>
      </c>
      <c r="K63" s="6">
        <f>IF($F63=0,"",IF(ISNUMBER(INDEX(Data!H$1:H$373,$F63)),INDEX(Data!H$1:H$373,$F63),""))</f>
        <v>119.2</v>
      </c>
      <c r="L63" s="6">
        <f>IF($F63=0,"",IF(ISNUMBER(INDEX(Data!I$1:I$373,$F63)),INDEX(Data!I$1:I$373,$F63),""))</f>
        <v>142.2</v>
      </c>
      <c r="M63" s="6">
        <f>IF($F63=0,"",IF(ISNUMBER(INDEX(Data!J$1:J$373,$F63)),INDEX(Data!J$1:J$373,$F63),""))</f>
        <v>173.8</v>
      </c>
      <c r="N63" s="6">
        <f>IF($F63=0,"",IF(ISNUMBER(INDEX(Data!K$1:K$373,$F63)),INDEX(Data!K$1:K$373,$F63),""))</f>
        <v>131.2</v>
      </c>
      <c r="O63" s="6">
        <f>IF($F63=0,"",IF(ISNUMBER(INDEX(Data!L$1:L$373,$F63)),INDEX(Data!L$1:L$373,$F63),""))</f>
        <v>123</v>
      </c>
      <c r="P63" s="6">
        <f>IF($F63=0,"",IF(ISNUMBER(INDEX(Data!M$1:M$373,$F63)),INDEX(Data!M$1:M$373,$F63),""))</f>
        <v>136.8</v>
      </c>
      <c r="Q63" s="6">
        <f>IF($F63=0,"",IF(ISNUMBER(INDEX(Data!N$1:N$373,$F63)),INDEX(Data!N$1:N$373,$F63),""))</f>
        <v>129.2</v>
      </c>
      <c r="R63" s="6">
        <f>IF($F63=0,"",IF(ISNUMBER(INDEX(Data!O$1:O$373,$F63)),INDEX(Data!O$1:O$373,$F63),""))</f>
        <v>148.9</v>
      </c>
      <c r="S63" s="6">
        <f>IF($F63=0,"",IF(ISNUMBER(INDEX(Data!P$1:P$373,$F63)),INDEX(Data!P$1:P$373,$F63),""))</f>
        <v>142.1</v>
      </c>
      <c r="T63" s="6">
        <f>IF($F63=0,"",IF(ISNUMBER(INDEX(Data!Q$1:Q$373,$F63)),INDEX(Data!Q$1:Q$373,$F63),""))</f>
        <v>153.2</v>
      </c>
      <c r="U63" s="6">
        <f>IF($F63=0,"",IF(ISNUMBER(INDEX(Data!R$1:R$373,$F63)),INDEX(Data!R$1:R$373,$F63),""))</f>
        <v>143</v>
      </c>
      <c r="V63" s="6">
        <f>IF($F63=0,"",IF(ISNUMBER(INDEX(Data!S$1:S$373,$F63)),INDEX(Data!S$1:S$373,$F63),""))</f>
        <v>134.8</v>
      </c>
      <c r="W63" s="6">
        <f>IF($F63=0,"",IF(ISNUMBER(INDEX(Data!T$1:T$373,$F63)),INDEX(Data!T$1:T$373,$F63),""))</f>
        <v>141.8</v>
      </c>
      <c r="X63" s="6">
        <f>IF($F63=0,"",IF(ISNUMBER(INDEX(Data!U$1:U$373,$F63)),INDEX(Data!U$1:U$373,$F63),""))</f>
        <v>138.6</v>
      </c>
      <c r="Y63" s="6">
        <f>IF($F63=0,"",IF(ISNUMBER(INDEX(Data!V$1:V$373,$F63)),INDEX(Data!V$1:V$373,$F63),""))</f>
        <v>135.3</v>
      </c>
      <c r="Z63" s="6">
        <f>IF($F63=0,"",IF(ISNUMBER(INDEX(Data!W$1:W$373,$F63)),INDEX(Data!W$1:W$373,$F63),""))</f>
        <v>134.4</v>
      </c>
      <c r="AA63" s="6">
        <f>IF($F63=0,"",IF(ISNUMBER(INDEX(Data!X$1:X$373,$F63)),INDEX(Data!X$1:X$373,$F63),""))</f>
        <v>132.6</v>
      </c>
      <c r="AB63" s="6">
        <f>IF($F63=0,"",IF(ISNUMBER(INDEX(Data!Y$1:Y$373,$F63)),INDEX(Data!Y$1:Y$373,$F63),""))</f>
        <v>118.3</v>
      </c>
      <c r="AC63" s="6">
        <f>IF($F63=0,"",IF(ISNUMBER(INDEX(Data!Z$1:Z$373,$F63)),INDEX(Data!Z$1:Z$373,$F63),""))</f>
        <v>128.9</v>
      </c>
      <c r="AD63" s="6">
        <f>IF($F63=0,"",IF(ISNUMBER(INDEX(Data!AA$1:AA$373,$F63)),INDEX(Data!AA$1:AA$373,$F63),""))</f>
        <v>138.6</v>
      </c>
      <c r="AE63" s="6">
        <f>IF($F63=0,"",IF(ISNUMBER(INDEX(Data!AB$1:AB$373,$F63)),INDEX(Data!AB$1:AB$373,$F63),""))</f>
        <v>126.8</v>
      </c>
      <c r="AF63" s="6">
        <f>IF($F63=0,"",IF(ISNUMBER(INDEX(Data!AC$1:AC$373,$F63)),INDEX(Data!AC$1:AC$373,$F63),""))</f>
        <v>128.4</v>
      </c>
      <c r="AG63" s="6">
        <f>IF($F63=0,"",IF(ISNUMBER(INDEX(Data!AD$1:AD$373,$F63)),INDEX(Data!AD$1:AD$373,$F63),""))</f>
        <v>137.6</v>
      </c>
    </row>
    <row r="64" spans="1:33">
      <c r="A64" s="6">
        <v>2017</v>
      </c>
      <c r="B64" s="6">
        <v>12</v>
      </c>
      <c r="C64" s="6" t="s">
        <v>63</v>
      </c>
      <c r="D64" s="9">
        <f t="shared" si="0"/>
        <v>43070</v>
      </c>
      <c r="E64" s="6" t="str">
        <f t="shared" si="1"/>
        <v>Rural+Urban|2017|December</v>
      </c>
      <c r="F64" s="6">
        <f>IFERROR(MATCH(E64,Data!$AE$1:$AE$373,0),0)</f>
        <v>181</v>
      </c>
      <c r="G64" s="6">
        <f>IF($F64=0,"",IF(ISNUMBER(INDEX(Data!D$1:D$373,$F64)),INDEX(Data!D$1:D$373,$F64),""))</f>
        <v>135.8</v>
      </c>
      <c r="H64" s="6">
        <f>IF($F64=0,"",IF(ISNUMBER(INDEX(Data!E$1:E$373,$F64)),INDEX(Data!E$1:E$373,$F64),""))</f>
        <v>143.3</v>
      </c>
      <c r="I64" s="6">
        <f>IF($F64=0,"",IF(ISNUMBER(INDEX(Data!F$1:F$373,$F64)),INDEX(Data!F$1:F$373,$F64),""))</f>
        <v>145.2</v>
      </c>
      <c r="J64" s="6">
        <f>IF($F64=0,"",IF(ISNUMBER(INDEX(Data!G$1:G$373,$F64)),INDEX(Data!G$1:G$373,$F64),""))</f>
        <v>141</v>
      </c>
      <c r="K64" s="6">
        <f>IF($F64=0,"",IF(ISNUMBER(INDEX(Data!H$1:H$373,$F64)),INDEX(Data!H$1:H$373,$F64),""))</f>
        <v>120.5</v>
      </c>
      <c r="L64" s="6">
        <f>IF($F64=0,"",IF(ISNUMBER(INDEX(Data!I$1:I$373,$F64)),INDEX(Data!I$1:I$373,$F64),""))</f>
        <v>141.5</v>
      </c>
      <c r="M64" s="6">
        <f>IF($F64=0,"",IF(ISNUMBER(INDEX(Data!J$1:J$373,$F64)),INDEX(Data!J$1:J$373,$F64),""))</f>
        <v>161.7</v>
      </c>
      <c r="N64" s="6">
        <f>IF($F64=0,"",IF(ISNUMBER(INDEX(Data!K$1:K$373,$F64)),INDEX(Data!K$1:K$373,$F64),""))</f>
        <v>129.1</v>
      </c>
      <c r="O64" s="6">
        <f>IF($F64=0,"",IF(ISNUMBER(INDEX(Data!L$1:L$373,$F64)),INDEX(Data!L$1:L$373,$F64),""))</f>
        <v>121.5</v>
      </c>
      <c r="P64" s="6">
        <f>IF($F64=0,"",IF(ISNUMBER(INDEX(Data!M$1:M$373,$F64)),INDEX(Data!M$1:M$373,$F64),""))</f>
        <v>137.1</v>
      </c>
      <c r="Q64" s="6">
        <f>IF($F64=0,"",IF(ISNUMBER(INDEX(Data!N$1:N$373,$F64)),INDEX(Data!N$1:N$373,$F64),""))</f>
        <v>128.8</v>
      </c>
      <c r="R64" s="6">
        <f>IF($F64=0,"",IF(ISNUMBER(INDEX(Data!O$1:O$373,$F64)),INDEX(Data!O$1:O$373,$F64),""))</f>
        <v>149</v>
      </c>
      <c r="S64" s="6">
        <f>IF($F64=0,"",IF(ISNUMBER(INDEX(Data!P$1:P$373,$F64)),INDEX(Data!P$1:P$373,$F64),""))</f>
        <v>140.5</v>
      </c>
      <c r="T64" s="6">
        <f>IF($F64=0,"",IF(ISNUMBER(INDEX(Data!Q$1:Q$373,$F64)),INDEX(Data!Q$1:Q$373,$F64),""))</f>
        <v>154.2</v>
      </c>
      <c r="U64" s="6">
        <f>IF($F64=0,"",IF(ISNUMBER(INDEX(Data!R$1:R$373,$F64)),INDEX(Data!R$1:R$373,$F64),""))</f>
        <v>143.1</v>
      </c>
      <c r="V64" s="6">
        <f>IF($F64=0,"",IF(ISNUMBER(INDEX(Data!S$1:S$373,$F64)),INDEX(Data!S$1:S$373,$F64),""))</f>
        <v>135.1</v>
      </c>
      <c r="W64" s="6">
        <f>IF($F64=0,"",IF(ISNUMBER(INDEX(Data!T$1:T$373,$F64)),INDEX(Data!T$1:T$373,$F64),""))</f>
        <v>142</v>
      </c>
      <c r="X64" s="6">
        <f>IF($F64=0,"",IF(ISNUMBER(INDEX(Data!U$1:U$373,$F64)),INDEX(Data!U$1:U$373,$F64),""))</f>
        <v>139.1</v>
      </c>
      <c r="Y64" s="6">
        <f>IF($F64=0,"",IF(ISNUMBER(INDEX(Data!V$1:V$373,$F64)),INDEX(Data!V$1:V$373,$F64),""))</f>
        <v>136.6</v>
      </c>
      <c r="Z64" s="6">
        <f>IF($F64=0,"",IF(ISNUMBER(INDEX(Data!W$1:W$373,$F64)),INDEX(Data!W$1:W$373,$F64),""))</f>
        <v>134.7</v>
      </c>
      <c r="AA64" s="6">
        <f>IF($F64=0,"",IF(ISNUMBER(INDEX(Data!X$1:X$373,$F64)),INDEX(Data!X$1:X$373,$F64),""))</f>
        <v>133.1</v>
      </c>
      <c r="AB64" s="6">
        <f>IF($F64=0,"",IF(ISNUMBER(INDEX(Data!Y$1:Y$373,$F64)),INDEX(Data!Y$1:Y$373,$F64),""))</f>
        <v>118.5</v>
      </c>
      <c r="AC64" s="6">
        <f>IF($F64=0,"",IF(ISNUMBER(INDEX(Data!Z$1:Z$373,$F64)),INDEX(Data!Z$1:Z$373,$F64),""))</f>
        <v>129</v>
      </c>
      <c r="AD64" s="6">
        <f>IF($F64=0,"",IF(ISNUMBER(INDEX(Data!AA$1:AA$373,$F64)),INDEX(Data!AA$1:AA$373,$F64),""))</f>
        <v>138.5</v>
      </c>
      <c r="AE64" s="6">
        <f>IF($F64=0,"",IF(ISNUMBER(INDEX(Data!AB$1:AB$373,$F64)),INDEX(Data!AB$1:AB$373,$F64),""))</f>
        <v>126.5</v>
      </c>
      <c r="AF64" s="6">
        <f>IF($F64=0,"",IF(ISNUMBER(INDEX(Data!AC$1:AC$373,$F64)),INDEX(Data!AC$1:AC$373,$F64),""))</f>
        <v>128.6</v>
      </c>
      <c r="AG64" s="6">
        <f>IF($F64=0,"",IF(ISNUMBER(INDEX(Data!AD$1:AD$373,$F64)),INDEX(Data!AD$1:AD$373,$F64),""))</f>
        <v>137.2</v>
      </c>
    </row>
    <row r="65" spans="1:33">
      <c r="A65" s="6">
        <v>2018</v>
      </c>
      <c r="B65" s="6">
        <v>1</v>
      </c>
      <c r="C65" s="6" t="s">
        <v>50</v>
      </c>
      <c r="D65" s="9">
        <f t="shared" si="0"/>
        <v>43101</v>
      </c>
      <c r="E65" s="6" t="str">
        <f t="shared" si="1"/>
        <v>Rural+Urban|2018|January</v>
      </c>
      <c r="F65" s="6">
        <f>IFERROR(MATCH(E65,Data!$AE$1:$AE$373,0),0)</f>
        <v>184</v>
      </c>
      <c r="G65" s="6">
        <f>IF($F65=0,"",IF(ISNUMBER(INDEX(Data!D$1:D$373,$F65)),INDEX(Data!D$1:D$373,$F65),""))</f>
        <v>136</v>
      </c>
      <c r="H65" s="6">
        <f>IF($F65=0,"",IF(ISNUMBER(INDEX(Data!E$1:E$373,$F65)),INDEX(Data!E$1:E$373,$F65),""))</f>
        <v>144.2</v>
      </c>
      <c r="I65" s="6">
        <f>IF($F65=0,"",IF(ISNUMBER(INDEX(Data!F$1:F$373,$F65)),INDEX(Data!F$1:F$373,$F65),""))</f>
        <v>143.7</v>
      </c>
      <c r="J65" s="6">
        <f>IF($F65=0,"",IF(ISNUMBER(INDEX(Data!G$1:G$373,$F65)),INDEX(Data!G$1:G$373,$F65),""))</f>
        <v>141.1</v>
      </c>
      <c r="K65" s="6">
        <f>IF($F65=0,"",IF(ISNUMBER(INDEX(Data!H$1:H$373,$F65)),INDEX(Data!H$1:H$373,$F65),""))</f>
        <v>120.7</v>
      </c>
      <c r="L65" s="6">
        <f>IF($F65=0,"",IF(ISNUMBER(INDEX(Data!I$1:I$373,$F65)),INDEX(Data!I$1:I$373,$F65),""))</f>
        <v>141.3</v>
      </c>
      <c r="M65" s="6">
        <f>IF($F65=0,"",IF(ISNUMBER(INDEX(Data!J$1:J$373,$F65)),INDEX(Data!J$1:J$373,$F65),""))</f>
        <v>151.6</v>
      </c>
      <c r="N65" s="6">
        <f>IF($F65=0,"",IF(ISNUMBER(INDEX(Data!K$1:K$373,$F65)),INDEX(Data!K$1:K$373,$F65),""))</f>
        <v>127.3</v>
      </c>
      <c r="O65" s="6">
        <f>IF($F65=0,"",IF(ISNUMBER(INDEX(Data!L$1:L$373,$F65)),INDEX(Data!L$1:L$373,$F65),""))</f>
        <v>118.8</v>
      </c>
      <c r="P65" s="6">
        <f>IF($F65=0,"",IF(ISNUMBER(INDEX(Data!M$1:M$373,$F65)),INDEX(Data!M$1:M$373,$F65),""))</f>
        <v>137.5</v>
      </c>
      <c r="Q65" s="6">
        <f>IF($F65=0,"",IF(ISNUMBER(INDEX(Data!N$1:N$373,$F65)),INDEX(Data!N$1:N$373,$F65),""))</f>
        <v>129</v>
      </c>
      <c r="R65" s="6">
        <f>IF($F65=0,"",IF(ISNUMBER(INDEX(Data!O$1:O$373,$F65)),INDEX(Data!O$1:O$373,$F65),""))</f>
        <v>149.5</v>
      </c>
      <c r="S65" s="6">
        <f>IF($F65=0,"",IF(ISNUMBER(INDEX(Data!P$1:P$373,$F65)),INDEX(Data!P$1:P$373,$F65),""))</f>
        <v>139.2</v>
      </c>
      <c r="T65" s="6">
        <f>IF($F65=0,"",IF(ISNUMBER(INDEX(Data!Q$1:Q$373,$F65)),INDEX(Data!Q$1:Q$373,$F65),""))</f>
        <v>154.7</v>
      </c>
      <c r="U65" s="6">
        <f>IF($F65=0,"",IF(ISNUMBER(INDEX(Data!R$1:R$373,$F65)),INDEX(Data!R$1:R$373,$F65),""))</f>
        <v>143.5</v>
      </c>
      <c r="V65" s="6">
        <f>IF($F65=0,"",IF(ISNUMBER(INDEX(Data!S$1:S$373,$F65)),INDEX(Data!S$1:S$373,$F65),""))</f>
        <v>135.5</v>
      </c>
      <c r="W65" s="6">
        <f>IF($F65=0,"",IF(ISNUMBER(INDEX(Data!T$1:T$373,$F65)),INDEX(Data!T$1:T$373,$F65),""))</f>
        <v>142.3</v>
      </c>
      <c r="X65" s="6">
        <f>IF($F65=0,"",IF(ISNUMBER(INDEX(Data!U$1:U$373,$F65)),INDEX(Data!U$1:U$373,$F65),""))</f>
        <v>140.4</v>
      </c>
      <c r="Y65" s="6">
        <f>IF($F65=0,"",IF(ISNUMBER(INDEX(Data!V$1:V$373,$F65)),INDEX(Data!V$1:V$373,$F65),""))</f>
        <v>136.6</v>
      </c>
      <c r="Z65" s="6">
        <f>IF($F65=0,"",IF(ISNUMBER(INDEX(Data!W$1:W$373,$F65)),INDEX(Data!W$1:W$373,$F65),""))</f>
        <v>134.9</v>
      </c>
      <c r="AA65" s="6">
        <f>IF($F65=0,"",IF(ISNUMBER(INDEX(Data!X$1:X$373,$F65)),INDEX(Data!X$1:X$373,$F65),""))</f>
        <v>133.3</v>
      </c>
      <c r="AB65" s="6">
        <f>IF($F65=0,"",IF(ISNUMBER(INDEX(Data!Y$1:Y$373,$F65)),INDEX(Data!Y$1:Y$373,$F65),""))</f>
        <v>119.3</v>
      </c>
      <c r="AC65" s="6">
        <f>IF($F65=0,"",IF(ISNUMBER(INDEX(Data!Z$1:Z$373,$F65)),INDEX(Data!Z$1:Z$373,$F65),""))</f>
        <v>129.7</v>
      </c>
      <c r="AD65" s="6">
        <f>IF($F65=0,"",IF(ISNUMBER(INDEX(Data!AA$1:AA$373,$F65)),INDEX(Data!AA$1:AA$373,$F65),""))</f>
        <v>139</v>
      </c>
      <c r="AE65" s="6">
        <f>IF($F65=0,"",IF(ISNUMBER(INDEX(Data!AB$1:AB$373,$F65)),INDEX(Data!AB$1:AB$373,$F65),""))</f>
        <v>127.3</v>
      </c>
      <c r="AF65" s="6">
        <f>IF($F65=0,"",IF(ISNUMBER(INDEX(Data!AC$1:AC$373,$F65)),INDEX(Data!AC$1:AC$373,$F65),""))</f>
        <v>129.1</v>
      </c>
      <c r="AG65" s="6">
        <f>IF($F65=0,"",IF(ISNUMBER(INDEX(Data!AD$1:AD$373,$F65)),INDEX(Data!AD$1:AD$373,$F65),""))</f>
        <v>136.9</v>
      </c>
    </row>
    <row r="66" spans="1:33">
      <c r="A66" s="6">
        <v>2018</v>
      </c>
      <c r="B66" s="6">
        <v>2</v>
      </c>
      <c r="C66" s="6" t="s">
        <v>53</v>
      </c>
      <c r="D66" s="9">
        <f t="shared" si="0"/>
        <v>43132</v>
      </c>
      <c r="E66" s="6" t="str">
        <f t="shared" si="1"/>
        <v>Rural+Urban|2018|February</v>
      </c>
      <c r="F66" s="6">
        <f>IFERROR(MATCH(E66,Data!$AE$1:$AE$373,0),0)</f>
        <v>187</v>
      </c>
      <c r="G66" s="6">
        <f>IF($F66=0,"",IF(ISNUMBER(INDEX(Data!D$1:D$373,$F66)),INDEX(Data!D$1:D$373,$F66),""))</f>
        <v>135.9</v>
      </c>
      <c r="H66" s="6">
        <f>IF($F66=0,"",IF(ISNUMBER(INDEX(Data!E$1:E$373,$F66)),INDEX(Data!E$1:E$373,$F66),""))</f>
        <v>143.5</v>
      </c>
      <c r="I66" s="6">
        <f>IF($F66=0,"",IF(ISNUMBER(INDEX(Data!F$1:F$373,$F66)),INDEX(Data!F$1:F$373,$F66),""))</f>
        <v>140.3</v>
      </c>
      <c r="J66" s="6">
        <f>IF($F66=0,"",IF(ISNUMBER(INDEX(Data!G$1:G$373,$F66)),INDEX(Data!G$1:G$373,$F66),""))</f>
        <v>140.9</v>
      </c>
      <c r="K66" s="6">
        <f>IF($F66=0,"",IF(ISNUMBER(INDEX(Data!H$1:H$373,$F66)),INDEX(Data!H$1:H$373,$F66),""))</f>
        <v>120.4</v>
      </c>
      <c r="L66" s="6">
        <f>IF($F66=0,"",IF(ISNUMBER(INDEX(Data!I$1:I$373,$F66)),INDEX(Data!I$1:I$373,$F66),""))</f>
        <v>142.9</v>
      </c>
      <c r="M66" s="6">
        <f>IF($F66=0,"",IF(ISNUMBER(INDEX(Data!J$1:J$373,$F66)),INDEX(Data!J$1:J$373,$F66),""))</f>
        <v>140.5</v>
      </c>
      <c r="N66" s="6">
        <f>IF($F66=0,"",IF(ISNUMBER(INDEX(Data!K$1:K$373,$F66)),INDEX(Data!K$1:K$373,$F66),""))</f>
        <v>125.8</v>
      </c>
      <c r="O66" s="6">
        <f>IF($F66=0,"",IF(ISNUMBER(INDEX(Data!L$1:L$373,$F66)),INDEX(Data!L$1:L$373,$F66),""))</f>
        <v>117.1</v>
      </c>
      <c r="P66" s="6">
        <f>IF($F66=0,"",IF(ISNUMBER(INDEX(Data!M$1:M$373,$F66)),INDEX(Data!M$1:M$373,$F66),""))</f>
        <v>137.3</v>
      </c>
      <c r="Q66" s="6">
        <f>IF($F66=0,"",IF(ISNUMBER(INDEX(Data!N$1:N$373,$F66)),INDEX(Data!N$1:N$373,$F66),""))</f>
        <v>128.6</v>
      </c>
      <c r="R66" s="6">
        <f>IF($F66=0,"",IF(ISNUMBER(INDEX(Data!O$1:O$373,$F66)),INDEX(Data!O$1:O$373,$F66),""))</f>
        <v>149.6</v>
      </c>
      <c r="S66" s="6">
        <f>IF($F66=0,"",IF(ISNUMBER(INDEX(Data!P$1:P$373,$F66)),INDEX(Data!P$1:P$373,$F66),""))</f>
        <v>137.6</v>
      </c>
      <c r="T66" s="6">
        <f>IF($F66=0,"",IF(ISNUMBER(INDEX(Data!Q$1:Q$373,$F66)),INDEX(Data!Q$1:Q$373,$F66),""))</f>
        <v>154.9</v>
      </c>
      <c r="U66" s="6">
        <f>IF($F66=0,"",IF(ISNUMBER(INDEX(Data!R$1:R$373,$F66)),INDEX(Data!R$1:R$373,$F66),""))</f>
        <v>143.8</v>
      </c>
      <c r="V66" s="6">
        <f>IF($F66=0,"",IF(ISNUMBER(INDEX(Data!S$1:S$373,$F66)),INDEX(Data!S$1:S$373,$F66),""))</f>
        <v>135.6</v>
      </c>
      <c r="W66" s="6">
        <f>IF($F66=0,"",IF(ISNUMBER(INDEX(Data!T$1:T$373,$F66)),INDEX(Data!T$1:T$373,$F66),""))</f>
        <v>142.6</v>
      </c>
      <c r="X66" s="6">
        <f>IF($F66=0,"",IF(ISNUMBER(INDEX(Data!U$1:U$373,$F66)),INDEX(Data!U$1:U$373,$F66),""))</f>
        <v>141.3</v>
      </c>
      <c r="Y66" s="6">
        <f>IF($F66=0,"",IF(ISNUMBER(INDEX(Data!V$1:V$373,$F66)),INDEX(Data!V$1:V$373,$F66),""))</f>
        <v>136.7</v>
      </c>
      <c r="Z66" s="6">
        <f>IF($F66=0,"",IF(ISNUMBER(INDEX(Data!W$1:W$373,$F66)),INDEX(Data!W$1:W$373,$F66),""))</f>
        <v>135.2</v>
      </c>
      <c r="AA66" s="6">
        <f>IF($F66=0,"",IF(ISNUMBER(INDEX(Data!X$1:X$373,$F66)),INDEX(Data!X$1:X$373,$F66),""))</f>
        <v>133.8</v>
      </c>
      <c r="AB66" s="6">
        <f>IF($F66=0,"",IF(ISNUMBER(INDEX(Data!Y$1:Y$373,$F66)),INDEX(Data!Y$1:Y$373,$F66),""))</f>
        <v>120.2</v>
      </c>
      <c r="AC66" s="6">
        <f>IF($F66=0,"",IF(ISNUMBER(INDEX(Data!Z$1:Z$373,$F66)),INDEX(Data!Z$1:Z$373,$F66),""))</f>
        <v>129.9</v>
      </c>
      <c r="AD66" s="6">
        <f>IF($F66=0,"",IF(ISNUMBER(INDEX(Data!AA$1:AA$373,$F66)),INDEX(Data!AA$1:AA$373,$F66),""))</f>
        <v>139</v>
      </c>
      <c r="AE66" s="6">
        <f>IF($F66=0,"",IF(ISNUMBER(INDEX(Data!AB$1:AB$373,$F66)),INDEX(Data!AB$1:AB$373,$F66),""))</f>
        <v>127.7</v>
      </c>
      <c r="AF66" s="6">
        <f>IF($F66=0,"",IF(ISNUMBER(INDEX(Data!AC$1:AC$373,$F66)),INDEX(Data!AC$1:AC$373,$F66),""))</f>
        <v>129.6</v>
      </c>
      <c r="AG66" s="6">
        <f>IF($F66=0,"",IF(ISNUMBER(INDEX(Data!AD$1:AD$373,$F66)),INDEX(Data!AD$1:AD$373,$F66),""))</f>
        <v>136.4</v>
      </c>
    </row>
    <row r="67" spans="1:33">
      <c r="A67" s="6">
        <v>2018</v>
      </c>
      <c r="B67" s="6">
        <v>3</v>
      </c>
      <c r="C67" s="6" t="s">
        <v>54</v>
      </c>
      <c r="D67" s="9">
        <f t="shared" si="0"/>
        <v>43160</v>
      </c>
      <c r="E67" s="6" t="str">
        <f t="shared" si="1"/>
        <v>Rural+Urban|2018|March</v>
      </c>
      <c r="F67" s="6">
        <f>IFERROR(MATCH(E67,Data!$AE$1:$AE$373,0),0)</f>
        <v>190</v>
      </c>
      <c r="G67" s="6">
        <f>IF($F67=0,"",IF(ISNUMBER(INDEX(Data!D$1:D$373,$F67)),INDEX(Data!D$1:D$373,$F67),""))</f>
        <v>136.2</v>
      </c>
      <c r="H67" s="6">
        <f>IF($F67=0,"",IF(ISNUMBER(INDEX(Data!E$1:E$373,$F67)),INDEX(Data!E$1:E$373,$F67),""))</f>
        <v>143.6</v>
      </c>
      <c r="I67" s="6">
        <f>IF($F67=0,"",IF(ISNUMBER(INDEX(Data!F$1:F$373,$F67)),INDEX(Data!F$1:F$373,$F67),""))</f>
        <v>138.3</v>
      </c>
      <c r="J67" s="6">
        <f>IF($F67=0,"",IF(ISNUMBER(INDEX(Data!G$1:G$373,$F67)),INDEX(Data!G$1:G$373,$F67),""))</f>
        <v>141.2</v>
      </c>
      <c r="K67" s="6">
        <f>IF($F67=0,"",IF(ISNUMBER(INDEX(Data!H$1:H$373,$F67)),INDEX(Data!H$1:H$373,$F67),""))</f>
        <v>120.7</v>
      </c>
      <c r="L67" s="6">
        <f>IF($F67=0,"",IF(ISNUMBER(INDEX(Data!I$1:I$373,$F67)),INDEX(Data!I$1:I$373,$F67),""))</f>
        <v>146.2</v>
      </c>
      <c r="M67" s="6">
        <f>IF($F67=0,"",IF(ISNUMBER(INDEX(Data!J$1:J$373,$F67)),INDEX(Data!J$1:J$373,$F67),""))</f>
        <v>134.6</v>
      </c>
      <c r="N67" s="6">
        <f>IF($F67=0,"",IF(ISNUMBER(INDEX(Data!K$1:K$373,$F67)),INDEX(Data!K$1:K$373,$F67),""))</f>
        <v>124.6</v>
      </c>
      <c r="O67" s="6">
        <f>IF($F67=0,"",IF(ISNUMBER(INDEX(Data!L$1:L$373,$F67)),INDEX(Data!L$1:L$373,$F67),""))</f>
        <v>116.1</v>
      </c>
      <c r="P67" s="6">
        <f>IF($F67=0,"",IF(ISNUMBER(INDEX(Data!M$1:M$373,$F67)),INDEX(Data!M$1:M$373,$F67),""))</f>
        <v>137.8</v>
      </c>
      <c r="Q67" s="6">
        <f>IF($F67=0,"",IF(ISNUMBER(INDEX(Data!N$1:N$373,$F67)),INDEX(Data!N$1:N$373,$F67),""))</f>
        <v>129.1</v>
      </c>
      <c r="R67" s="6">
        <f>IF($F67=0,"",IF(ISNUMBER(INDEX(Data!O$1:O$373,$F67)),INDEX(Data!O$1:O$373,$F67),""))</f>
        <v>150.4</v>
      </c>
      <c r="S67" s="6">
        <f>IF($F67=0,"",IF(ISNUMBER(INDEX(Data!P$1:P$373,$F67)),INDEX(Data!P$1:P$373,$F67),""))</f>
        <v>137.2</v>
      </c>
      <c r="T67" s="6">
        <f>IF($F67=0,"",IF(ISNUMBER(INDEX(Data!Q$1:Q$373,$F67)),INDEX(Data!Q$1:Q$373,$F67),""))</f>
        <v>156.3</v>
      </c>
      <c r="U67" s="6">
        <f>IF($F67=0,"",IF(ISNUMBER(INDEX(Data!R$1:R$373,$F67)),INDEX(Data!R$1:R$373,$F67),""))</f>
        <v>144.3</v>
      </c>
      <c r="V67" s="6">
        <f>IF($F67=0,"",IF(ISNUMBER(INDEX(Data!S$1:S$373,$F67)),INDEX(Data!S$1:S$373,$F67),""))</f>
        <v>136.2</v>
      </c>
      <c r="W67" s="6">
        <f>IF($F67=0,"",IF(ISNUMBER(INDEX(Data!T$1:T$373,$F67)),INDEX(Data!T$1:T$373,$F67),""))</f>
        <v>143.1</v>
      </c>
      <c r="X67" s="6">
        <f>IF($F67=0,"",IF(ISNUMBER(INDEX(Data!U$1:U$373,$F67)),INDEX(Data!U$1:U$373,$F67),""))</f>
        <v>142</v>
      </c>
      <c r="Y67" s="6">
        <f>IF($F67=0,"",IF(ISNUMBER(INDEX(Data!V$1:V$373,$F67)),INDEX(Data!V$1:V$373,$F67),""))</f>
        <v>136.5</v>
      </c>
      <c r="Z67" s="6">
        <f>IF($F67=0,"",IF(ISNUMBER(INDEX(Data!W$1:W$373,$F67)),INDEX(Data!W$1:W$373,$F67),""))</f>
        <v>135.6</v>
      </c>
      <c r="AA67" s="6">
        <f>IF($F67=0,"",IF(ISNUMBER(INDEX(Data!X$1:X$373,$F67)),INDEX(Data!X$1:X$373,$F67),""))</f>
        <v>134.3</v>
      </c>
      <c r="AB67" s="6">
        <f>IF($F67=0,"",IF(ISNUMBER(INDEX(Data!Y$1:Y$373,$F67)),INDEX(Data!Y$1:Y$373,$F67),""))</f>
        <v>121</v>
      </c>
      <c r="AC67" s="6">
        <f>IF($F67=0,"",IF(ISNUMBER(INDEX(Data!Z$1:Z$373,$F67)),INDEX(Data!Z$1:Z$373,$F67),""))</f>
        <v>130.4</v>
      </c>
      <c r="AD67" s="6">
        <f>IF($F67=0,"",IF(ISNUMBER(INDEX(Data!AA$1:AA$373,$F67)),INDEX(Data!AA$1:AA$373,$F67),""))</f>
        <v>139.8</v>
      </c>
      <c r="AE67" s="6">
        <f>IF($F67=0,"",IF(ISNUMBER(INDEX(Data!AB$1:AB$373,$F67)),INDEX(Data!AB$1:AB$373,$F67),""))</f>
        <v>128.2</v>
      </c>
      <c r="AF67" s="6">
        <f>IF($F67=0,"",IF(ISNUMBER(INDEX(Data!AC$1:AC$373,$F67)),INDEX(Data!AC$1:AC$373,$F67),""))</f>
        <v>130.3</v>
      </c>
      <c r="AG67" s="6">
        <f>IF($F67=0,"",IF(ISNUMBER(INDEX(Data!AD$1:AD$373,$F67)),INDEX(Data!AD$1:AD$373,$F67),""))</f>
        <v>136.5</v>
      </c>
    </row>
    <row r="68" spans="1:33">
      <c r="A68" s="6">
        <v>2018</v>
      </c>
      <c r="B68" s="6">
        <v>4</v>
      </c>
      <c r="C68" s="6" t="s">
        <v>55</v>
      </c>
      <c r="D68" s="9">
        <f t="shared" si="0"/>
        <v>43191</v>
      </c>
      <c r="E68" s="6" t="str">
        <f t="shared" si="1"/>
        <v>Rural+Urban|2018|April</v>
      </c>
      <c r="F68" s="6">
        <f>IFERROR(MATCH(E68,Data!$AE$1:$AE$373,0),0)</f>
        <v>193</v>
      </c>
      <c r="G68" s="6">
        <f>IF($F68=0,"",IF(ISNUMBER(INDEX(Data!D$1:D$373,$F68)),INDEX(Data!D$1:D$373,$F68),""))</f>
        <v>136.4</v>
      </c>
      <c r="H68" s="6">
        <f>IF($F68=0,"",IF(ISNUMBER(INDEX(Data!E$1:E$373,$F68)),INDEX(Data!E$1:E$373,$F68),""))</f>
        <v>144.4</v>
      </c>
      <c r="I68" s="6">
        <f>IF($F68=0,"",IF(ISNUMBER(INDEX(Data!F$1:F$373,$F68)),INDEX(Data!F$1:F$373,$F68),""))</f>
        <v>133.9</v>
      </c>
      <c r="J68" s="6">
        <f>IF($F68=0,"",IF(ISNUMBER(INDEX(Data!G$1:G$373,$F68)),INDEX(Data!G$1:G$373,$F68),""))</f>
        <v>141.6</v>
      </c>
      <c r="K68" s="6">
        <f>IF($F68=0,"",IF(ISNUMBER(INDEX(Data!H$1:H$373,$F68)),INDEX(Data!H$1:H$373,$F68),""))</f>
        <v>121</v>
      </c>
      <c r="L68" s="6">
        <f>IF($F68=0,"",IF(ISNUMBER(INDEX(Data!I$1:I$373,$F68)),INDEX(Data!I$1:I$373,$F68),""))</f>
        <v>153.5</v>
      </c>
      <c r="M68" s="6">
        <f>IF($F68=0,"",IF(ISNUMBER(INDEX(Data!J$1:J$373,$F68)),INDEX(Data!J$1:J$373,$F68),""))</f>
        <v>132.6</v>
      </c>
      <c r="N68" s="6">
        <f>IF($F68=0,"",IF(ISNUMBER(INDEX(Data!K$1:K$373,$F68)),INDEX(Data!K$1:K$373,$F68),""))</f>
        <v>123.5</v>
      </c>
      <c r="O68" s="6">
        <f>IF($F68=0,"",IF(ISNUMBER(INDEX(Data!L$1:L$373,$F68)),INDEX(Data!L$1:L$373,$F68),""))</f>
        <v>113.7</v>
      </c>
      <c r="P68" s="6">
        <f>IF($F68=0,"",IF(ISNUMBER(INDEX(Data!M$1:M$373,$F68)),INDEX(Data!M$1:M$373,$F68),""))</f>
        <v>138.2</v>
      </c>
      <c r="Q68" s="6">
        <f>IF($F68=0,"",IF(ISNUMBER(INDEX(Data!N$1:N$373,$F68)),INDEX(Data!N$1:N$373,$F68),""))</f>
        <v>129.6</v>
      </c>
      <c r="R68" s="6">
        <f>IF($F68=0,"",IF(ISNUMBER(INDEX(Data!O$1:O$373,$F68)),INDEX(Data!O$1:O$373,$F68),""))</f>
        <v>151.2</v>
      </c>
      <c r="S68" s="6">
        <f>IF($F68=0,"",IF(ISNUMBER(INDEX(Data!P$1:P$373,$F68)),INDEX(Data!P$1:P$373,$F68),""))</f>
        <v>137.5</v>
      </c>
      <c r="T68" s="6">
        <f>IF($F68=0,"",IF(ISNUMBER(INDEX(Data!Q$1:Q$373,$F68)),INDEX(Data!Q$1:Q$373,$F68),""))</f>
        <v>156.9</v>
      </c>
      <c r="U68" s="6">
        <f>IF($F68=0,"",IF(ISNUMBER(INDEX(Data!R$1:R$373,$F68)),INDEX(Data!R$1:R$373,$F68),""))</f>
        <v>145.3</v>
      </c>
      <c r="V68" s="6">
        <f>IF($F68=0,"",IF(ISNUMBER(INDEX(Data!S$1:S$373,$F68)),INDEX(Data!S$1:S$373,$F68),""))</f>
        <v>136.7</v>
      </c>
      <c r="W68" s="6">
        <f>IF($F68=0,"",IF(ISNUMBER(INDEX(Data!T$1:T$373,$F68)),INDEX(Data!T$1:T$373,$F68),""))</f>
        <v>144</v>
      </c>
      <c r="X68" s="6">
        <f>IF($F68=0,"",IF(ISNUMBER(INDEX(Data!U$1:U$373,$F68)),INDEX(Data!U$1:U$373,$F68),""))</f>
        <v>142.9</v>
      </c>
      <c r="Y68" s="6">
        <f>IF($F68=0,"",IF(ISNUMBER(INDEX(Data!V$1:V$373,$F68)),INDEX(Data!V$1:V$373,$F68),""))</f>
        <v>136.5</v>
      </c>
      <c r="Z68" s="6">
        <f>IF($F68=0,"",IF(ISNUMBER(INDEX(Data!W$1:W$373,$F68)),INDEX(Data!W$1:W$373,$F68),""))</f>
        <v>136.6</v>
      </c>
      <c r="AA68" s="6">
        <f>IF($F68=0,"",IF(ISNUMBER(INDEX(Data!X$1:X$373,$F68)),INDEX(Data!X$1:X$373,$F68),""))</f>
        <v>135.2</v>
      </c>
      <c r="AB68" s="6">
        <f>IF($F68=0,"",IF(ISNUMBER(INDEX(Data!Y$1:Y$373,$F68)),INDEX(Data!Y$1:Y$373,$F68),""))</f>
        <v>121.9</v>
      </c>
      <c r="AC68" s="6">
        <f>IF($F68=0,"",IF(ISNUMBER(INDEX(Data!Z$1:Z$373,$F68)),INDEX(Data!Z$1:Z$373,$F68),""))</f>
        <v>131.3</v>
      </c>
      <c r="AD68" s="6">
        <f>IF($F68=0,"",IF(ISNUMBER(INDEX(Data!AA$1:AA$373,$F68)),INDEX(Data!AA$1:AA$373,$F68),""))</f>
        <v>141.4</v>
      </c>
      <c r="AE68" s="6">
        <f>IF($F68=0,"",IF(ISNUMBER(INDEX(Data!AB$1:AB$373,$F68)),INDEX(Data!AB$1:AB$373,$F68),""))</f>
        <v>129.2</v>
      </c>
      <c r="AF68" s="6">
        <f>IF($F68=0,"",IF(ISNUMBER(INDEX(Data!AC$1:AC$373,$F68)),INDEX(Data!AC$1:AC$373,$F68),""))</f>
        <v>131.3</v>
      </c>
      <c r="AG68" s="6">
        <f>IF($F68=0,"",IF(ISNUMBER(INDEX(Data!AD$1:AD$373,$F68)),INDEX(Data!AD$1:AD$373,$F68),""))</f>
        <v>137.1</v>
      </c>
    </row>
    <row r="69" spans="1:33">
      <c r="A69" s="6">
        <v>2018</v>
      </c>
      <c r="B69" s="6">
        <v>5</v>
      </c>
      <c r="C69" s="6" t="s">
        <v>56</v>
      </c>
      <c r="D69" s="9">
        <f t="shared" ref="D69:D129" si="2">DATE(A69,B69,1)</f>
        <v>43221</v>
      </c>
      <c r="E69" s="6" t="str">
        <f t="shared" ref="E69:E129" si="3">"Rural+Urban|"&amp;A69&amp;"|"&amp;C69</f>
        <v>Rural+Urban|2018|May</v>
      </c>
      <c r="F69" s="6">
        <f>IFERROR(MATCH(E69,Data!$AE$1:$AE$373,0),0)</f>
        <v>196</v>
      </c>
      <c r="G69" s="6">
        <f>IF($F69=0,"",IF(ISNUMBER(INDEX(Data!D$1:D$373,$F69)),INDEX(Data!D$1:D$373,$F69),""))</f>
        <v>136.6</v>
      </c>
      <c r="H69" s="6">
        <f>IF($F69=0,"",IF(ISNUMBER(INDEX(Data!E$1:E$373,$F69)),INDEX(Data!E$1:E$373,$F69),""))</f>
        <v>146.6</v>
      </c>
      <c r="I69" s="6">
        <f>IF($F69=0,"",IF(ISNUMBER(INDEX(Data!F$1:F$373,$F69)),INDEX(Data!F$1:F$373,$F69),""))</f>
        <v>133.6</v>
      </c>
      <c r="J69" s="6">
        <f>IF($F69=0,"",IF(ISNUMBER(INDEX(Data!G$1:G$373,$F69)),INDEX(Data!G$1:G$373,$F69),""))</f>
        <v>142.1</v>
      </c>
      <c r="K69" s="6">
        <f>IF($F69=0,"",IF(ISNUMBER(INDEX(Data!H$1:H$373,$F69)),INDEX(Data!H$1:H$373,$F69),""))</f>
        <v>121</v>
      </c>
      <c r="L69" s="6">
        <f>IF($F69=0,"",IF(ISNUMBER(INDEX(Data!I$1:I$373,$F69)),INDEX(Data!I$1:I$373,$F69),""))</f>
        <v>154.6</v>
      </c>
      <c r="M69" s="6">
        <f>IF($F69=0,"",IF(ISNUMBER(INDEX(Data!J$1:J$373,$F69)),INDEX(Data!J$1:J$373,$F69),""))</f>
        <v>135.6</v>
      </c>
      <c r="N69" s="6">
        <f>IF($F69=0,"",IF(ISNUMBER(INDEX(Data!K$1:K$373,$F69)),INDEX(Data!K$1:K$373,$F69),""))</f>
        <v>122.3</v>
      </c>
      <c r="O69" s="6">
        <f>IF($F69=0,"",IF(ISNUMBER(INDEX(Data!L$1:L$373,$F69)),INDEX(Data!L$1:L$373,$F69),""))</f>
        <v>109.6</v>
      </c>
      <c r="P69" s="6">
        <f>IF($F69=0,"",IF(ISNUMBER(INDEX(Data!M$1:M$373,$F69)),INDEX(Data!M$1:M$373,$F69),""))</f>
        <v>138.1</v>
      </c>
      <c r="Q69" s="6">
        <f>IF($F69=0,"",IF(ISNUMBER(INDEX(Data!N$1:N$373,$F69)),INDEX(Data!N$1:N$373,$F69),""))</f>
        <v>129.9</v>
      </c>
      <c r="R69" s="6">
        <f>IF($F69=0,"",IF(ISNUMBER(INDEX(Data!O$1:O$373,$F69)),INDEX(Data!O$1:O$373,$F69),""))</f>
        <v>151.7</v>
      </c>
      <c r="S69" s="6">
        <f>IF($F69=0,"",IF(ISNUMBER(INDEX(Data!P$1:P$373,$F69)),INDEX(Data!P$1:P$373,$F69),""))</f>
        <v>138.1</v>
      </c>
      <c r="T69" s="6">
        <f>IF($F69=0,"",IF(ISNUMBER(INDEX(Data!Q$1:Q$373,$F69)),INDEX(Data!Q$1:Q$373,$F69),""))</f>
        <v>157.9</v>
      </c>
      <c r="U69" s="6">
        <f>IF($F69=0,"",IF(ISNUMBER(INDEX(Data!R$1:R$373,$F69)),INDEX(Data!R$1:R$373,$F69),""))</f>
        <v>146</v>
      </c>
      <c r="V69" s="6">
        <f>IF($F69=0,"",IF(ISNUMBER(INDEX(Data!S$1:S$373,$F69)),INDEX(Data!S$1:S$373,$F69),""))</f>
        <v>137.4</v>
      </c>
      <c r="W69" s="6">
        <f>IF($F69=0,"",IF(ISNUMBER(INDEX(Data!T$1:T$373,$F69)),INDEX(Data!T$1:T$373,$F69),""))</f>
        <v>144.7</v>
      </c>
      <c r="X69" s="6">
        <f>IF($F69=0,"",IF(ISNUMBER(INDEX(Data!U$1:U$373,$F69)),INDEX(Data!U$1:U$373,$F69),""))</f>
        <v>143.2</v>
      </c>
      <c r="Y69" s="6">
        <f>IF($F69=0,"",IF(ISNUMBER(INDEX(Data!V$1:V$373,$F69)),INDEX(Data!V$1:V$373,$F69),""))</f>
        <v>136.9</v>
      </c>
      <c r="Z69" s="6">
        <f>IF($F69=0,"",IF(ISNUMBER(INDEX(Data!W$1:W$373,$F69)),INDEX(Data!W$1:W$373,$F69),""))</f>
        <v>137.4</v>
      </c>
      <c r="AA69" s="6">
        <f>IF($F69=0,"",IF(ISNUMBER(INDEX(Data!X$1:X$373,$F69)),INDEX(Data!X$1:X$373,$F69),""))</f>
        <v>136</v>
      </c>
      <c r="AB69" s="6">
        <f>IF($F69=0,"",IF(ISNUMBER(INDEX(Data!Y$1:Y$373,$F69)),INDEX(Data!Y$1:Y$373,$F69),""))</f>
        <v>122.9</v>
      </c>
      <c r="AC69" s="6">
        <f>IF($F69=0,"",IF(ISNUMBER(INDEX(Data!Z$1:Z$373,$F69)),INDEX(Data!Z$1:Z$373,$F69),""))</f>
        <v>131.8</v>
      </c>
      <c r="AD69" s="6">
        <f>IF($F69=0,"",IF(ISNUMBER(INDEX(Data!AA$1:AA$373,$F69)),INDEX(Data!AA$1:AA$373,$F69),""))</f>
        <v>142.1</v>
      </c>
      <c r="AE69" s="6">
        <f>IF($F69=0,"",IF(ISNUMBER(INDEX(Data!AB$1:AB$373,$F69)),INDEX(Data!AB$1:AB$373,$F69),""))</f>
        <v>129.9</v>
      </c>
      <c r="AF69" s="6">
        <f>IF($F69=0,"",IF(ISNUMBER(INDEX(Data!AC$1:AC$373,$F69)),INDEX(Data!AC$1:AC$373,$F69),""))</f>
        <v>132.1</v>
      </c>
      <c r="AG69" s="6">
        <f>IF($F69=0,"",IF(ISNUMBER(INDEX(Data!AD$1:AD$373,$F69)),INDEX(Data!AD$1:AD$373,$F69),""))</f>
        <v>137.8</v>
      </c>
    </row>
    <row r="70" spans="1:33">
      <c r="A70" s="6">
        <v>2018</v>
      </c>
      <c r="B70" s="6">
        <v>6</v>
      </c>
      <c r="C70" s="6" t="s">
        <v>57</v>
      </c>
      <c r="D70" s="9">
        <f t="shared" si="2"/>
        <v>43252</v>
      </c>
      <c r="E70" s="6" t="str">
        <f t="shared" si="3"/>
        <v>Rural+Urban|2018|June</v>
      </c>
      <c r="F70" s="6">
        <f>IFERROR(MATCH(E70,Data!$AE$1:$AE$373,0),0)</f>
        <v>199</v>
      </c>
      <c r="G70" s="6">
        <f>IF($F70=0,"",IF(ISNUMBER(INDEX(Data!D$1:D$373,$F70)),INDEX(Data!D$1:D$373,$F70),""))</f>
        <v>136.9</v>
      </c>
      <c r="H70" s="6">
        <f>IF($F70=0,"",IF(ISNUMBER(INDEX(Data!E$1:E$373,$F70)),INDEX(Data!E$1:E$373,$F70),""))</f>
        <v>148.7</v>
      </c>
      <c r="I70" s="6">
        <f>IF($F70=0,"",IF(ISNUMBER(INDEX(Data!F$1:F$373,$F70)),INDEX(Data!F$1:F$373,$F70),""))</f>
        <v>135.6</v>
      </c>
      <c r="J70" s="6">
        <f>IF($F70=0,"",IF(ISNUMBER(INDEX(Data!G$1:G$373,$F70)),INDEX(Data!G$1:G$373,$F70),""))</f>
        <v>142.3</v>
      </c>
      <c r="K70" s="6">
        <f>IF($F70=0,"",IF(ISNUMBER(INDEX(Data!H$1:H$373,$F70)),INDEX(Data!H$1:H$373,$F70),""))</f>
        <v>121.3</v>
      </c>
      <c r="L70" s="6">
        <f>IF($F70=0,"",IF(ISNUMBER(INDEX(Data!I$1:I$373,$F70)),INDEX(Data!I$1:I$373,$F70),""))</f>
        <v>153.2</v>
      </c>
      <c r="M70" s="6">
        <f>IF($F70=0,"",IF(ISNUMBER(INDEX(Data!J$1:J$373,$F70)),INDEX(Data!J$1:J$373,$F70),""))</f>
        <v>143.7</v>
      </c>
      <c r="N70" s="6">
        <f>IF($F70=0,"",IF(ISNUMBER(INDEX(Data!K$1:K$373,$F70)),INDEX(Data!K$1:K$373,$F70),""))</f>
        <v>121.4</v>
      </c>
      <c r="O70" s="6">
        <f>IF($F70=0,"",IF(ISNUMBER(INDEX(Data!L$1:L$373,$F70)),INDEX(Data!L$1:L$373,$F70),""))</f>
        <v>111.1</v>
      </c>
      <c r="P70" s="6">
        <f>IF($F70=0,"",IF(ISNUMBER(INDEX(Data!M$1:M$373,$F70)),INDEX(Data!M$1:M$373,$F70),""))</f>
        <v>138.4</v>
      </c>
      <c r="Q70" s="6">
        <f>IF($F70=0,"",IF(ISNUMBER(INDEX(Data!N$1:N$373,$F70)),INDEX(Data!N$1:N$373,$F70),""))</f>
        <v>130.3</v>
      </c>
      <c r="R70" s="6">
        <f>IF($F70=0,"",IF(ISNUMBER(INDEX(Data!O$1:O$373,$F70)),INDEX(Data!O$1:O$373,$F70),""))</f>
        <v>151.8</v>
      </c>
      <c r="S70" s="6">
        <f>IF($F70=0,"",IF(ISNUMBER(INDEX(Data!P$1:P$373,$F70)),INDEX(Data!P$1:P$373,$F70),""))</f>
        <v>139.4</v>
      </c>
      <c r="T70" s="6">
        <f>IF($F70=0,"",IF(ISNUMBER(INDEX(Data!Q$1:Q$373,$F70)),INDEX(Data!Q$1:Q$373,$F70),""))</f>
        <v>158.3</v>
      </c>
      <c r="U70" s="6">
        <f>IF($F70=0,"",IF(ISNUMBER(INDEX(Data!R$1:R$373,$F70)),INDEX(Data!R$1:R$373,$F70),""))</f>
        <v>146.4</v>
      </c>
      <c r="V70" s="6">
        <f>IF($F70=0,"",IF(ISNUMBER(INDEX(Data!S$1:S$373,$F70)),INDEX(Data!S$1:S$373,$F70),""))</f>
        <v>138.1</v>
      </c>
      <c r="W70" s="6">
        <f>IF($F70=0,"",IF(ISNUMBER(INDEX(Data!T$1:T$373,$F70)),INDEX(Data!T$1:T$373,$F70),""))</f>
        <v>145.2</v>
      </c>
      <c r="X70" s="6">
        <f>IF($F70=0,"",IF(ISNUMBER(INDEX(Data!U$1:U$373,$F70)),INDEX(Data!U$1:U$373,$F70),""))</f>
        <v>142.5</v>
      </c>
      <c r="Y70" s="6">
        <f>IF($F70=0,"",IF(ISNUMBER(INDEX(Data!V$1:V$373,$F70)),INDEX(Data!V$1:V$373,$F70),""))</f>
        <v>138.1</v>
      </c>
      <c r="Z70" s="6">
        <f>IF($F70=0,"",IF(ISNUMBER(INDEX(Data!W$1:W$373,$F70)),INDEX(Data!W$1:W$373,$F70),""))</f>
        <v>137.9</v>
      </c>
      <c r="AA70" s="6">
        <f>IF($F70=0,"",IF(ISNUMBER(INDEX(Data!X$1:X$373,$F70)),INDEX(Data!X$1:X$373,$F70),""))</f>
        <v>136.2</v>
      </c>
      <c r="AB70" s="6">
        <f>IF($F70=0,"",IF(ISNUMBER(INDEX(Data!Y$1:Y$373,$F70)),INDEX(Data!Y$1:Y$373,$F70),""))</f>
        <v>123.7</v>
      </c>
      <c r="AC70" s="6">
        <f>IF($F70=0,"",IF(ISNUMBER(INDEX(Data!Z$1:Z$373,$F70)),INDEX(Data!Z$1:Z$373,$F70),""))</f>
        <v>132.6</v>
      </c>
      <c r="AD70" s="6">
        <f>IF($F70=0,"",IF(ISNUMBER(INDEX(Data!AA$1:AA$373,$F70)),INDEX(Data!AA$1:AA$373,$F70),""))</f>
        <v>142.8</v>
      </c>
      <c r="AE70" s="6">
        <f>IF($F70=0,"",IF(ISNUMBER(INDEX(Data!AB$1:AB$373,$F70)),INDEX(Data!AB$1:AB$373,$F70),""))</f>
        <v>130.1</v>
      </c>
      <c r="AF70" s="6">
        <f>IF($F70=0,"",IF(ISNUMBER(INDEX(Data!AC$1:AC$373,$F70)),INDEX(Data!AC$1:AC$373,$F70),""))</f>
        <v>132.6</v>
      </c>
      <c r="AG70" s="6">
        <f>IF($F70=0,"",IF(ISNUMBER(INDEX(Data!AD$1:AD$373,$F70)),INDEX(Data!AD$1:AD$373,$F70),""))</f>
        <v>138.5</v>
      </c>
    </row>
    <row r="71" spans="1:33">
      <c r="A71" s="6">
        <v>2018</v>
      </c>
      <c r="B71" s="6">
        <v>7</v>
      </c>
      <c r="C71" s="6" t="s">
        <v>58</v>
      </c>
      <c r="D71" s="9">
        <f t="shared" si="2"/>
        <v>43282</v>
      </c>
      <c r="E71" s="6" t="str">
        <f t="shared" si="3"/>
        <v>Rural+Urban|2018|July</v>
      </c>
      <c r="F71" s="6">
        <f>IFERROR(MATCH(E71,Data!$AE$1:$AE$373,0),0)</f>
        <v>202</v>
      </c>
      <c r="G71" s="6">
        <f>IF($F71=0,"",IF(ISNUMBER(INDEX(Data!D$1:D$373,$F71)),INDEX(Data!D$1:D$373,$F71),""))</f>
        <v>137.5</v>
      </c>
      <c r="H71" s="6">
        <f>IF($F71=0,"",IF(ISNUMBER(INDEX(Data!E$1:E$373,$F71)),INDEX(Data!E$1:E$373,$F71),""))</f>
        <v>149.1</v>
      </c>
      <c r="I71" s="6">
        <f>IF($F71=0,"",IF(ISNUMBER(INDEX(Data!F$1:F$373,$F71)),INDEX(Data!F$1:F$373,$F71),""))</f>
        <v>139.2</v>
      </c>
      <c r="J71" s="6">
        <f>IF($F71=0,"",IF(ISNUMBER(INDEX(Data!G$1:G$373,$F71)),INDEX(Data!G$1:G$373,$F71),""))</f>
        <v>142.5</v>
      </c>
      <c r="K71" s="6">
        <f>IF($F71=0,"",IF(ISNUMBER(INDEX(Data!H$1:H$373,$F71)),INDEX(Data!H$1:H$373,$F71),""))</f>
        <v>121.4</v>
      </c>
      <c r="L71" s="6">
        <f>IF($F71=0,"",IF(ISNUMBER(INDEX(Data!I$1:I$373,$F71)),INDEX(Data!I$1:I$373,$F71),""))</f>
        <v>151.6</v>
      </c>
      <c r="M71" s="6">
        <f>IF($F71=0,"",IF(ISNUMBER(INDEX(Data!J$1:J$373,$F71)),INDEX(Data!J$1:J$373,$F71),""))</f>
        <v>155.9</v>
      </c>
      <c r="N71" s="6">
        <f>IF($F71=0,"",IF(ISNUMBER(INDEX(Data!K$1:K$373,$F71)),INDEX(Data!K$1:K$373,$F71),""))</f>
        <v>121.7</v>
      </c>
      <c r="O71" s="6">
        <f>IF($F71=0,"",IF(ISNUMBER(INDEX(Data!L$1:L$373,$F71)),INDEX(Data!L$1:L$373,$F71),""))</f>
        <v>113.5</v>
      </c>
      <c r="P71" s="6">
        <f>IF($F71=0,"",IF(ISNUMBER(INDEX(Data!M$1:M$373,$F71)),INDEX(Data!M$1:M$373,$F71),""))</f>
        <v>138.9</v>
      </c>
      <c r="Q71" s="6">
        <f>IF($F71=0,"",IF(ISNUMBER(INDEX(Data!N$1:N$373,$F71)),INDEX(Data!N$1:N$373,$F71),""))</f>
        <v>130.3</v>
      </c>
      <c r="R71" s="6">
        <f>IF($F71=0,"",IF(ISNUMBER(INDEX(Data!O$1:O$373,$F71)),INDEX(Data!O$1:O$373,$F71),""))</f>
        <v>152.3</v>
      </c>
      <c r="S71" s="6">
        <f>IF($F71=0,"",IF(ISNUMBER(INDEX(Data!P$1:P$373,$F71)),INDEX(Data!P$1:P$373,$F71),""))</f>
        <v>141.4</v>
      </c>
      <c r="T71" s="6">
        <f>IF($F71=0,"",IF(ISNUMBER(INDEX(Data!Q$1:Q$373,$F71)),INDEX(Data!Q$1:Q$373,$F71),""))</f>
        <v>157.5</v>
      </c>
      <c r="U71" s="6">
        <f>IF($F71=0,"",IF(ISNUMBER(INDEX(Data!R$1:R$373,$F71)),INDEX(Data!R$1:R$373,$F71),""))</f>
        <v>146.8</v>
      </c>
      <c r="V71" s="6">
        <f>IF($F71=0,"",IF(ISNUMBER(INDEX(Data!S$1:S$373,$F71)),INDEX(Data!S$1:S$373,$F71),""))</f>
        <v>138.4</v>
      </c>
      <c r="W71" s="6">
        <f>IF($F71=0,"",IF(ISNUMBER(INDEX(Data!T$1:T$373,$F71)),INDEX(Data!T$1:T$373,$F71),""))</f>
        <v>145.6</v>
      </c>
      <c r="X71" s="6">
        <f>IF($F71=0,"",IF(ISNUMBER(INDEX(Data!U$1:U$373,$F71)),INDEX(Data!U$1:U$373,$F71),""))</f>
        <v>143.6</v>
      </c>
      <c r="Y71" s="6">
        <f>IF($F71=0,"",IF(ISNUMBER(INDEX(Data!V$1:V$373,$F71)),INDEX(Data!V$1:V$373,$F71),""))</f>
        <v>139.7</v>
      </c>
      <c r="Z71" s="6">
        <f>IF($F71=0,"",IF(ISNUMBER(INDEX(Data!W$1:W$373,$F71)),INDEX(Data!W$1:W$373,$F71),""))</f>
        <v>138.6</v>
      </c>
      <c r="AA71" s="6">
        <f>IF($F71=0,"",IF(ISNUMBER(INDEX(Data!X$1:X$373,$F71)),INDEX(Data!X$1:X$373,$F71),""))</f>
        <v>137</v>
      </c>
      <c r="AB71" s="6">
        <f>IF($F71=0,"",IF(ISNUMBER(INDEX(Data!Y$1:Y$373,$F71)),INDEX(Data!Y$1:Y$373,$F71),""))</f>
        <v>123.6</v>
      </c>
      <c r="AC71" s="6">
        <f>IF($F71=0,"",IF(ISNUMBER(INDEX(Data!Z$1:Z$373,$F71)),INDEX(Data!Z$1:Z$373,$F71),""))</f>
        <v>133.1</v>
      </c>
      <c r="AD71" s="6">
        <f>IF($F71=0,"",IF(ISNUMBER(INDEX(Data!AA$1:AA$373,$F71)),INDEX(Data!AA$1:AA$373,$F71),""))</f>
        <v>144.7</v>
      </c>
      <c r="AE71" s="6">
        <f>IF($F71=0,"",IF(ISNUMBER(INDEX(Data!AB$1:AB$373,$F71)),INDEX(Data!AB$1:AB$373,$F71),""))</f>
        <v>130.1</v>
      </c>
      <c r="AF71" s="6">
        <f>IF($F71=0,"",IF(ISNUMBER(INDEX(Data!AC$1:AC$373,$F71)),INDEX(Data!AC$1:AC$373,$F71),""))</f>
        <v>133.2</v>
      </c>
      <c r="AG71" s="6">
        <f>IF($F71=0,"",IF(ISNUMBER(INDEX(Data!AD$1:AD$373,$F71)),INDEX(Data!AD$1:AD$373,$F71),""))</f>
        <v>139.8</v>
      </c>
    </row>
    <row r="72" spans="1:33">
      <c r="A72" s="6">
        <v>2018</v>
      </c>
      <c r="B72" s="6">
        <v>8</v>
      </c>
      <c r="C72" s="6" t="s">
        <v>59</v>
      </c>
      <c r="D72" s="9">
        <f t="shared" si="2"/>
        <v>43313</v>
      </c>
      <c r="E72" s="6" t="str">
        <f t="shared" si="3"/>
        <v>Rural+Urban|2018|August</v>
      </c>
      <c r="F72" s="6">
        <f>IFERROR(MATCH(E72,Data!$AE$1:$AE$373,0),0)</f>
        <v>205</v>
      </c>
      <c r="G72" s="6">
        <f>IF($F72=0,"",IF(ISNUMBER(INDEX(Data!D$1:D$373,$F72)),INDEX(Data!D$1:D$373,$F72),""))</f>
        <v>138.3</v>
      </c>
      <c r="H72" s="6">
        <f>IF($F72=0,"",IF(ISNUMBER(INDEX(Data!E$1:E$373,$F72)),INDEX(Data!E$1:E$373,$F72),""))</f>
        <v>148</v>
      </c>
      <c r="I72" s="6">
        <f>IF($F72=0,"",IF(ISNUMBER(INDEX(Data!F$1:F$373,$F72)),INDEX(Data!F$1:F$373,$F72),""))</f>
        <v>138.1</v>
      </c>
      <c r="J72" s="6">
        <f>IF($F72=0,"",IF(ISNUMBER(INDEX(Data!G$1:G$373,$F72)),INDEX(Data!G$1:G$373,$F72),""))</f>
        <v>142.6</v>
      </c>
      <c r="K72" s="6">
        <f>IF($F72=0,"",IF(ISNUMBER(INDEX(Data!H$1:H$373,$F72)),INDEX(Data!H$1:H$373,$F72),""))</f>
        <v>122.2</v>
      </c>
      <c r="L72" s="6">
        <f>IF($F72=0,"",IF(ISNUMBER(INDEX(Data!I$1:I$373,$F72)),INDEX(Data!I$1:I$373,$F72),""))</f>
        <v>150.6</v>
      </c>
      <c r="M72" s="6">
        <f>IF($F72=0,"",IF(ISNUMBER(INDEX(Data!J$1:J$373,$F72)),INDEX(Data!J$1:J$373,$F72),""))</f>
        <v>156.6</v>
      </c>
      <c r="N72" s="6">
        <f>IF($F72=0,"",IF(ISNUMBER(INDEX(Data!K$1:K$373,$F72)),INDEX(Data!K$1:K$373,$F72),""))</f>
        <v>122.4</v>
      </c>
      <c r="O72" s="6">
        <f>IF($F72=0,"",IF(ISNUMBER(INDEX(Data!L$1:L$373,$F72)),INDEX(Data!L$1:L$373,$F72),""))</f>
        <v>114.7</v>
      </c>
      <c r="P72" s="6">
        <f>IF($F72=0,"",IF(ISNUMBER(INDEX(Data!M$1:M$373,$F72)),INDEX(Data!M$1:M$373,$F72),""))</f>
        <v>139.4</v>
      </c>
      <c r="Q72" s="6">
        <f>IF($F72=0,"",IF(ISNUMBER(INDEX(Data!N$1:N$373,$F72)),INDEX(Data!N$1:N$373,$F72),""))</f>
        <v>131.1</v>
      </c>
      <c r="R72" s="6">
        <f>IF($F72=0,"",IF(ISNUMBER(INDEX(Data!O$1:O$373,$F72)),INDEX(Data!O$1:O$373,$F72),""))</f>
        <v>153</v>
      </c>
      <c r="S72" s="6">
        <f>IF($F72=0,"",IF(ISNUMBER(INDEX(Data!P$1:P$373,$F72)),INDEX(Data!P$1:P$373,$F72),""))</f>
        <v>141.7</v>
      </c>
      <c r="T72" s="6">
        <f>IF($F72=0,"",IF(ISNUMBER(INDEX(Data!Q$1:Q$373,$F72)),INDEX(Data!Q$1:Q$373,$F72),""))</f>
        <v>157.9</v>
      </c>
      <c r="U72" s="6">
        <f>IF($F72=0,"",IF(ISNUMBER(INDEX(Data!R$1:R$373,$F72)),INDEX(Data!R$1:R$373,$F72),""))</f>
        <v>147.3</v>
      </c>
      <c r="V72" s="6">
        <f>IF($F72=0,"",IF(ISNUMBER(INDEX(Data!S$1:S$373,$F72)),INDEX(Data!S$1:S$373,$F72),""))</f>
        <v>138.8</v>
      </c>
      <c r="W72" s="6">
        <f>IF($F72=0,"",IF(ISNUMBER(INDEX(Data!T$1:T$373,$F72)),INDEX(Data!T$1:T$373,$F72),""))</f>
        <v>146.1</v>
      </c>
      <c r="X72" s="6">
        <f>IF($F72=0,"",IF(ISNUMBER(INDEX(Data!U$1:U$373,$F72)),INDEX(Data!U$1:U$373,$F72),""))</f>
        <v>144.6</v>
      </c>
      <c r="Y72" s="6">
        <f>IF($F72=0,"",IF(ISNUMBER(INDEX(Data!V$1:V$373,$F72)),INDEX(Data!V$1:V$373,$F72),""))</f>
        <v>140.9</v>
      </c>
      <c r="Z72" s="6">
        <f>IF($F72=0,"",IF(ISNUMBER(INDEX(Data!W$1:W$373,$F72)),INDEX(Data!W$1:W$373,$F72),""))</f>
        <v>139.4</v>
      </c>
      <c r="AA72" s="6">
        <f>IF($F72=0,"",IF(ISNUMBER(INDEX(Data!X$1:X$373,$F72)),INDEX(Data!X$1:X$373,$F72),""))</f>
        <v>137.7</v>
      </c>
      <c r="AB72" s="6">
        <f>IF($F72=0,"",IF(ISNUMBER(INDEX(Data!Y$1:Y$373,$F72)),INDEX(Data!Y$1:Y$373,$F72),""))</f>
        <v>124.3</v>
      </c>
      <c r="AC72" s="6">
        <f>IF($F72=0,"",IF(ISNUMBER(INDEX(Data!Z$1:Z$373,$F72)),INDEX(Data!Z$1:Z$373,$F72),""))</f>
        <v>133.6</v>
      </c>
      <c r="AD72" s="6">
        <f>IF($F72=0,"",IF(ISNUMBER(INDEX(Data!AA$1:AA$373,$F72)),INDEX(Data!AA$1:AA$373,$F72),""))</f>
        <v>146</v>
      </c>
      <c r="AE72" s="6">
        <f>IF($F72=0,"",IF(ISNUMBER(INDEX(Data!AB$1:AB$373,$F72)),INDEX(Data!AB$1:AB$373,$F72),""))</f>
        <v>130.1</v>
      </c>
      <c r="AF72" s="6">
        <f>IF($F72=0,"",IF(ISNUMBER(INDEX(Data!AC$1:AC$373,$F72)),INDEX(Data!AC$1:AC$373,$F72),""))</f>
        <v>133.9</v>
      </c>
      <c r="AG72" s="6">
        <f>IF($F72=0,"",IF(ISNUMBER(INDEX(Data!AD$1:AD$373,$F72)),INDEX(Data!AD$1:AD$373,$F72),""))</f>
        <v>140.4</v>
      </c>
    </row>
    <row r="73" spans="1:33">
      <c r="A73" s="6">
        <v>2018</v>
      </c>
      <c r="B73" s="6">
        <v>9</v>
      </c>
      <c r="C73" s="6" t="s">
        <v>60</v>
      </c>
      <c r="D73" s="9">
        <f t="shared" si="2"/>
        <v>43344</v>
      </c>
      <c r="E73" s="6" t="str">
        <f t="shared" si="3"/>
        <v>Rural+Urban|2018|September</v>
      </c>
      <c r="F73" s="6">
        <f>IFERROR(MATCH(E73,Data!$AE$1:$AE$373,0),0)</f>
        <v>208</v>
      </c>
      <c r="G73" s="6">
        <f>IF($F73=0,"",IF(ISNUMBER(INDEX(Data!D$1:D$373,$F73)),INDEX(Data!D$1:D$373,$F73),""))</f>
        <v>138.6</v>
      </c>
      <c r="H73" s="6">
        <f>IF($F73=0,"",IF(ISNUMBER(INDEX(Data!E$1:E$373,$F73)),INDEX(Data!E$1:E$373,$F73),""))</f>
        <v>145.8</v>
      </c>
      <c r="I73" s="6">
        <f>IF($F73=0,"",IF(ISNUMBER(INDEX(Data!F$1:F$373,$F73)),INDEX(Data!F$1:F$373,$F73),""))</f>
        <v>135.1</v>
      </c>
      <c r="J73" s="6">
        <f>IF($F73=0,"",IF(ISNUMBER(INDEX(Data!G$1:G$373,$F73)),INDEX(Data!G$1:G$373,$F73),""))</f>
        <v>142.9</v>
      </c>
      <c r="K73" s="6">
        <f>IF($F73=0,"",IF(ISNUMBER(INDEX(Data!H$1:H$373,$F73)),INDEX(Data!H$1:H$373,$F73),""))</f>
        <v>122.1</v>
      </c>
      <c r="L73" s="6">
        <f>IF($F73=0,"",IF(ISNUMBER(INDEX(Data!I$1:I$373,$F73)),INDEX(Data!I$1:I$373,$F73),""))</f>
        <v>145.4</v>
      </c>
      <c r="M73" s="6">
        <f>IF($F73=0,"",IF(ISNUMBER(INDEX(Data!J$1:J$373,$F73)),INDEX(Data!J$1:J$373,$F73),""))</f>
        <v>150</v>
      </c>
      <c r="N73" s="6">
        <f>IF($F73=0,"",IF(ISNUMBER(INDEX(Data!K$1:K$373,$F73)),INDEX(Data!K$1:K$373,$F73),""))</f>
        <v>121.4</v>
      </c>
      <c r="O73" s="6">
        <f>IF($F73=0,"",IF(ISNUMBER(INDEX(Data!L$1:L$373,$F73)),INDEX(Data!L$1:L$373,$F73),""))</f>
        <v>113.7</v>
      </c>
      <c r="P73" s="6">
        <f>IF($F73=0,"",IF(ISNUMBER(INDEX(Data!M$1:M$373,$F73)),INDEX(Data!M$1:M$373,$F73),""))</f>
        <v>139.5</v>
      </c>
      <c r="Q73" s="6">
        <f>IF($F73=0,"",IF(ISNUMBER(INDEX(Data!N$1:N$373,$F73)),INDEX(Data!N$1:N$373,$F73),""))</f>
        <v>130.8</v>
      </c>
      <c r="R73" s="6">
        <f>IF($F73=0,"",IF(ISNUMBER(INDEX(Data!O$1:O$373,$F73)),INDEX(Data!O$1:O$373,$F73),""))</f>
        <v>153.8</v>
      </c>
      <c r="S73" s="6">
        <f>IF($F73=0,"",IF(ISNUMBER(INDEX(Data!P$1:P$373,$F73)),INDEX(Data!P$1:P$373,$F73),""))</f>
        <v>140.4</v>
      </c>
      <c r="T73" s="6">
        <f>IF($F73=0,"",IF(ISNUMBER(INDEX(Data!Q$1:Q$373,$F73)),INDEX(Data!Q$1:Q$373,$F73),""))</f>
        <v>159.2</v>
      </c>
      <c r="U73" s="6">
        <f>IF($F73=0,"",IF(ISNUMBER(INDEX(Data!R$1:R$373,$F73)),INDEX(Data!R$1:R$373,$F73),""))</f>
        <v>147.7</v>
      </c>
      <c r="V73" s="6">
        <f>IF($F73=0,"",IF(ISNUMBER(INDEX(Data!S$1:S$373,$F73)),INDEX(Data!S$1:S$373,$F73),""))</f>
        <v>139.1</v>
      </c>
      <c r="W73" s="6">
        <f>IF($F73=0,"",IF(ISNUMBER(INDEX(Data!T$1:T$373,$F73)),INDEX(Data!T$1:T$373,$F73),""))</f>
        <v>146.5</v>
      </c>
      <c r="X73" s="6">
        <f>IF($F73=0,"",IF(ISNUMBER(INDEX(Data!U$1:U$373,$F73)),INDEX(Data!U$1:U$373,$F73),""))</f>
        <v>145.3</v>
      </c>
      <c r="Y73" s="6">
        <f>IF($F73=0,"",IF(ISNUMBER(INDEX(Data!V$1:V$373,$F73)),INDEX(Data!V$1:V$373,$F73),""))</f>
        <v>142.3</v>
      </c>
      <c r="Z73" s="6">
        <f>IF($F73=0,"",IF(ISNUMBER(INDEX(Data!W$1:W$373,$F73)),INDEX(Data!W$1:W$373,$F73),""))</f>
        <v>139.7</v>
      </c>
      <c r="AA73" s="6">
        <f>IF($F73=0,"",IF(ISNUMBER(INDEX(Data!X$1:X$373,$F73)),INDEX(Data!X$1:X$373,$F73),""))</f>
        <v>138.4</v>
      </c>
      <c r="AB73" s="6">
        <f>IF($F73=0,"",IF(ISNUMBER(INDEX(Data!Y$1:Y$373,$F73)),INDEX(Data!Y$1:Y$373,$F73),""))</f>
        <v>126</v>
      </c>
      <c r="AC73" s="6">
        <f>IF($F73=0,"",IF(ISNUMBER(INDEX(Data!Z$1:Z$373,$F73)),INDEX(Data!Z$1:Z$373,$F73),""))</f>
        <v>134.5</v>
      </c>
      <c r="AD73" s="6">
        <f>IF($F73=0,"",IF(ISNUMBER(INDEX(Data!AA$1:AA$373,$F73)),INDEX(Data!AA$1:AA$373,$F73),""))</f>
        <v>146.2</v>
      </c>
      <c r="AE73" s="6">
        <f>IF($F73=0,"",IF(ISNUMBER(INDEX(Data!AB$1:AB$373,$F73)),INDEX(Data!AB$1:AB$373,$F73),""))</f>
        <v>130.9</v>
      </c>
      <c r="AF73" s="6">
        <f>IF($F73=0,"",IF(ISNUMBER(INDEX(Data!AC$1:AC$373,$F73)),INDEX(Data!AC$1:AC$373,$F73),""))</f>
        <v>134.7</v>
      </c>
      <c r="AG73" s="6">
        <f>IF($F73=0,"",IF(ISNUMBER(INDEX(Data!AD$1:AD$373,$F73)),INDEX(Data!AD$1:AD$373,$F73),""))</f>
        <v>140.2</v>
      </c>
    </row>
    <row r="74" spans="1:33">
      <c r="A74" s="6">
        <v>2018</v>
      </c>
      <c r="B74" s="6">
        <v>10</v>
      </c>
      <c r="C74" s="6" t="s">
        <v>61</v>
      </c>
      <c r="D74" s="9">
        <f t="shared" si="2"/>
        <v>43374</v>
      </c>
      <c r="E74" s="6" t="str">
        <f t="shared" si="3"/>
        <v>Rural+Urban|2018|October</v>
      </c>
      <c r="F74" s="6">
        <f>IFERROR(MATCH(E74,Data!$AE$1:$AE$373,0),0)</f>
        <v>211</v>
      </c>
      <c r="G74" s="6">
        <f>IF($F74=0,"",IF(ISNUMBER(INDEX(Data!D$1:D$373,$F74)),INDEX(Data!D$1:D$373,$F74),""))</f>
        <v>137.4</v>
      </c>
      <c r="H74" s="6">
        <f>IF($F74=0,"",IF(ISNUMBER(INDEX(Data!E$1:E$373,$F74)),INDEX(Data!E$1:E$373,$F74),""))</f>
        <v>149.5</v>
      </c>
      <c r="I74" s="6">
        <f>IF($F74=0,"",IF(ISNUMBER(INDEX(Data!F$1:F$373,$F74)),INDEX(Data!F$1:F$373,$F74),""))</f>
        <v>137.3</v>
      </c>
      <c r="J74" s="6">
        <f>IF($F74=0,"",IF(ISNUMBER(INDEX(Data!G$1:G$373,$F74)),INDEX(Data!G$1:G$373,$F74),""))</f>
        <v>141.9</v>
      </c>
      <c r="K74" s="6">
        <f>IF($F74=0,"",IF(ISNUMBER(INDEX(Data!H$1:H$373,$F74)),INDEX(Data!H$1:H$373,$F74),""))</f>
        <v>121.1</v>
      </c>
      <c r="L74" s="6">
        <f>IF($F74=0,"",IF(ISNUMBER(INDEX(Data!I$1:I$373,$F74)),INDEX(Data!I$1:I$373,$F74),""))</f>
        <v>142.5</v>
      </c>
      <c r="M74" s="6">
        <f>IF($F74=0,"",IF(ISNUMBER(INDEX(Data!J$1:J$373,$F74)),INDEX(Data!J$1:J$373,$F74),""))</f>
        <v>146.7</v>
      </c>
      <c r="N74" s="6">
        <f>IF($F74=0,"",IF(ISNUMBER(INDEX(Data!K$1:K$373,$F74)),INDEX(Data!K$1:K$373,$F74),""))</f>
        <v>119.1</v>
      </c>
      <c r="O74" s="6">
        <f>IF($F74=0,"",IF(ISNUMBER(INDEX(Data!L$1:L$373,$F74)),INDEX(Data!L$1:L$373,$F74),""))</f>
        <v>111.9</v>
      </c>
      <c r="P74" s="6">
        <f>IF($F74=0,"",IF(ISNUMBER(INDEX(Data!M$1:M$373,$F74)),INDEX(Data!M$1:M$373,$F74),""))</f>
        <v>141</v>
      </c>
      <c r="Q74" s="6">
        <f>IF($F74=0,"",IF(ISNUMBER(INDEX(Data!N$1:N$373,$F74)),INDEX(Data!N$1:N$373,$F74),""))</f>
        <v>133.6</v>
      </c>
      <c r="R74" s="6">
        <f>IF($F74=0,"",IF(ISNUMBER(INDEX(Data!O$1:O$373,$F74)),INDEX(Data!O$1:O$373,$F74),""))</f>
        <v>154.5</v>
      </c>
      <c r="S74" s="6">
        <f>IF($F74=0,"",IF(ISNUMBER(INDEX(Data!P$1:P$373,$F74)),INDEX(Data!P$1:P$373,$F74),""))</f>
        <v>139.7</v>
      </c>
      <c r="T74" s="6">
        <f>IF($F74=0,"",IF(ISNUMBER(INDEX(Data!Q$1:Q$373,$F74)),INDEX(Data!Q$1:Q$373,$F74),""))</f>
        <v>162.6</v>
      </c>
      <c r="U74" s="6">
        <f>IF($F74=0,"",IF(ISNUMBER(INDEX(Data!R$1:R$373,$F74)),INDEX(Data!R$1:R$373,$F74),""))</f>
        <v>148</v>
      </c>
      <c r="V74" s="6">
        <f>IF($F74=0,"",IF(ISNUMBER(INDEX(Data!S$1:S$373,$F74)),INDEX(Data!S$1:S$373,$F74),""))</f>
        <v>139.2</v>
      </c>
      <c r="W74" s="6">
        <f>IF($F74=0,"",IF(ISNUMBER(INDEX(Data!T$1:T$373,$F74)),INDEX(Data!T$1:T$373,$F74),""))</f>
        <v>146.8</v>
      </c>
      <c r="X74" s="6">
        <f>IF($F74=0,"",IF(ISNUMBER(INDEX(Data!U$1:U$373,$F74)),INDEX(Data!U$1:U$373,$F74),""))</f>
        <v>146.9</v>
      </c>
      <c r="Y74" s="6">
        <f>IF($F74=0,"",IF(ISNUMBER(INDEX(Data!V$1:V$373,$F74)),INDEX(Data!V$1:V$373,$F74),""))</f>
        <v>145.3</v>
      </c>
      <c r="Z74" s="6">
        <f>IF($F74=0,"",IF(ISNUMBER(INDEX(Data!W$1:W$373,$F74)),INDEX(Data!W$1:W$373,$F74),""))</f>
        <v>142.2</v>
      </c>
      <c r="AA74" s="6">
        <f>IF($F74=0,"",IF(ISNUMBER(INDEX(Data!X$1:X$373,$F74)),INDEX(Data!X$1:X$373,$F74),""))</f>
        <v>142.1</v>
      </c>
      <c r="AB74" s="6">
        <f>IF($F74=0,"",IF(ISNUMBER(INDEX(Data!Y$1:Y$373,$F74)),INDEX(Data!Y$1:Y$373,$F74),""))</f>
        <v>125.5</v>
      </c>
      <c r="AC74" s="6">
        <f>IF($F74=0,"",IF(ISNUMBER(INDEX(Data!Z$1:Z$373,$F74)),INDEX(Data!Z$1:Z$373,$F74),""))</f>
        <v>136.5</v>
      </c>
      <c r="AD74" s="6">
        <f>IF($F74=0,"",IF(ISNUMBER(INDEX(Data!AA$1:AA$373,$F74)),INDEX(Data!AA$1:AA$373,$F74),""))</f>
        <v>147.8</v>
      </c>
      <c r="AE74" s="6">
        <f>IF($F74=0,"",IF(ISNUMBER(INDEX(Data!AB$1:AB$373,$F74)),INDEX(Data!AB$1:AB$373,$F74),""))</f>
        <v>132</v>
      </c>
      <c r="AF74" s="6">
        <f>IF($F74=0,"",IF(ISNUMBER(INDEX(Data!AC$1:AC$373,$F74)),INDEX(Data!AC$1:AC$373,$F74),""))</f>
        <v>136.3</v>
      </c>
      <c r="AG74" s="6">
        <f>IF($F74=0,"",IF(ISNUMBER(INDEX(Data!AD$1:AD$373,$F74)),INDEX(Data!AD$1:AD$373,$F74),""))</f>
        <v>140.8</v>
      </c>
    </row>
    <row r="75" spans="1:33">
      <c r="A75" s="6">
        <v>2018</v>
      </c>
      <c r="B75" s="6">
        <v>11</v>
      </c>
      <c r="C75" s="6" t="s">
        <v>62</v>
      </c>
      <c r="D75" s="9">
        <f t="shared" si="2"/>
        <v>43405</v>
      </c>
      <c r="E75" s="6" t="str">
        <f t="shared" si="3"/>
        <v>Rural+Urban|2018|November</v>
      </c>
      <c r="F75" s="6">
        <f>IFERROR(MATCH(E75,Data!$AE$1:$AE$373,0),0)</f>
        <v>214</v>
      </c>
      <c r="G75" s="6">
        <f>IF($F75=0,"",IF(ISNUMBER(INDEX(Data!D$1:D$373,$F75)),INDEX(Data!D$1:D$373,$F75),""))</f>
        <v>137.4</v>
      </c>
      <c r="H75" s="6">
        <f>IF($F75=0,"",IF(ISNUMBER(INDEX(Data!E$1:E$373,$F75)),INDEX(Data!E$1:E$373,$F75),""))</f>
        <v>149.2</v>
      </c>
      <c r="I75" s="6">
        <f>IF($F75=0,"",IF(ISNUMBER(INDEX(Data!F$1:F$373,$F75)),INDEX(Data!F$1:F$373,$F75),""))</f>
        <v>137.1</v>
      </c>
      <c r="J75" s="6">
        <f>IF($F75=0,"",IF(ISNUMBER(INDEX(Data!G$1:G$373,$F75)),INDEX(Data!G$1:G$373,$F75),""))</f>
        <v>141.8</v>
      </c>
      <c r="K75" s="6">
        <f>IF($F75=0,"",IF(ISNUMBER(INDEX(Data!H$1:H$373,$F75)),INDEX(Data!H$1:H$373,$F75),""))</f>
        <v>121.1</v>
      </c>
      <c r="L75" s="6">
        <f>IF($F75=0,"",IF(ISNUMBER(INDEX(Data!I$1:I$373,$F75)),INDEX(Data!I$1:I$373,$F75),""))</f>
        <v>142.8</v>
      </c>
      <c r="M75" s="6">
        <f>IF($F75=0,"",IF(ISNUMBER(INDEX(Data!J$1:J$373,$F75)),INDEX(Data!J$1:J$373,$F75),""))</f>
        <v>146.7</v>
      </c>
      <c r="N75" s="6">
        <f>IF($F75=0,"",IF(ISNUMBER(INDEX(Data!K$1:K$373,$F75)),INDEX(Data!K$1:K$373,$F75),""))</f>
        <v>119.1</v>
      </c>
      <c r="O75" s="6">
        <f>IF($F75=0,"",IF(ISNUMBER(INDEX(Data!L$1:L$373,$F75)),INDEX(Data!L$1:L$373,$F75),""))</f>
        <v>111.9</v>
      </c>
      <c r="P75" s="6">
        <f>IF($F75=0,"",IF(ISNUMBER(INDEX(Data!M$1:M$373,$F75)),INDEX(Data!M$1:M$373,$F75),""))</f>
        <v>140.9</v>
      </c>
      <c r="Q75" s="6">
        <f>IF($F75=0,"",IF(ISNUMBER(INDEX(Data!N$1:N$373,$F75)),INDEX(Data!N$1:N$373,$F75),""))</f>
        <v>133.5</v>
      </c>
      <c r="R75" s="6">
        <f>IF($F75=0,"",IF(ISNUMBER(INDEX(Data!O$1:O$373,$F75)),INDEX(Data!O$1:O$373,$F75),""))</f>
        <v>154.5</v>
      </c>
      <c r="S75" s="6">
        <f>IF($F75=0,"",IF(ISNUMBER(INDEX(Data!P$1:P$373,$F75)),INDEX(Data!P$1:P$373,$F75),""))</f>
        <v>139.7</v>
      </c>
      <c r="T75" s="6">
        <f>IF($F75=0,"",IF(ISNUMBER(INDEX(Data!Q$1:Q$373,$F75)),INDEX(Data!Q$1:Q$373,$F75),""))</f>
        <v>162.6</v>
      </c>
      <c r="U75" s="6">
        <f>IF($F75=0,"",IF(ISNUMBER(INDEX(Data!R$1:R$373,$F75)),INDEX(Data!R$1:R$373,$F75),""))</f>
        <v>148</v>
      </c>
      <c r="V75" s="6">
        <f>IF($F75=0,"",IF(ISNUMBER(INDEX(Data!S$1:S$373,$F75)),INDEX(Data!S$1:S$373,$F75),""))</f>
        <v>139.1</v>
      </c>
      <c r="W75" s="6">
        <f>IF($F75=0,"",IF(ISNUMBER(INDEX(Data!T$1:T$373,$F75)),INDEX(Data!T$1:T$373,$F75),""))</f>
        <v>146.7</v>
      </c>
      <c r="X75" s="6">
        <f>IF($F75=0,"",IF(ISNUMBER(INDEX(Data!U$1:U$373,$F75)),INDEX(Data!U$1:U$373,$F75),""))</f>
        <v>146.9</v>
      </c>
      <c r="Y75" s="6">
        <f>IF($F75=0,"",IF(ISNUMBER(INDEX(Data!V$1:V$373,$F75)),INDEX(Data!V$1:V$373,$F75),""))</f>
        <v>145.1</v>
      </c>
      <c r="Z75" s="6">
        <f>IF($F75=0,"",IF(ISNUMBER(INDEX(Data!W$1:W$373,$F75)),INDEX(Data!W$1:W$373,$F75),""))</f>
        <v>142.2</v>
      </c>
      <c r="AA75" s="6">
        <f>IF($F75=0,"",IF(ISNUMBER(INDEX(Data!X$1:X$373,$F75)),INDEX(Data!X$1:X$373,$F75),""))</f>
        <v>142.1</v>
      </c>
      <c r="AB75" s="6">
        <f>IF($F75=0,"",IF(ISNUMBER(INDEX(Data!Y$1:Y$373,$F75)),INDEX(Data!Y$1:Y$373,$F75),""))</f>
        <v>125.5</v>
      </c>
      <c r="AC75" s="6">
        <f>IF($F75=0,"",IF(ISNUMBER(INDEX(Data!Z$1:Z$373,$F75)),INDEX(Data!Z$1:Z$373,$F75),""))</f>
        <v>136.5</v>
      </c>
      <c r="AD75" s="6">
        <f>IF($F75=0,"",IF(ISNUMBER(INDEX(Data!AA$1:AA$373,$F75)),INDEX(Data!AA$1:AA$373,$F75),""))</f>
        <v>147.8</v>
      </c>
      <c r="AE75" s="6">
        <f>IF($F75=0,"",IF(ISNUMBER(INDEX(Data!AB$1:AB$373,$F75)),INDEX(Data!AB$1:AB$373,$F75),""))</f>
        <v>132</v>
      </c>
      <c r="AF75" s="6">
        <f>IF($F75=0,"",IF(ISNUMBER(INDEX(Data!AC$1:AC$373,$F75)),INDEX(Data!AC$1:AC$373,$F75),""))</f>
        <v>136.3</v>
      </c>
      <c r="AG75" s="6">
        <f>IF($F75=0,"",IF(ISNUMBER(INDEX(Data!AD$1:AD$373,$F75)),INDEX(Data!AD$1:AD$373,$F75),""))</f>
        <v>140.8</v>
      </c>
    </row>
    <row r="76" spans="1:33">
      <c r="A76" s="6">
        <v>2018</v>
      </c>
      <c r="B76" s="6">
        <v>12</v>
      </c>
      <c r="C76" s="6" t="s">
        <v>63</v>
      </c>
      <c r="D76" s="9">
        <f t="shared" si="2"/>
        <v>43435</v>
      </c>
      <c r="E76" s="6" t="str">
        <f t="shared" si="3"/>
        <v>Rural+Urban|2018|December</v>
      </c>
      <c r="F76" s="6">
        <f>IFERROR(MATCH(E76,Data!$AE$1:$AE$373,0),0)</f>
        <v>217</v>
      </c>
      <c r="G76" s="6">
        <f>IF($F76=0,"",IF(ISNUMBER(INDEX(Data!D$1:D$373,$F76)),INDEX(Data!D$1:D$373,$F76),""))</f>
        <v>137.5</v>
      </c>
      <c r="H76" s="6">
        <f>IF($F76=0,"",IF(ISNUMBER(INDEX(Data!E$1:E$373,$F76)),INDEX(Data!E$1:E$373,$F76),""))</f>
        <v>150.5</v>
      </c>
      <c r="I76" s="6">
        <f>IF($F76=0,"",IF(ISNUMBER(INDEX(Data!F$1:F$373,$F76)),INDEX(Data!F$1:F$373,$F76),""))</f>
        <v>138.8</v>
      </c>
      <c r="J76" s="6">
        <f>IF($F76=0,"",IF(ISNUMBER(INDEX(Data!G$1:G$373,$F76)),INDEX(Data!G$1:G$373,$F76),""))</f>
        <v>142.1</v>
      </c>
      <c r="K76" s="6">
        <f>IF($F76=0,"",IF(ISNUMBER(INDEX(Data!H$1:H$373,$F76)),INDEX(Data!H$1:H$373,$F76),""))</f>
        <v>122</v>
      </c>
      <c r="L76" s="6">
        <f>IF($F76=0,"",IF(ISNUMBER(INDEX(Data!I$1:I$373,$F76)),INDEX(Data!I$1:I$373,$F76),""))</f>
        <v>139.4</v>
      </c>
      <c r="M76" s="6">
        <f>IF($F76=0,"",IF(ISNUMBER(INDEX(Data!J$1:J$373,$F76)),INDEX(Data!J$1:J$373,$F76),""))</f>
        <v>135.2</v>
      </c>
      <c r="N76" s="6">
        <f>IF($F76=0,"",IF(ISNUMBER(INDEX(Data!K$1:K$373,$F76)),INDEX(Data!K$1:K$373,$F76),""))</f>
        <v>119.8</v>
      </c>
      <c r="O76" s="6">
        <f>IF($F76=0,"",IF(ISNUMBER(INDEX(Data!L$1:L$373,$F76)),INDEX(Data!L$1:L$373,$F76),""))</f>
        <v>110.3</v>
      </c>
      <c r="P76" s="6">
        <f>IF($F76=0,"",IF(ISNUMBER(INDEX(Data!M$1:M$373,$F76)),INDEX(Data!M$1:M$373,$F76),""))</f>
        <v>140.6</v>
      </c>
      <c r="Q76" s="6">
        <f>IF($F76=0,"",IF(ISNUMBER(INDEX(Data!N$1:N$373,$F76)),INDEX(Data!N$1:N$373,$F76),""))</f>
        <v>133.8</v>
      </c>
      <c r="R76" s="6">
        <f>IF($F76=0,"",IF(ISNUMBER(INDEX(Data!O$1:O$373,$F76)),INDEX(Data!O$1:O$373,$F76),""))</f>
        <v>154.6</v>
      </c>
      <c r="S76" s="6">
        <f>IF($F76=0,"",IF(ISNUMBER(INDEX(Data!P$1:P$373,$F76)),INDEX(Data!P$1:P$373,$F76),""))</f>
        <v>138.2</v>
      </c>
      <c r="T76" s="6">
        <f>IF($F76=0,"",IF(ISNUMBER(INDEX(Data!Q$1:Q$373,$F76)),INDEX(Data!Q$1:Q$373,$F76),""))</f>
        <v>163</v>
      </c>
      <c r="U76" s="6">
        <f>IF($F76=0,"",IF(ISNUMBER(INDEX(Data!R$1:R$373,$F76)),INDEX(Data!R$1:R$373,$F76),""))</f>
        <v>148.1</v>
      </c>
      <c r="V76" s="6">
        <f>IF($F76=0,"",IF(ISNUMBER(INDEX(Data!S$1:S$373,$F76)),INDEX(Data!S$1:S$373,$F76),""))</f>
        <v>139.4</v>
      </c>
      <c r="W76" s="6">
        <f>IF($F76=0,"",IF(ISNUMBER(INDEX(Data!T$1:T$373,$F76)),INDEX(Data!T$1:T$373,$F76),""))</f>
        <v>146.8</v>
      </c>
      <c r="X76" s="6">
        <f>IF($F76=0,"",IF(ISNUMBER(INDEX(Data!U$1:U$373,$F76)),INDEX(Data!U$1:U$373,$F76),""))</f>
        <v>146.5</v>
      </c>
      <c r="Y76" s="6">
        <f>IF($F76=0,"",IF(ISNUMBER(INDEX(Data!V$1:V$373,$F76)),INDEX(Data!V$1:V$373,$F76),""))</f>
        <v>142.7</v>
      </c>
      <c r="Z76" s="6">
        <f>IF($F76=0,"",IF(ISNUMBER(INDEX(Data!W$1:W$373,$F76)),INDEX(Data!W$1:W$373,$F76),""))</f>
        <v>143.2</v>
      </c>
      <c r="AA76" s="6">
        <f>IF($F76=0,"",IF(ISNUMBER(INDEX(Data!X$1:X$373,$F76)),INDEX(Data!X$1:X$373,$F76),""))</f>
        <v>144.9</v>
      </c>
      <c r="AB76" s="6">
        <f>IF($F76=0,"",IF(ISNUMBER(INDEX(Data!Y$1:Y$373,$F76)),INDEX(Data!Y$1:Y$373,$F76),""))</f>
        <v>123.6</v>
      </c>
      <c r="AC76" s="6">
        <f>IF($F76=0,"",IF(ISNUMBER(INDEX(Data!Z$1:Z$373,$F76)),INDEX(Data!Z$1:Z$373,$F76),""))</f>
        <v>136.8</v>
      </c>
      <c r="AD76" s="6">
        <f>IF($F76=0,"",IF(ISNUMBER(INDEX(Data!AA$1:AA$373,$F76)),INDEX(Data!AA$1:AA$373,$F76),""))</f>
        <v>150.1</v>
      </c>
      <c r="AE76" s="6">
        <f>IF($F76=0,"",IF(ISNUMBER(INDEX(Data!AB$1:AB$373,$F76)),INDEX(Data!AB$1:AB$373,$F76),""))</f>
        <v>132.2</v>
      </c>
      <c r="AF76" s="6">
        <f>IF($F76=0,"",IF(ISNUMBER(INDEX(Data!AC$1:AC$373,$F76)),INDEX(Data!AC$1:AC$373,$F76),""))</f>
        <v>136.8</v>
      </c>
      <c r="AG76" s="6">
        <f>IF($F76=0,"",IF(ISNUMBER(INDEX(Data!AD$1:AD$373,$F76)),INDEX(Data!AD$1:AD$373,$F76),""))</f>
        <v>140.1</v>
      </c>
    </row>
    <row r="77" spans="1:33">
      <c r="A77" s="6">
        <v>2019</v>
      </c>
      <c r="B77" s="6">
        <v>1</v>
      </c>
      <c r="C77" s="6" t="s">
        <v>50</v>
      </c>
      <c r="D77" s="9">
        <f t="shared" si="2"/>
        <v>43466</v>
      </c>
      <c r="E77" s="6" t="str">
        <f t="shared" si="3"/>
        <v>Rural+Urban|2019|January</v>
      </c>
      <c r="F77" s="6">
        <f>IFERROR(MATCH(E77,Data!$AE$1:$AE$373,0),0)</f>
        <v>220</v>
      </c>
      <c r="G77" s="6">
        <f>IF($F77=0,"",IF(ISNUMBER(INDEX(Data!D$1:D$373,$F77)),INDEX(Data!D$1:D$373,$F77),""))</f>
        <v>137.1</v>
      </c>
      <c r="H77" s="6">
        <f>IF($F77=0,"",IF(ISNUMBER(INDEX(Data!E$1:E$373,$F77)),INDEX(Data!E$1:E$373,$F77),""))</f>
        <v>151.4</v>
      </c>
      <c r="I77" s="6">
        <f>IF($F77=0,"",IF(ISNUMBER(INDEX(Data!F$1:F$373,$F77)),INDEX(Data!F$1:F$373,$F77),""))</f>
        <v>140.2</v>
      </c>
      <c r="J77" s="6">
        <f>IF($F77=0,"",IF(ISNUMBER(INDEX(Data!G$1:G$373,$F77)),INDEX(Data!G$1:G$373,$F77),""))</f>
        <v>142.1</v>
      </c>
      <c r="K77" s="6">
        <f>IF($F77=0,"",IF(ISNUMBER(INDEX(Data!H$1:H$373,$F77)),INDEX(Data!H$1:H$373,$F77),""))</f>
        <v>121.8</v>
      </c>
      <c r="L77" s="6">
        <f>IF($F77=0,"",IF(ISNUMBER(INDEX(Data!I$1:I$373,$F77)),INDEX(Data!I$1:I$373,$F77),""))</f>
        <v>135.4</v>
      </c>
      <c r="M77" s="6">
        <f>IF($F77=0,"",IF(ISNUMBER(INDEX(Data!J$1:J$373,$F77)),INDEX(Data!J$1:J$373,$F77),""))</f>
        <v>131.3</v>
      </c>
      <c r="N77" s="6">
        <f>IF($F77=0,"",IF(ISNUMBER(INDEX(Data!K$1:K$373,$F77)),INDEX(Data!K$1:K$373,$F77),""))</f>
        <v>120.3</v>
      </c>
      <c r="O77" s="6">
        <f>IF($F77=0,"",IF(ISNUMBER(INDEX(Data!L$1:L$373,$F77)),INDEX(Data!L$1:L$373,$F77),""))</f>
        <v>109.1</v>
      </c>
      <c r="P77" s="6">
        <f>IF($F77=0,"",IF(ISNUMBER(INDEX(Data!M$1:M$373,$F77)),INDEX(Data!M$1:M$373,$F77),""))</f>
        <v>139.4</v>
      </c>
      <c r="Q77" s="6">
        <f>IF($F77=0,"",IF(ISNUMBER(INDEX(Data!N$1:N$373,$F77)),INDEX(Data!N$1:N$373,$F77),""))</f>
        <v>133.3</v>
      </c>
      <c r="R77" s="6">
        <f>IF($F77=0,"",IF(ISNUMBER(INDEX(Data!O$1:O$373,$F77)),INDEX(Data!O$1:O$373,$F77),""))</f>
        <v>154.6</v>
      </c>
      <c r="S77" s="6">
        <f>IF($F77=0,"",IF(ISNUMBER(INDEX(Data!P$1:P$373,$F77)),INDEX(Data!P$1:P$373,$F77),""))</f>
        <v>137.4</v>
      </c>
      <c r="T77" s="6">
        <f>IF($F77=0,"",IF(ISNUMBER(INDEX(Data!Q$1:Q$373,$F77)),INDEX(Data!Q$1:Q$373,$F77),""))</f>
        <v>163.2</v>
      </c>
      <c r="U77" s="6">
        <f>IF($F77=0,"",IF(ISNUMBER(INDEX(Data!R$1:R$373,$F77)),INDEX(Data!R$1:R$373,$F77),""))</f>
        <v>147.6</v>
      </c>
      <c r="V77" s="6">
        <f>IF($F77=0,"",IF(ISNUMBER(INDEX(Data!S$1:S$373,$F77)),INDEX(Data!S$1:S$373,$F77),""))</f>
        <v>139</v>
      </c>
      <c r="W77" s="6">
        <f>IF($F77=0,"",IF(ISNUMBER(INDEX(Data!T$1:T$373,$F77)),INDEX(Data!T$1:T$373,$F77),""))</f>
        <v>146.4</v>
      </c>
      <c r="X77" s="6">
        <f>IF($F77=0,"",IF(ISNUMBER(INDEX(Data!U$1:U$373,$F77)),INDEX(Data!U$1:U$373,$F77),""))</f>
        <v>147.7</v>
      </c>
      <c r="Y77" s="6">
        <f>IF($F77=0,"",IF(ISNUMBER(INDEX(Data!V$1:V$373,$F77)),INDEX(Data!V$1:V$373,$F77),""))</f>
        <v>139.5</v>
      </c>
      <c r="Z77" s="6">
        <f>IF($F77=0,"",IF(ISNUMBER(INDEX(Data!W$1:W$373,$F77)),INDEX(Data!W$1:W$373,$F77),""))</f>
        <v>143.6</v>
      </c>
      <c r="AA77" s="6">
        <f>IF($F77=0,"",IF(ISNUMBER(INDEX(Data!X$1:X$373,$F77)),INDEX(Data!X$1:X$373,$F77),""))</f>
        <v>145.1</v>
      </c>
      <c r="AB77" s="6">
        <f>IF($F77=0,"",IF(ISNUMBER(INDEX(Data!Y$1:Y$373,$F77)),INDEX(Data!Y$1:Y$373,$F77),""))</f>
        <v>123.3</v>
      </c>
      <c r="AC77" s="6">
        <f>IF($F77=0,"",IF(ISNUMBER(INDEX(Data!Z$1:Z$373,$F77)),INDEX(Data!Z$1:Z$373,$F77),""))</f>
        <v>136.7</v>
      </c>
      <c r="AD77" s="6">
        <f>IF($F77=0,"",IF(ISNUMBER(INDEX(Data!AA$1:AA$373,$F77)),INDEX(Data!AA$1:AA$373,$F77),""))</f>
        <v>150.2</v>
      </c>
      <c r="AE77" s="6">
        <f>IF($F77=0,"",IF(ISNUMBER(INDEX(Data!AB$1:AB$373,$F77)),INDEX(Data!AB$1:AB$373,$F77),""))</f>
        <v>132.8</v>
      </c>
      <c r="AF77" s="6">
        <f>IF($F77=0,"",IF(ISNUMBER(INDEX(Data!AC$1:AC$373,$F77)),INDEX(Data!AC$1:AC$373,$F77),""))</f>
        <v>136.9</v>
      </c>
      <c r="AG77" s="6">
        <f>IF($F77=0,"",IF(ISNUMBER(INDEX(Data!AD$1:AD$373,$F77)),INDEX(Data!AD$1:AD$373,$F77),""))</f>
        <v>139.6</v>
      </c>
    </row>
    <row r="78" spans="1:33">
      <c r="A78" s="6">
        <v>2019</v>
      </c>
      <c r="B78" s="6">
        <v>2</v>
      </c>
      <c r="C78" s="6" t="s">
        <v>53</v>
      </c>
      <c r="D78" s="9">
        <f t="shared" si="2"/>
        <v>43497</v>
      </c>
      <c r="E78" s="6" t="str">
        <f t="shared" si="3"/>
        <v>Rural+Urban|2019|February</v>
      </c>
      <c r="F78" s="6">
        <f>IFERROR(MATCH(E78,Data!$AE$1:$AE$373,0),0)</f>
        <v>223</v>
      </c>
      <c r="G78" s="6">
        <f>IF($F78=0,"",IF(ISNUMBER(INDEX(Data!D$1:D$373,$F78)),INDEX(Data!D$1:D$373,$F78),""))</f>
        <v>137.6</v>
      </c>
      <c r="H78" s="6">
        <f>IF($F78=0,"",IF(ISNUMBER(INDEX(Data!E$1:E$373,$F78)),INDEX(Data!E$1:E$373,$F78),""))</f>
        <v>152</v>
      </c>
      <c r="I78" s="6">
        <f>IF($F78=0,"",IF(ISNUMBER(INDEX(Data!F$1:F$373,$F78)),INDEX(Data!F$1:F$373,$F78),""))</f>
        <v>141.5</v>
      </c>
      <c r="J78" s="6">
        <f>IF($F78=0,"",IF(ISNUMBER(INDEX(Data!G$1:G$373,$F78)),INDEX(Data!G$1:G$373,$F78),""))</f>
        <v>142.2</v>
      </c>
      <c r="K78" s="6">
        <f>IF($F78=0,"",IF(ISNUMBER(INDEX(Data!H$1:H$373,$F78)),INDEX(Data!H$1:H$373,$F78),""))</f>
        <v>122</v>
      </c>
      <c r="L78" s="6">
        <f>IF($F78=0,"",IF(ISNUMBER(INDEX(Data!I$1:I$373,$F78)),INDEX(Data!I$1:I$373,$F78),""))</f>
        <v>136.4</v>
      </c>
      <c r="M78" s="6">
        <f>IF($F78=0,"",IF(ISNUMBER(INDEX(Data!J$1:J$373,$F78)),INDEX(Data!J$1:J$373,$F78),""))</f>
        <v>129.7</v>
      </c>
      <c r="N78" s="6">
        <f>IF($F78=0,"",IF(ISNUMBER(INDEX(Data!K$1:K$373,$F78)),INDEX(Data!K$1:K$373,$F78),""))</f>
        <v>121</v>
      </c>
      <c r="O78" s="6">
        <f>IF($F78=0,"",IF(ISNUMBER(INDEX(Data!L$1:L$373,$F78)),INDEX(Data!L$1:L$373,$F78),""))</f>
        <v>109</v>
      </c>
      <c r="P78" s="6">
        <f>IF($F78=0,"",IF(ISNUMBER(INDEX(Data!M$1:M$373,$F78)),INDEX(Data!M$1:M$373,$F78),""))</f>
        <v>139.7</v>
      </c>
      <c r="Q78" s="6">
        <f>IF($F78=0,"",IF(ISNUMBER(INDEX(Data!N$1:N$373,$F78)),INDEX(Data!N$1:N$373,$F78),""))</f>
        <v>133.6</v>
      </c>
      <c r="R78" s="6">
        <f>IF($F78=0,"",IF(ISNUMBER(INDEX(Data!O$1:O$373,$F78)),INDEX(Data!O$1:O$373,$F78),""))</f>
        <v>154.9</v>
      </c>
      <c r="S78" s="6">
        <f>IF($F78=0,"",IF(ISNUMBER(INDEX(Data!P$1:P$373,$F78)),INDEX(Data!P$1:P$373,$F78),""))</f>
        <v>137.5</v>
      </c>
      <c r="T78" s="6">
        <f>IF($F78=0,"",IF(ISNUMBER(INDEX(Data!Q$1:Q$373,$F78)),INDEX(Data!Q$1:Q$373,$F78),""))</f>
        <v>163.4</v>
      </c>
      <c r="U78" s="6">
        <f>IF($F78=0,"",IF(ISNUMBER(INDEX(Data!R$1:R$373,$F78)),INDEX(Data!R$1:R$373,$F78),""))</f>
        <v>147.7</v>
      </c>
      <c r="V78" s="6">
        <f>IF($F78=0,"",IF(ISNUMBER(INDEX(Data!S$1:S$373,$F78)),INDEX(Data!S$1:S$373,$F78),""))</f>
        <v>139.7</v>
      </c>
      <c r="W78" s="6">
        <f>IF($F78=0,"",IF(ISNUMBER(INDEX(Data!T$1:T$373,$F78)),INDEX(Data!T$1:T$373,$F78),""))</f>
        <v>146.5</v>
      </c>
      <c r="X78" s="6">
        <f>IF($F78=0,"",IF(ISNUMBER(INDEX(Data!U$1:U$373,$F78)),INDEX(Data!U$1:U$373,$F78),""))</f>
        <v>148.5</v>
      </c>
      <c r="Y78" s="6">
        <f>IF($F78=0,"",IF(ISNUMBER(INDEX(Data!V$1:V$373,$F78)),INDEX(Data!V$1:V$373,$F78),""))</f>
        <v>138.4</v>
      </c>
      <c r="Z78" s="6">
        <f>IF($F78=0,"",IF(ISNUMBER(INDEX(Data!W$1:W$373,$F78)),INDEX(Data!W$1:W$373,$F78),""))</f>
        <v>143.7</v>
      </c>
      <c r="AA78" s="6">
        <f>IF($F78=0,"",IF(ISNUMBER(INDEX(Data!X$1:X$373,$F78)),INDEX(Data!X$1:X$373,$F78),""))</f>
        <v>145.6</v>
      </c>
      <c r="AB78" s="6">
        <f>IF($F78=0,"",IF(ISNUMBER(INDEX(Data!Y$1:Y$373,$F78)),INDEX(Data!Y$1:Y$373,$F78),""))</f>
        <v>123.9</v>
      </c>
      <c r="AC78" s="6">
        <f>IF($F78=0,"",IF(ISNUMBER(INDEX(Data!Z$1:Z$373,$F78)),INDEX(Data!Z$1:Z$373,$F78),""))</f>
        <v>137.1</v>
      </c>
      <c r="AD78" s="6">
        <f>IF($F78=0,"",IF(ISNUMBER(INDEX(Data!AA$1:AA$373,$F78)),INDEX(Data!AA$1:AA$373,$F78),""))</f>
        <v>150.3</v>
      </c>
      <c r="AE78" s="6">
        <f>IF($F78=0,"",IF(ISNUMBER(INDEX(Data!AB$1:AB$373,$F78)),INDEX(Data!AB$1:AB$373,$F78),""))</f>
        <v>134.1</v>
      </c>
      <c r="AF78" s="6">
        <f>IF($F78=0,"",IF(ISNUMBER(INDEX(Data!AC$1:AC$373,$F78)),INDEX(Data!AC$1:AC$373,$F78),""))</f>
        <v>137.4</v>
      </c>
      <c r="AG78" s="6">
        <f>IF($F78=0,"",IF(ISNUMBER(INDEX(Data!AD$1:AD$373,$F78)),INDEX(Data!AD$1:AD$373,$F78),""))</f>
        <v>139.9</v>
      </c>
    </row>
    <row r="79" spans="1:33">
      <c r="A79" s="6">
        <v>2019</v>
      </c>
      <c r="B79" s="6">
        <v>3</v>
      </c>
      <c r="C79" s="6" t="s">
        <v>54</v>
      </c>
      <c r="D79" s="9">
        <f t="shared" si="2"/>
        <v>43525</v>
      </c>
      <c r="E79" s="6" t="str">
        <f t="shared" si="3"/>
        <v>Rural+Urban|2019|March</v>
      </c>
      <c r="F79" s="6">
        <f>IFERROR(MATCH(E79,Data!$AE$1:$AE$373,0),0)</f>
        <v>226</v>
      </c>
      <c r="G79" s="6">
        <f>IF($F79=0,"",IF(ISNUMBER(INDEX(Data!D$1:D$373,$F79)),INDEX(Data!D$1:D$373,$F79),""))</f>
        <v>137.8</v>
      </c>
      <c r="H79" s="6">
        <f>IF($F79=0,"",IF(ISNUMBER(INDEX(Data!E$1:E$373,$F79)),INDEX(Data!E$1:E$373,$F79),""))</f>
        <v>153</v>
      </c>
      <c r="I79" s="6">
        <f>IF($F79=0,"",IF(ISNUMBER(INDEX(Data!F$1:F$373,$F79)),INDEX(Data!F$1:F$373,$F79),""))</f>
        <v>140.3</v>
      </c>
      <c r="J79" s="6">
        <f>IF($F79=0,"",IF(ISNUMBER(INDEX(Data!G$1:G$373,$F79)),INDEX(Data!G$1:G$373,$F79),""))</f>
        <v>142.3</v>
      </c>
      <c r="K79" s="6">
        <f>IF($F79=0,"",IF(ISNUMBER(INDEX(Data!H$1:H$373,$F79)),INDEX(Data!H$1:H$373,$F79),""))</f>
        <v>122</v>
      </c>
      <c r="L79" s="6">
        <f>IF($F79=0,"",IF(ISNUMBER(INDEX(Data!I$1:I$373,$F79)),INDEX(Data!I$1:I$373,$F79),""))</f>
        <v>137.6</v>
      </c>
      <c r="M79" s="6">
        <f>IF($F79=0,"",IF(ISNUMBER(INDEX(Data!J$1:J$373,$F79)),INDEX(Data!J$1:J$373,$F79),""))</f>
        <v>132.6</v>
      </c>
      <c r="N79" s="6">
        <f>IF($F79=0,"",IF(ISNUMBER(INDEX(Data!K$1:K$373,$F79)),INDEX(Data!K$1:K$373,$F79),""))</f>
        <v>121.8</v>
      </c>
      <c r="O79" s="6">
        <f>IF($F79=0,"",IF(ISNUMBER(INDEX(Data!L$1:L$373,$F79)),INDEX(Data!L$1:L$373,$F79),""))</f>
        <v>109</v>
      </c>
      <c r="P79" s="6">
        <f>IF($F79=0,"",IF(ISNUMBER(INDEX(Data!M$1:M$373,$F79)),INDEX(Data!M$1:M$373,$F79),""))</f>
        <v>139.5</v>
      </c>
      <c r="Q79" s="6">
        <f>IF($F79=0,"",IF(ISNUMBER(INDEX(Data!N$1:N$373,$F79)),INDEX(Data!N$1:N$373,$F79),""))</f>
        <v>133.7</v>
      </c>
      <c r="R79" s="6">
        <f>IF($F79=0,"",IF(ISNUMBER(INDEX(Data!O$1:O$373,$F79)),INDEX(Data!O$1:O$373,$F79),""))</f>
        <v>155.2</v>
      </c>
      <c r="S79" s="6">
        <f>IF($F79=0,"",IF(ISNUMBER(INDEX(Data!P$1:P$373,$F79)),INDEX(Data!P$1:P$373,$F79),""))</f>
        <v>138.1</v>
      </c>
      <c r="T79" s="6">
        <f>IF($F79=0,"",IF(ISNUMBER(INDEX(Data!Q$1:Q$373,$F79)),INDEX(Data!Q$1:Q$373,$F79),""))</f>
        <v>163.5</v>
      </c>
      <c r="U79" s="6">
        <f>IF($F79=0,"",IF(ISNUMBER(INDEX(Data!R$1:R$373,$F79)),INDEX(Data!R$1:R$373,$F79),""))</f>
        <v>147.9</v>
      </c>
      <c r="V79" s="6">
        <f>IF($F79=0,"",IF(ISNUMBER(INDEX(Data!S$1:S$373,$F79)),INDEX(Data!S$1:S$373,$F79),""))</f>
        <v>139.9</v>
      </c>
      <c r="W79" s="6">
        <f>IF($F79=0,"",IF(ISNUMBER(INDEX(Data!T$1:T$373,$F79)),INDEX(Data!T$1:T$373,$F79),""))</f>
        <v>146.7</v>
      </c>
      <c r="X79" s="6">
        <f>IF($F79=0,"",IF(ISNUMBER(INDEX(Data!U$1:U$373,$F79)),INDEX(Data!U$1:U$373,$F79),""))</f>
        <v>149</v>
      </c>
      <c r="Y79" s="6">
        <f>IF($F79=0,"",IF(ISNUMBER(INDEX(Data!V$1:V$373,$F79)),INDEX(Data!V$1:V$373,$F79),""))</f>
        <v>139.7</v>
      </c>
      <c r="Z79" s="6">
        <f>IF($F79=0,"",IF(ISNUMBER(INDEX(Data!W$1:W$373,$F79)),INDEX(Data!W$1:W$373,$F79),""))</f>
        <v>143.8</v>
      </c>
      <c r="AA79" s="6">
        <f>IF($F79=0,"",IF(ISNUMBER(INDEX(Data!X$1:X$373,$F79)),INDEX(Data!X$1:X$373,$F79),""))</f>
        <v>146.2</v>
      </c>
      <c r="AB79" s="6">
        <f>IF($F79=0,"",IF(ISNUMBER(INDEX(Data!Y$1:Y$373,$F79)),INDEX(Data!Y$1:Y$373,$F79),""))</f>
        <v>124.6</v>
      </c>
      <c r="AC79" s="6">
        <f>IF($F79=0,"",IF(ISNUMBER(INDEX(Data!Z$1:Z$373,$F79)),INDEX(Data!Z$1:Z$373,$F79),""))</f>
        <v>137.7</v>
      </c>
      <c r="AD79" s="6">
        <f>IF($F79=0,"",IF(ISNUMBER(INDEX(Data!AA$1:AA$373,$F79)),INDEX(Data!AA$1:AA$373,$F79),""))</f>
        <v>150.3</v>
      </c>
      <c r="AE79" s="6">
        <f>IF($F79=0,"",IF(ISNUMBER(INDEX(Data!AB$1:AB$373,$F79)),INDEX(Data!AB$1:AB$373,$F79),""))</f>
        <v>133.4</v>
      </c>
      <c r="AF79" s="6">
        <f>IF($F79=0,"",IF(ISNUMBER(INDEX(Data!AC$1:AC$373,$F79)),INDEX(Data!AC$1:AC$373,$F79),""))</f>
        <v>137.7</v>
      </c>
      <c r="AG79" s="6">
        <f>IF($F79=0,"",IF(ISNUMBER(INDEX(Data!AD$1:AD$373,$F79)),INDEX(Data!AD$1:AD$373,$F79),""))</f>
        <v>140.4</v>
      </c>
    </row>
    <row r="80" spans="1:33">
      <c r="A80" s="6">
        <v>2019</v>
      </c>
      <c r="B80" s="6">
        <v>4</v>
      </c>
      <c r="C80" s="6" t="s">
        <v>55</v>
      </c>
      <c r="D80" s="9">
        <f t="shared" si="2"/>
        <v>43556</v>
      </c>
      <c r="E80" s="6" t="str">
        <f t="shared" si="3"/>
        <v>Rural+Urban|2019|April</v>
      </c>
      <c r="F80" s="6">
        <f>IFERROR(MATCH(E80,Data!$AE$1:$AE$373,0),0)</f>
        <v>0</v>
      </c>
      <c r="G80" s="6" t="str">
        <f>IF($F80=0,"",IF(ISNUMBER(INDEX(Data!D$1:D$373,$F80)),INDEX(Data!D$1:D$373,$F80),""))</f>
        <v/>
      </c>
      <c r="H80" s="6" t="str">
        <f>IF($F80=0,"",IF(ISNUMBER(INDEX(Data!E$1:E$373,$F80)),INDEX(Data!E$1:E$373,$F80),""))</f>
        <v/>
      </c>
      <c r="I80" s="6" t="str">
        <f>IF($F80=0,"",IF(ISNUMBER(INDEX(Data!F$1:F$373,$F80)),INDEX(Data!F$1:F$373,$F80),""))</f>
        <v/>
      </c>
      <c r="J80" s="6" t="str">
        <f>IF($F80=0,"",IF(ISNUMBER(INDEX(Data!G$1:G$373,$F80)),INDEX(Data!G$1:G$373,$F80),""))</f>
        <v/>
      </c>
      <c r="K80" s="6" t="str">
        <f>IF($F80=0,"",IF(ISNUMBER(INDEX(Data!H$1:H$373,$F80)),INDEX(Data!H$1:H$373,$F80),""))</f>
        <v/>
      </c>
      <c r="L80" s="6" t="str">
        <f>IF($F80=0,"",IF(ISNUMBER(INDEX(Data!I$1:I$373,$F80)),INDEX(Data!I$1:I$373,$F80),""))</f>
        <v/>
      </c>
      <c r="M80" s="6" t="str">
        <f>IF($F80=0,"",IF(ISNUMBER(INDEX(Data!J$1:J$373,$F80)),INDEX(Data!J$1:J$373,$F80),""))</f>
        <v/>
      </c>
      <c r="N80" s="6" t="str">
        <f>IF($F80=0,"",IF(ISNUMBER(INDEX(Data!K$1:K$373,$F80)),INDEX(Data!K$1:K$373,$F80),""))</f>
        <v/>
      </c>
      <c r="O80" s="6" t="str">
        <f>IF($F80=0,"",IF(ISNUMBER(INDEX(Data!L$1:L$373,$F80)),INDEX(Data!L$1:L$373,$F80),""))</f>
        <v/>
      </c>
      <c r="P80" s="6" t="str">
        <f>IF($F80=0,"",IF(ISNUMBER(INDEX(Data!M$1:M$373,$F80)),INDEX(Data!M$1:M$373,$F80),""))</f>
        <v/>
      </c>
      <c r="Q80" s="6" t="str">
        <f>IF($F80=0,"",IF(ISNUMBER(INDEX(Data!N$1:N$373,$F80)),INDEX(Data!N$1:N$373,$F80),""))</f>
        <v/>
      </c>
      <c r="R80" s="6" t="str">
        <f>IF($F80=0,"",IF(ISNUMBER(INDEX(Data!O$1:O$373,$F80)),INDEX(Data!O$1:O$373,$F80),""))</f>
        <v/>
      </c>
      <c r="S80" s="6" t="str">
        <f>IF($F80=0,"",IF(ISNUMBER(INDEX(Data!P$1:P$373,$F80)),INDEX(Data!P$1:P$373,$F80),""))</f>
        <v/>
      </c>
      <c r="T80" s="6" t="str">
        <f>IF($F80=0,"",IF(ISNUMBER(INDEX(Data!Q$1:Q$373,$F80)),INDEX(Data!Q$1:Q$373,$F80),""))</f>
        <v/>
      </c>
      <c r="U80" s="6" t="str">
        <f>IF($F80=0,"",IF(ISNUMBER(INDEX(Data!R$1:R$373,$F80)),INDEX(Data!R$1:R$373,$F80),""))</f>
        <v/>
      </c>
      <c r="V80" s="6" t="str">
        <f>IF($F80=0,"",IF(ISNUMBER(INDEX(Data!S$1:S$373,$F80)),INDEX(Data!S$1:S$373,$F80),""))</f>
        <v/>
      </c>
      <c r="W80" s="6" t="str">
        <f>IF($F80=0,"",IF(ISNUMBER(INDEX(Data!T$1:T$373,$F80)),INDEX(Data!T$1:T$373,$F80),""))</f>
        <v/>
      </c>
      <c r="X80" s="6" t="str">
        <f>IF($F80=0,"",IF(ISNUMBER(INDEX(Data!U$1:U$373,$F80)),INDEX(Data!U$1:U$373,$F80),""))</f>
        <v/>
      </c>
      <c r="Y80" s="6" t="str">
        <f>IF($F80=0,"",IF(ISNUMBER(INDEX(Data!V$1:V$373,$F80)),INDEX(Data!V$1:V$373,$F80),""))</f>
        <v/>
      </c>
      <c r="Z80" s="6" t="str">
        <f>IF($F80=0,"",IF(ISNUMBER(INDEX(Data!W$1:W$373,$F80)),INDEX(Data!W$1:W$373,$F80),""))</f>
        <v/>
      </c>
      <c r="AA80" s="6" t="str">
        <f>IF($F80=0,"",IF(ISNUMBER(INDEX(Data!X$1:X$373,$F80)),INDEX(Data!X$1:X$373,$F80),""))</f>
        <v/>
      </c>
      <c r="AB80" s="6" t="str">
        <f>IF($F80=0,"",IF(ISNUMBER(INDEX(Data!Y$1:Y$373,$F80)),INDEX(Data!Y$1:Y$373,$F80),""))</f>
        <v/>
      </c>
      <c r="AC80" s="6" t="str">
        <f>IF($F80=0,"",IF(ISNUMBER(INDEX(Data!Z$1:Z$373,$F80)),INDEX(Data!Z$1:Z$373,$F80),""))</f>
        <v/>
      </c>
      <c r="AD80" s="6" t="str">
        <f>IF($F80=0,"",IF(ISNUMBER(INDEX(Data!AA$1:AA$373,$F80)),INDEX(Data!AA$1:AA$373,$F80),""))</f>
        <v/>
      </c>
      <c r="AE80" s="6" t="str">
        <f>IF($F80=0,"",IF(ISNUMBER(INDEX(Data!AB$1:AB$373,$F80)),INDEX(Data!AB$1:AB$373,$F80),""))</f>
        <v/>
      </c>
      <c r="AF80" s="6" t="str">
        <f>IF($F80=0,"",IF(ISNUMBER(INDEX(Data!AC$1:AC$373,$F80)),INDEX(Data!AC$1:AC$373,$F80),""))</f>
        <v/>
      </c>
      <c r="AG80" s="6" t="str">
        <f>IF($F80=0,"",IF(ISNUMBER(INDEX(Data!AD$1:AD$373,$F80)),INDEX(Data!AD$1:AD$373,$F80),""))</f>
        <v/>
      </c>
    </row>
    <row r="81" spans="1:33">
      <c r="A81" s="6">
        <v>2019</v>
      </c>
      <c r="B81" s="6">
        <v>5</v>
      </c>
      <c r="C81" s="6" t="s">
        <v>56</v>
      </c>
      <c r="D81" s="9">
        <f t="shared" si="2"/>
        <v>43586</v>
      </c>
      <c r="E81" s="6" t="str">
        <f t="shared" si="3"/>
        <v>Rural+Urban|2019|May</v>
      </c>
      <c r="F81" s="6">
        <f>IFERROR(MATCH(E81,Data!$AE$1:$AE$373,0),0)</f>
        <v>229</v>
      </c>
      <c r="G81" s="6">
        <f>IF($F81=0,"",IF(ISNUMBER(INDEX(Data!D$1:D$373,$F81)),INDEX(Data!D$1:D$373,$F81),""))</f>
        <v>138.3</v>
      </c>
      <c r="H81" s="6">
        <f>IF($F81=0,"",IF(ISNUMBER(INDEX(Data!E$1:E$373,$F81)),INDEX(Data!E$1:E$373,$F81),""))</f>
        <v>158.5</v>
      </c>
      <c r="I81" s="6">
        <f>IF($F81=0,"",IF(ISNUMBER(INDEX(Data!F$1:F$373,$F81)),INDEX(Data!F$1:F$373,$F81),""))</f>
        <v>136</v>
      </c>
      <c r="J81" s="6">
        <f>IF($F81=0,"",IF(ISNUMBER(INDEX(Data!G$1:G$373,$F81)),INDEX(Data!G$1:G$373,$F81),""))</f>
        <v>142.5</v>
      </c>
      <c r="K81" s="6">
        <f>IF($F81=0,"",IF(ISNUMBER(INDEX(Data!H$1:H$373,$F81)),INDEX(Data!H$1:H$373,$F81),""))</f>
        <v>122</v>
      </c>
      <c r="L81" s="6">
        <f>IF($F81=0,"",IF(ISNUMBER(INDEX(Data!I$1:I$373,$F81)),INDEX(Data!I$1:I$373,$F81),""))</f>
        <v>146.5</v>
      </c>
      <c r="M81" s="6">
        <f>IF($F81=0,"",IF(ISNUMBER(INDEX(Data!J$1:J$373,$F81)),INDEX(Data!J$1:J$373,$F81),""))</f>
        <v>143</v>
      </c>
      <c r="N81" s="6">
        <f>IF($F81=0,"",IF(ISNUMBER(INDEX(Data!K$1:K$373,$F81)),INDEX(Data!K$1:K$373,$F81),""))</f>
        <v>124.9</v>
      </c>
      <c r="O81" s="6">
        <f>IF($F81=0,"",IF(ISNUMBER(INDEX(Data!L$1:L$373,$F81)),INDEX(Data!L$1:L$373,$F81),""))</f>
        <v>109.9</v>
      </c>
      <c r="P81" s="6">
        <f>IF($F81=0,"",IF(ISNUMBER(INDEX(Data!M$1:M$373,$F81)),INDEX(Data!M$1:M$373,$F81),""))</f>
        <v>139.9</v>
      </c>
      <c r="Q81" s="6">
        <f>IF($F81=0,"",IF(ISNUMBER(INDEX(Data!N$1:N$373,$F81)),INDEX(Data!N$1:N$373,$F81),""))</f>
        <v>134</v>
      </c>
      <c r="R81" s="6">
        <f>IF($F81=0,"",IF(ISNUMBER(INDEX(Data!O$1:O$373,$F81)),INDEX(Data!O$1:O$373,$F81),""))</f>
        <v>155.5</v>
      </c>
      <c r="S81" s="6">
        <f>IF($F81=0,"",IF(ISNUMBER(INDEX(Data!P$1:P$373,$F81)),INDEX(Data!P$1:P$373,$F81),""))</f>
        <v>140.9</v>
      </c>
      <c r="T81" s="6">
        <f>IF($F81=0,"",IF(ISNUMBER(INDEX(Data!Q$1:Q$373,$F81)),INDEX(Data!Q$1:Q$373,$F81),""))</f>
        <v>164.1</v>
      </c>
      <c r="U81" s="6">
        <f>IF($F81=0,"",IF(ISNUMBER(INDEX(Data!R$1:R$373,$F81)),INDEX(Data!R$1:R$373,$F81),""))</f>
        <v>148.4</v>
      </c>
      <c r="V81" s="6">
        <f>IF($F81=0,"",IF(ISNUMBER(INDEX(Data!S$1:S$373,$F81)),INDEX(Data!S$1:S$373,$F81),""))</f>
        <v>140.4</v>
      </c>
      <c r="W81" s="6">
        <f>IF($F81=0,"",IF(ISNUMBER(INDEX(Data!T$1:T$373,$F81)),INDEX(Data!T$1:T$373,$F81),""))</f>
        <v>147.3</v>
      </c>
      <c r="X81" s="6">
        <f>IF($F81=0,"",IF(ISNUMBER(INDEX(Data!U$1:U$373,$F81)),INDEX(Data!U$1:U$373,$F81),""))</f>
        <v>150.1</v>
      </c>
      <c r="Y81" s="6">
        <f>IF($F81=0,"",IF(ISNUMBER(INDEX(Data!V$1:V$373,$F81)),INDEX(Data!V$1:V$373,$F81),""))</f>
        <v>140.3</v>
      </c>
      <c r="Z81" s="6">
        <f>IF($F81=0,"",IF(ISNUMBER(INDEX(Data!W$1:W$373,$F81)),INDEX(Data!W$1:W$373,$F81),""))</f>
        <v>143.7</v>
      </c>
      <c r="AA81" s="6">
        <f>IF($F81=0,"",IF(ISNUMBER(INDEX(Data!X$1:X$373,$F81)),INDEX(Data!X$1:X$373,$F81),""))</f>
        <v>146.9</v>
      </c>
      <c r="AB81" s="6">
        <f>IF($F81=0,"",IF(ISNUMBER(INDEX(Data!Y$1:Y$373,$F81)),INDEX(Data!Y$1:Y$373,$F81),""))</f>
        <v>124.9</v>
      </c>
      <c r="AC81" s="6">
        <f>IF($F81=0,"",IF(ISNUMBER(INDEX(Data!Z$1:Z$373,$F81)),INDEX(Data!Z$1:Z$373,$F81),""))</f>
        <v>139.2</v>
      </c>
      <c r="AD81" s="6">
        <f>IF($F81=0,"",IF(ISNUMBER(INDEX(Data!AA$1:AA$373,$F81)),INDEX(Data!AA$1:AA$373,$F81),""))</f>
        <v>151.6</v>
      </c>
      <c r="AE81" s="6">
        <f>IF($F81=0,"",IF(ISNUMBER(INDEX(Data!AB$1:AB$373,$F81)),INDEX(Data!AB$1:AB$373,$F81),""))</f>
        <v>133.4</v>
      </c>
      <c r="AF81" s="6">
        <f>IF($F81=0,"",IF(ISNUMBER(INDEX(Data!AC$1:AC$373,$F81)),INDEX(Data!AC$1:AC$373,$F81),""))</f>
        <v>138.2</v>
      </c>
      <c r="AG81" s="6">
        <f>IF($F81=0,"",IF(ISNUMBER(INDEX(Data!AD$1:AD$373,$F81)),INDEX(Data!AD$1:AD$373,$F81),""))</f>
        <v>142</v>
      </c>
    </row>
    <row r="82" spans="1:33">
      <c r="A82" s="6">
        <v>2019</v>
      </c>
      <c r="B82" s="6">
        <v>6</v>
      </c>
      <c r="C82" s="6" t="s">
        <v>57</v>
      </c>
      <c r="D82" s="9">
        <f t="shared" si="2"/>
        <v>43617</v>
      </c>
      <c r="E82" s="6" t="str">
        <f t="shared" si="3"/>
        <v>Rural+Urban|2019|June</v>
      </c>
      <c r="F82" s="6">
        <f>IFERROR(MATCH(E82,Data!$AE$1:$AE$373,0),0)</f>
        <v>232</v>
      </c>
      <c r="G82" s="6">
        <f>IF($F82=0,"",IF(ISNUMBER(INDEX(Data!D$1:D$373,$F82)),INDEX(Data!D$1:D$373,$F82),""))</f>
        <v>138.7</v>
      </c>
      <c r="H82" s="6">
        <f>IF($F82=0,"",IF(ISNUMBER(INDEX(Data!E$1:E$373,$F82)),INDEX(Data!E$1:E$373,$F82),""))</f>
        <v>162.1</v>
      </c>
      <c r="I82" s="6">
        <f>IF($F82=0,"",IF(ISNUMBER(INDEX(Data!F$1:F$373,$F82)),INDEX(Data!F$1:F$373,$F82),""))</f>
        <v>137.8</v>
      </c>
      <c r="J82" s="6">
        <f>IF($F82=0,"",IF(ISNUMBER(INDEX(Data!G$1:G$373,$F82)),INDEX(Data!G$1:G$373,$F82),""))</f>
        <v>143.3</v>
      </c>
      <c r="K82" s="6">
        <f>IF($F82=0,"",IF(ISNUMBER(INDEX(Data!H$1:H$373,$F82)),INDEX(Data!H$1:H$373,$F82),""))</f>
        <v>122.2</v>
      </c>
      <c r="L82" s="6">
        <f>IF($F82=0,"",IF(ISNUMBER(INDEX(Data!I$1:I$373,$F82)),INDEX(Data!I$1:I$373,$F82),""))</f>
        <v>146.8</v>
      </c>
      <c r="M82" s="6">
        <f>IF($F82=0,"",IF(ISNUMBER(INDEX(Data!J$1:J$373,$F82)),INDEX(Data!J$1:J$373,$F82),""))</f>
        <v>150.5</v>
      </c>
      <c r="N82" s="6">
        <f>IF($F82=0,"",IF(ISNUMBER(INDEX(Data!K$1:K$373,$F82)),INDEX(Data!K$1:K$373,$F82),""))</f>
        <v>128.3</v>
      </c>
      <c r="O82" s="6">
        <f>IF($F82=0,"",IF(ISNUMBER(INDEX(Data!L$1:L$373,$F82)),INDEX(Data!L$1:L$373,$F82),""))</f>
        <v>111</v>
      </c>
      <c r="P82" s="6">
        <f>IF($F82=0,"",IF(ISNUMBER(INDEX(Data!M$1:M$373,$F82)),INDEX(Data!M$1:M$373,$F82),""))</f>
        <v>140.6</v>
      </c>
      <c r="Q82" s="6">
        <f>IF($F82=0,"",IF(ISNUMBER(INDEX(Data!N$1:N$373,$F82)),INDEX(Data!N$1:N$373,$F82),""))</f>
        <v>134.2</v>
      </c>
      <c r="R82" s="6">
        <f>IF($F82=0,"",IF(ISNUMBER(INDEX(Data!O$1:O$373,$F82)),INDEX(Data!O$1:O$373,$F82),""))</f>
        <v>155.9</v>
      </c>
      <c r="S82" s="6">
        <f>IF($F82=0,"",IF(ISNUMBER(INDEX(Data!P$1:P$373,$F82)),INDEX(Data!P$1:P$373,$F82),""))</f>
        <v>142.7</v>
      </c>
      <c r="T82" s="6">
        <f>IF($F82=0,"",IF(ISNUMBER(INDEX(Data!Q$1:Q$373,$F82)),INDEX(Data!Q$1:Q$373,$F82),""))</f>
        <v>164.9</v>
      </c>
      <c r="U82" s="6">
        <f>IF($F82=0,"",IF(ISNUMBER(INDEX(Data!R$1:R$373,$F82)),INDEX(Data!R$1:R$373,$F82),""))</f>
        <v>148.6</v>
      </c>
      <c r="V82" s="6">
        <f>IF($F82=0,"",IF(ISNUMBER(INDEX(Data!S$1:S$373,$F82)),INDEX(Data!S$1:S$373,$F82),""))</f>
        <v>140.4</v>
      </c>
      <c r="W82" s="6">
        <f>IF($F82=0,"",IF(ISNUMBER(INDEX(Data!T$1:T$373,$F82)),INDEX(Data!T$1:T$373,$F82),""))</f>
        <v>147.4</v>
      </c>
      <c r="X82" s="6">
        <f>IF($F82=0,"",IF(ISNUMBER(INDEX(Data!U$1:U$373,$F82)),INDEX(Data!U$1:U$373,$F82),""))</f>
        <v>149.4</v>
      </c>
      <c r="Y82" s="6">
        <f>IF($F82=0,"",IF(ISNUMBER(INDEX(Data!V$1:V$373,$F82)),INDEX(Data!V$1:V$373,$F82),""))</f>
        <v>141.2</v>
      </c>
      <c r="Z82" s="6">
        <f>IF($F82=0,"",IF(ISNUMBER(INDEX(Data!W$1:W$373,$F82)),INDEX(Data!W$1:W$373,$F82),""))</f>
        <v>143.8</v>
      </c>
      <c r="AA82" s="6">
        <f>IF($F82=0,"",IF(ISNUMBER(INDEX(Data!X$1:X$373,$F82)),INDEX(Data!X$1:X$373,$F82),""))</f>
        <v>147.4</v>
      </c>
      <c r="AB82" s="6">
        <f>IF($F82=0,"",IF(ISNUMBER(INDEX(Data!Y$1:Y$373,$F82)),INDEX(Data!Y$1:Y$373,$F82),""))</f>
        <v>124.6</v>
      </c>
      <c r="AC82" s="6">
        <f>IF($F82=0,"",IF(ISNUMBER(INDEX(Data!Z$1:Z$373,$F82)),INDEX(Data!Z$1:Z$373,$F82),""))</f>
        <v>139.6</v>
      </c>
      <c r="AD82" s="6">
        <f>IF($F82=0,"",IF(ISNUMBER(INDEX(Data!AA$1:AA$373,$F82)),INDEX(Data!AA$1:AA$373,$F82),""))</f>
        <v>152.5</v>
      </c>
      <c r="AE82" s="6">
        <f>IF($F82=0,"",IF(ISNUMBER(INDEX(Data!AB$1:AB$373,$F82)),INDEX(Data!AB$1:AB$373,$F82),""))</f>
        <v>134.3</v>
      </c>
      <c r="AF82" s="6">
        <f>IF($F82=0,"",IF(ISNUMBER(INDEX(Data!AC$1:AC$373,$F82)),INDEX(Data!AC$1:AC$373,$F82),""))</f>
        <v>138.6</v>
      </c>
      <c r="AG82" s="6">
        <f>IF($F82=0,"",IF(ISNUMBER(INDEX(Data!AD$1:AD$373,$F82)),INDEX(Data!AD$1:AD$373,$F82),""))</f>
        <v>142.9</v>
      </c>
    </row>
    <row r="83" spans="1:33">
      <c r="A83" s="6">
        <v>2019</v>
      </c>
      <c r="B83" s="6">
        <v>7</v>
      </c>
      <c r="C83" s="6" t="s">
        <v>58</v>
      </c>
      <c r="D83" s="9">
        <f t="shared" si="2"/>
        <v>43647</v>
      </c>
      <c r="E83" s="6" t="str">
        <f t="shared" si="3"/>
        <v>Rural+Urban|2019|July</v>
      </c>
      <c r="F83" s="6">
        <f>IFERROR(MATCH(E83,Data!$AE$1:$AE$373,0),0)</f>
        <v>235</v>
      </c>
      <c r="G83" s="6">
        <f>IF($F83=0,"",IF(ISNUMBER(INDEX(Data!D$1:D$373,$F83)),INDEX(Data!D$1:D$373,$F83),""))</f>
        <v>139.3</v>
      </c>
      <c r="H83" s="6">
        <f>IF($F83=0,"",IF(ISNUMBER(INDEX(Data!E$1:E$373,$F83)),INDEX(Data!E$1:E$373,$F83),""))</f>
        <v>162.7</v>
      </c>
      <c r="I83" s="6">
        <f>IF($F83=0,"",IF(ISNUMBER(INDEX(Data!F$1:F$373,$F83)),INDEX(Data!F$1:F$373,$F83),""))</f>
        <v>140</v>
      </c>
      <c r="J83" s="6">
        <f>IF($F83=0,"",IF(ISNUMBER(INDEX(Data!G$1:G$373,$F83)),INDEX(Data!G$1:G$373,$F83),""))</f>
        <v>144</v>
      </c>
      <c r="K83" s="6">
        <f>IF($F83=0,"",IF(ISNUMBER(INDEX(Data!H$1:H$373,$F83)),INDEX(Data!H$1:H$373,$F83),""))</f>
        <v>122.5</v>
      </c>
      <c r="L83" s="6">
        <f>IF($F83=0,"",IF(ISNUMBER(INDEX(Data!I$1:I$373,$F83)),INDEX(Data!I$1:I$373,$F83),""))</f>
        <v>150.3</v>
      </c>
      <c r="M83" s="6">
        <f>IF($F83=0,"",IF(ISNUMBER(INDEX(Data!J$1:J$373,$F83)),INDEX(Data!J$1:J$373,$F83),""))</f>
        <v>160.3</v>
      </c>
      <c r="N83" s="6">
        <f>IF($F83=0,"",IF(ISNUMBER(INDEX(Data!K$1:K$373,$F83)),INDEX(Data!K$1:K$373,$F83),""))</f>
        <v>130</v>
      </c>
      <c r="O83" s="6">
        <f>IF($F83=0,"",IF(ISNUMBER(INDEX(Data!L$1:L$373,$F83)),INDEX(Data!L$1:L$373,$F83),""))</f>
        <v>111.1</v>
      </c>
      <c r="P83" s="6">
        <f>IF($F83=0,"",IF(ISNUMBER(INDEX(Data!M$1:M$373,$F83)),INDEX(Data!M$1:M$373,$F83),""))</f>
        <v>141.7</v>
      </c>
      <c r="Q83" s="6">
        <f>IF($F83=0,"",IF(ISNUMBER(INDEX(Data!N$1:N$373,$F83)),INDEX(Data!N$1:N$373,$F83),""))</f>
        <v>134.7</v>
      </c>
      <c r="R83" s="6">
        <f>IF($F83=0,"",IF(ISNUMBER(INDEX(Data!O$1:O$373,$F83)),INDEX(Data!O$1:O$373,$F83),""))</f>
        <v>156.2</v>
      </c>
      <c r="S83" s="6">
        <f>IF($F83=0,"",IF(ISNUMBER(INDEX(Data!P$1:P$373,$F83)),INDEX(Data!P$1:P$373,$F83),""))</f>
        <v>144.7</v>
      </c>
      <c r="T83" s="6">
        <f>IF($F83=0,"",IF(ISNUMBER(INDEX(Data!Q$1:Q$373,$F83)),INDEX(Data!Q$1:Q$373,$F83),""))</f>
        <v>165.2</v>
      </c>
      <c r="U83" s="6">
        <f>IF($F83=0,"",IF(ISNUMBER(INDEX(Data!R$1:R$373,$F83)),INDEX(Data!R$1:R$373,$F83),""))</f>
        <v>148.9</v>
      </c>
      <c r="V83" s="6">
        <f>IF($F83=0,"",IF(ISNUMBER(INDEX(Data!S$1:S$373,$F83)),INDEX(Data!S$1:S$373,$F83),""))</f>
        <v>140.5</v>
      </c>
      <c r="W83" s="6">
        <f>IF($F83=0,"",IF(ISNUMBER(INDEX(Data!T$1:T$373,$F83)),INDEX(Data!T$1:T$373,$F83),""))</f>
        <v>147.6</v>
      </c>
      <c r="X83" s="6">
        <f>IF($F83=0,"",IF(ISNUMBER(INDEX(Data!U$1:U$373,$F83)),INDEX(Data!U$1:U$373,$F83),""))</f>
        <v>150.6</v>
      </c>
      <c r="Y83" s="6">
        <f>IF($F83=0,"",IF(ISNUMBER(INDEX(Data!V$1:V$373,$F83)),INDEX(Data!V$1:V$373,$F83),""))</f>
        <v>139.3</v>
      </c>
      <c r="Z83" s="6">
        <f>IF($F83=0,"",IF(ISNUMBER(INDEX(Data!W$1:W$373,$F83)),INDEX(Data!W$1:W$373,$F83),""))</f>
        <v>144.2</v>
      </c>
      <c r="AA83" s="6">
        <f>IF($F83=0,"",IF(ISNUMBER(INDEX(Data!X$1:X$373,$F83)),INDEX(Data!X$1:X$373,$F83),""))</f>
        <v>147.9</v>
      </c>
      <c r="AB83" s="6">
        <f>IF($F83=0,"",IF(ISNUMBER(INDEX(Data!Y$1:Y$373,$F83)),INDEX(Data!Y$1:Y$373,$F83),""))</f>
        <v>125.6</v>
      </c>
      <c r="AC83" s="6">
        <f>IF($F83=0,"",IF(ISNUMBER(INDEX(Data!Z$1:Z$373,$F83)),INDEX(Data!Z$1:Z$373,$F83),""))</f>
        <v>140.5</v>
      </c>
      <c r="AD83" s="6">
        <f>IF($F83=0,"",IF(ISNUMBER(INDEX(Data!AA$1:AA$373,$F83)),INDEX(Data!AA$1:AA$373,$F83),""))</f>
        <v>154</v>
      </c>
      <c r="AE83" s="6">
        <f>IF($F83=0,"",IF(ISNUMBER(INDEX(Data!AB$1:AB$373,$F83)),INDEX(Data!AB$1:AB$373,$F83),""))</f>
        <v>135.7</v>
      </c>
      <c r="AF83" s="6">
        <f>IF($F83=0,"",IF(ISNUMBER(INDEX(Data!AC$1:AC$373,$F83)),INDEX(Data!AC$1:AC$373,$F83),""))</f>
        <v>139.5</v>
      </c>
      <c r="AG83" s="6">
        <f>IF($F83=0,"",IF(ISNUMBER(INDEX(Data!AD$1:AD$373,$F83)),INDEX(Data!AD$1:AD$373,$F83),""))</f>
        <v>144.2</v>
      </c>
    </row>
    <row r="84" spans="1:33">
      <c r="A84" s="6">
        <v>2019</v>
      </c>
      <c r="B84" s="6">
        <v>8</v>
      </c>
      <c r="C84" s="6" t="s">
        <v>59</v>
      </c>
      <c r="D84" s="9">
        <f t="shared" si="2"/>
        <v>43678</v>
      </c>
      <c r="E84" s="6" t="str">
        <f t="shared" si="3"/>
        <v>Rural+Urban|2019|August</v>
      </c>
      <c r="F84" s="6">
        <f>IFERROR(MATCH(E84,Data!$AE$1:$AE$373,0),0)</f>
        <v>238</v>
      </c>
      <c r="G84" s="6">
        <f>IF($F84=0,"",IF(ISNUMBER(INDEX(Data!D$1:D$373,$F84)),INDEX(Data!D$1:D$373,$F84),""))</f>
        <v>140.1</v>
      </c>
      <c r="H84" s="6">
        <f>IF($F84=0,"",IF(ISNUMBER(INDEX(Data!E$1:E$373,$F84)),INDEX(Data!E$1:E$373,$F84),""))</f>
        <v>160.6</v>
      </c>
      <c r="I84" s="6">
        <f>IF($F84=0,"",IF(ISNUMBER(INDEX(Data!F$1:F$373,$F84)),INDEX(Data!F$1:F$373,$F84),""))</f>
        <v>138.5</v>
      </c>
      <c r="J84" s="6">
        <f>IF($F84=0,"",IF(ISNUMBER(INDEX(Data!G$1:G$373,$F84)),INDEX(Data!G$1:G$373,$F84),""))</f>
        <v>144.7</v>
      </c>
      <c r="K84" s="6">
        <f>IF($F84=0,"",IF(ISNUMBER(INDEX(Data!H$1:H$373,$F84)),INDEX(Data!H$1:H$373,$F84),""))</f>
        <v>122.9</v>
      </c>
      <c r="L84" s="6">
        <f>IF($F84=0,"",IF(ISNUMBER(INDEX(Data!I$1:I$373,$F84)),INDEX(Data!I$1:I$373,$F84),""))</f>
        <v>149.4</v>
      </c>
      <c r="M84" s="6">
        <f>IF($F84=0,"",IF(ISNUMBER(INDEX(Data!J$1:J$373,$F84)),INDEX(Data!J$1:J$373,$F84),""))</f>
        <v>167.4</v>
      </c>
      <c r="N84" s="6">
        <f>IF($F84=0,"",IF(ISNUMBER(INDEX(Data!K$1:K$373,$F84)),INDEX(Data!K$1:K$373,$F84),""))</f>
        <v>130.9</v>
      </c>
      <c r="O84" s="6">
        <f>IF($F84=0,"",IF(ISNUMBER(INDEX(Data!L$1:L$373,$F84)),INDEX(Data!L$1:L$373,$F84),""))</f>
        <v>112</v>
      </c>
      <c r="P84" s="6">
        <f>IF($F84=0,"",IF(ISNUMBER(INDEX(Data!M$1:M$373,$F84)),INDEX(Data!M$1:M$373,$F84),""))</f>
        <v>142.6</v>
      </c>
      <c r="Q84" s="6">
        <f>IF($F84=0,"",IF(ISNUMBER(INDEX(Data!N$1:N$373,$F84)),INDEX(Data!N$1:N$373,$F84),""))</f>
        <v>134.9</v>
      </c>
      <c r="R84" s="6">
        <f>IF($F84=0,"",IF(ISNUMBER(INDEX(Data!O$1:O$373,$F84)),INDEX(Data!O$1:O$373,$F84),""))</f>
        <v>156.6</v>
      </c>
      <c r="S84" s="6">
        <f>IF($F84=0,"",IF(ISNUMBER(INDEX(Data!P$1:P$373,$F84)),INDEX(Data!P$1:P$373,$F84),""))</f>
        <v>145.9</v>
      </c>
      <c r="T84" s="6">
        <f>IF($F84=0,"",IF(ISNUMBER(INDEX(Data!Q$1:Q$373,$F84)),INDEX(Data!Q$1:Q$373,$F84),""))</f>
        <v>165.8</v>
      </c>
      <c r="U84" s="6">
        <f>IF($F84=0,"",IF(ISNUMBER(INDEX(Data!R$1:R$373,$F84)),INDEX(Data!R$1:R$373,$F84),""))</f>
        <v>149.1</v>
      </c>
      <c r="V84" s="6">
        <f>IF($F84=0,"",IF(ISNUMBER(INDEX(Data!S$1:S$373,$F84)),INDEX(Data!S$1:S$373,$F84),""))</f>
        <v>140.6</v>
      </c>
      <c r="W84" s="6">
        <f>IF($F84=0,"",IF(ISNUMBER(INDEX(Data!T$1:T$373,$F84)),INDEX(Data!T$1:T$373,$F84),""))</f>
        <v>147.9</v>
      </c>
      <c r="X84" s="6">
        <f>IF($F84=0,"",IF(ISNUMBER(INDEX(Data!U$1:U$373,$F84)),INDEX(Data!U$1:U$373,$F84),""))</f>
        <v>151.6</v>
      </c>
      <c r="Y84" s="6">
        <f>IF($F84=0,"",IF(ISNUMBER(INDEX(Data!V$1:V$373,$F84)),INDEX(Data!V$1:V$373,$F84),""))</f>
        <v>138.5</v>
      </c>
      <c r="Z84" s="6">
        <f>IF($F84=0,"",IF(ISNUMBER(INDEX(Data!W$1:W$373,$F84)),INDEX(Data!W$1:W$373,$F84),""))</f>
        <v>144.5</v>
      </c>
      <c r="AA84" s="6">
        <f>IF($F84=0,"",IF(ISNUMBER(INDEX(Data!X$1:X$373,$F84)),INDEX(Data!X$1:X$373,$F84),""))</f>
        <v>148.5</v>
      </c>
      <c r="AB84" s="6">
        <f>IF($F84=0,"",IF(ISNUMBER(INDEX(Data!Y$1:Y$373,$F84)),INDEX(Data!Y$1:Y$373,$F84),""))</f>
        <v>125.8</v>
      </c>
      <c r="AC84" s="6">
        <f>IF($F84=0,"",IF(ISNUMBER(INDEX(Data!Z$1:Z$373,$F84)),INDEX(Data!Z$1:Z$373,$F84),""))</f>
        <v>140.9</v>
      </c>
      <c r="AD84" s="6">
        <f>IF($F84=0,"",IF(ISNUMBER(INDEX(Data!AA$1:AA$373,$F84)),INDEX(Data!AA$1:AA$373,$F84),""))</f>
        <v>154.9</v>
      </c>
      <c r="AE84" s="6">
        <f>IF($F84=0,"",IF(ISNUMBER(INDEX(Data!AB$1:AB$373,$F84)),INDEX(Data!AB$1:AB$373,$F84),""))</f>
        <v>138.4</v>
      </c>
      <c r="AF84" s="6">
        <f>IF($F84=0,"",IF(ISNUMBER(INDEX(Data!AC$1:AC$373,$F84)),INDEX(Data!AC$1:AC$373,$F84),""))</f>
        <v>140.2</v>
      </c>
      <c r="AG84" s="6">
        <f>IF($F84=0,"",IF(ISNUMBER(INDEX(Data!AD$1:AD$373,$F84)),INDEX(Data!AD$1:AD$373,$F84),""))</f>
        <v>145</v>
      </c>
    </row>
    <row r="85" spans="1:33">
      <c r="A85" s="6">
        <v>2019</v>
      </c>
      <c r="B85" s="6">
        <v>9</v>
      </c>
      <c r="C85" s="6" t="s">
        <v>60</v>
      </c>
      <c r="D85" s="9">
        <f t="shared" si="2"/>
        <v>43709</v>
      </c>
      <c r="E85" s="6" t="str">
        <f t="shared" si="3"/>
        <v>Rural+Urban|2019|September</v>
      </c>
      <c r="F85" s="6">
        <f>IFERROR(MATCH(E85,Data!$AE$1:$AE$373,0),0)</f>
        <v>241</v>
      </c>
      <c r="G85" s="6">
        <f>IF($F85=0,"",IF(ISNUMBER(INDEX(Data!D$1:D$373,$F85)),INDEX(Data!D$1:D$373,$F85),""))</f>
        <v>140.9</v>
      </c>
      <c r="H85" s="6">
        <f>IF($F85=0,"",IF(ISNUMBER(INDEX(Data!E$1:E$373,$F85)),INDEX(Data!E$1:E$373,$F85),""))</f>
        <v>160.8</v>
      </c>
      <c r="I85" s="6">
        <f>IF($F85=0,"",IF(ISNUMBER(INDEX(Data!F$1:F$373,$F85)),INDEX(Data!F$1:F$373,$F85),""))</f>
        <v>139.6</v>
      </c>
      <c r="J85" s="6">
        <f>IF($F85=0,"",IF(ISNUMBER(INDEX(Data!G$1:G$373,$F85)),INDEX(Data!G$1:G$373,$F85),""))</f>
        <v>145.4</v>
      </c>
      <c r="K85" s="6">
        <f>IF($F85=0,"",IF(ISNUMBER(INDEX(Data!H$1:H$373,$F85)),INDEX(Data!H$1:H$373,$F85),""))</f>
        <v>123.5</v>
      </c>
      <c r="L85" s="6">
        <f>IF($F85=0,"",IF(ISNUMBER(INDEX(Data!I$1:I$373,$F85)),INDEX(Data!I$1:I$373,$F85),""))</f>
        <v>146.6</v>
      </c>
      <c r="M85" s="6">
        <f>IF($F85=0,"",IF(ISNUMBER(INDEX(Data!J$1:J$373,$F85)),INDEX(Data!J$1:J$373,$F85),""))</f>
        <v>173.2</v>
      </c>
      <c r="N85" s="6">
        <f>IF($F85=0,"",IF(ISNUMBER(INDEX(Data!K$1:K$373,$F85)),INDEX(Data!K$1:K$373,$F85),""))</f>
        <v>131.6</v>
      </c>
      <c r="O85" s="6">
        <f>IF($F85=0,"",IF(ISNUMBER(INDEX(Data!L$1:L$373,$F85)),INDEX(Data!L$1:L$373,$F85),""))</f>
        <v>113.2</v>
      </c>
      <c r="P85" s="6">
        <f>IF($F85=0,"",IF(ISNUMBER(INDEX(Data!M$1:M$373,$F85)),INDEX(Data!M$1:M$373,$F85),""))</f>
        <v>144.1</v>
      </c>
      <c r="Q85" s="6">
        <f>IF($F85=0,"",IF(ISNUMBER(INDEX(Data!N$1:N$373,$F85)),INDEX(Data!N$1:N$373,$F85),""))</f>
        <v>135</v>
      </c>
      <c r="R85" s="6">
        <f>IF($F85=0,"",IF(ISNUMBER(INDEX(Data!O$1:O$373,$F85)),INDEX(Data!O$1:O$373,$F85),""))</f>
        <v>156.8</v>
      </c>
      <c r="S85" s="6">
        <f>IF($F85=0,"",IF(ISNUMBER(INDEX(Data!P$1:P$373,$F85)),INDEX(Data!P$1:P$373,$F85),""))</f>
        <v>147</v>
      </c>
      <c r="T85" s="6">
        <f>IF($F85=0,"",IF(ISNUMBER(INDEX(Data!Q$1:Q$373,$F85)),INDEX(Data!Q$1:Q$373,$F85),""))</f>
        <v>166.5</v>
      </c>
      <c r="U85" s="6">
        <f>IF($F85=0,"",IF(ISNUMBER(INDEX(Data!R$1:R$373,$F85)),INDEX(Data!R$1:R$373,$F85),""))</f>
        <v>149.2</v>
      </c>
      <c r="V85" s="6">
        <f>IF($F85=0,"",IF(ISNUMBER(INDEX(Data!S$1:S$373,$F85)),INDEX(Data!S$1:S$373,$F85),""))</f>
        <v>140.6</v>
      </c>
      <c r="W85" s="6">
        <f>IF($F85=0,"",IF(ISNUMBER(INDEX(Data!T$1:T$373,$F85)),INDEX(Data!T$1:T$373,$F85),""))</f>
        <v>147.9</v>
      </c>
      <c r="X85" s="6">
        <f>IF($F85=0,"",IF(ISNUMBER(INDEX(Data!U$1:U$373,$F85)),INDEX(Data!U$1:U$373,$F85),""))</f>
        <v>152.2</v>
      </c>
      <c r="Y85" s="6">
        <f>IF($F85=0,"",IF(ISNUMBER(INDEX(Data!V$1:V$373,$F85)),INDEX(Data!V$1:V$373,$F85),""))</f>
        <v>139.2</v>
      </c>
      <c r="Z85" s="6">
        <f>IF($F85=0,"",IF(ISNUMBER(INDEX(Data!W$1:W$373,$F85)),INDEX(Data!W$1:W$373,$F85),""))</f>
        <v>144.6</v>
      </c>
      <c r="AA85" s="6">
        <f>IF($F85=0,"",IF(ISNUMBER(INDEX(Data!X$1:X$373,$F85)),INDEX(Data!X$1:X$373,$F85),""))</f>
        <v>149</v>
      </c>
      <c r="AB85" s="6">
        <f>IF($F85=0,"",IF(ISNUMBER(INDEX(Data!Y$1:Y$373,$F85)),INDEX(Data!Y$1:Y$373,$F85),""))</f>
        <v>126.1</v>
      </c>
      <c r="AC85" s="6">
        <f>IF($F85=0,"",IF(ISNUMBER(INDEX(Data!Z$1:Z$373,$F85)),INDEX(Data!Z$1:Z$373,$F85),""))</f>
        <v>141.3</v>
      </c>
      <c r="AD85" s="6">
        <f>IF($F85=0,"",IF(ISNUMBER(INDEX(Data!AA$1:AA$373,$F85)),INDEX(Data!AA$1:AA$373,$F85),""))</f>
        <v>155.2</v>
      </c>
      <c r="AE85" s="6">
        <f>IF($F85=0,"",IF(ISNUMBER(INDEX(Data!AB$1:AB$373,$F85)),INDEX(Data!AB$1:AB$373,$F85),""))</f>
        <v>139.7</v>
      </c>
      <c r="AF85" s="6">
        <f>IF($F85=0,"",IF(ISNUMBER(INDEX(Data!AC$1:AC$373,$F85)),INDEX(Data!AC$1:AC$373,$F85),""))</f>
        <v>140.7</v>
      </c>
      <c r="AG85" s="6">
        <f>IF($F85=0,"",IF(ISNUMBER(INDEX(Data!AD$1:AD$373,$F85)),INDEX(Data!AD$1:AD$373,$F85),""))</f>
        <v>145.8</v>
      </c>
    </row>
    <row r="86" spans="1:33">
      <c r="A86" s="6">
        <v>2019</v>
      </c>
      <c r="B86" s="6">
        <v>10</v>
      </c>
      <c r="C86" s="6" t="s">
        <v>61</v>
      </c>
      <c r="D86" s="9">
        <f t="shared" si="2"/>
        <v>43739</v>
      </c>
      <c r="E86" s="6" t="str">
        <f t="shared" si="3"/>
        <v>Rural+Urban|2019|October</v>
      </c>
      <c r="F86" s="6">
        <f>IFERROR(MATCH(E86,Data!$AE$1:$AE$373,0),0)</f>
        <v>244</v>
      </c>
      <c r="G86" s="6">
        <f>IF($F86=0,"",IF(ISNUMBER(INDEX(Data!D$1:D$373,$F86)),INDEX(Data!D$1:D$373,$F86),""))</f>
        <v>141.8</v>
      </c>
      <c r="H86" s="6">
        <f>IF($F86=0,"",IF(ISNUMBER(INDEX(Data!E$1:E$373,$F86)),INDEX(Data!E$1:E$373,$F86),""))</f>
        <v>161</v>
      </c>
      <c r="I86" s="6">
        <f>IF($F86=0,"",IF(ISNUMBER(INDEX(Data!F$1:F$373,$F86)),INDEX(Data!F$1:F$373,$F86),""))</f>
        <v>142.6</v>
      </c>
      <c r="J86" s="6">
        <f>IF($F86=0,"",IF(ISNUMBER(INDEX(Data!G$1:G$373,$F86)),INDEX(Data!G$1:G$373,$F86),""))</f>
        <v>146.2</v>
      </c>
      <c r="K86" s="6">
        <f>IF($F86=0,"",IF(ISNUMBER(INDEX(Data!H$1:H$373,$F86)),INDEX(Data!H$1:H$373,$F86),""))</f>
        <v>123.9</v>
      </c>
      <c r="L86" s="6">
        <f>IF($F86=0,"",IF(ISNUMBER(INDEX(Data!I$1:I$373,$F86)),INDEX(Data!I$1:I$373,$F86),""))</f>
        <v>148</v>
      </c>
      <c r="M86" s="6">
        <f>IF($F86=0,"",IF(ISNUMBER(INDEX(Data!J$1:J$373,$F86)),INDEX(Data!J$1:J$373,$F86),""))</f>
        <v>188.4</v>
      </c>
      <c r="N86" s="6">
        <f>IF($F86=0,"",IF(ISNUMBER(INDEX(Data!K$1:K$373,$F86)),INDEX(Data!K$1:K$373,$F86),""))</f>
        <v>132.5</v>
      </c>
      <c r="O86" s="6">
        <f>IF($F86=0,"",IF(ISNUMBER(INDEX(Data!L$1:L$373,$F86)),INDEX(Data!L$1:L$373,$F86),""))</f>
        <v>114</v>
      </c>
      <c r="P86" s="6">
        <f>IF($F86=0,"",IF(ISNUMBER(INDEX(Data!M$1:M$373,$F86)),INDEX(Data!M$1:M$373,$F86),""))</f>
        <v>145.4</v>
      </c>
      <c r="Q86" s="6">
        <f>IF($F86=0,"",IF(ISNUMBER(INDEX(Data!N$1:N$373,$F86)),INDEX(Data!N$1:N$373,$F86),""))</f>
        <v>135.1</v>
      </c>
      <c r="R86" s="6">
        <f>IF($F86=0,"",IF(ISNUMBER(INDEX(Data!O$1:O$373,$F86)),INDEX(Data!O$1:O$373,$F86),""))</f>
        <v>157.1</v>
      </c>
      <c r="S86" s="6">
        <f>IF($F86=0,"",IF(ISNUMBER(INDEX(Data!P$1:P$373,$F86)),INDEX(Data!P$1:P$373,$F86),""))</f>
        <v>149.6</v>
      </c>
      <c r="T86" s="6">
        <f>IF($F86=0,"",IF(ISNUMBER(INDEX(Data!Q$1:Q$373,$F86)),INDEX(Data!Q$1:Q$373,$F86),""))</f>
        <v>167.1</v>
      </c>
      <c r="U86" s="6">
        <f>IF($F86=0,"",IF(ISNUMBER(INDEX(Data!R$1:R$373,$F86)),INDEX(Data!R$1:R$373,$F86),""))</f>
        <v>149.4</v>
      </c>
      <c r="V86" s="6">
        <f>IF($F86=0,"",IF(ISNUMBER(INDEX(Data!S$1:S$373,$F86)),INDEX(Data!S$1:S$373,$F86),""))</f>
        <v>140.8</v>
      </c>
      <c r="W86" s="6">
        <f>IF($F86=0,"",IF(ISNUMBER(INDEX(Data!T$1:T$373,$F86)),INDEX(Data!T$1:T$373,$F86),""))</f>
        <v>148.2</v>
      </c>
      <c r="X86" s="6">
        <f>IF($F86=0,"",IF(ISNUMBER(INDEX(Data!U$1:U$373,$F86)),INDEX(Data!U$1:U$373,$F86),""))</f>
        <v>153</v>
      </c>
      <c r="Y86" s="6">
        <f>IF($F86=0,"",IF(ISNUMBER(INDEX(Data!V$1:V$373,$F86)),INDEX(Data!V$1:V$373,$F86),""))</f>
        <v>140.6</v>
      </c>
      <c r="Z86" s="6">
        <f>IF($F86=0,"",IF(ISNUMBER(INDEX(Data!W$1:W$373,$F86)),INDEX(Data!W$1:W$373,$F86),""))</f>
        <v>145</v>
      </c>
      <c r="AA86" s="6">
        <f>IF($F86=0,"",IF(ISNUMBER(INDEX(Data!X$1:X$373,$F86)),INDEX(Data!X$1:X$373,$F86),""))</f>
        <v>149.4</v>
      </c>
      <c r="AB86" s="6">
        <f>IF($F86=0,"",IF(ISNUMBER(INDEX(Data!Y$1:Y$373,$F86)),INDEX(Data!Y$1:Y$373,$F86),""))</f>
        <v>126.3</v>
      </c>
      <c r="AC86" s="6">
        <f>IF($F86=0,"",IF(ISNUMBER(INDEX(Data!Z$1:Z$373,$F86)),INDEX(Data!Z$1:Z$373,$F86),""))</f>
        <v>141.7</v>
      </c>
      <c r="AD86" s="6">
        <f>IF($F86=0,"",IF(ISNUMBER(INDEX(Data!AA$1:AA$373,$F86)),INDEX(Data!AA$1:AA$373,$F86),""))</f>
        <v>155.4</v>
      </c>
      <c r="AE86" s="6">
        <f>IF($F86=0,"",IF(ISNUMBER(INDEX(Data!AB$1:AB$373,$F86)),INDEX(Data!AB$1:AB$373,$F86),""))</f>
        <v>140</v>
      </c>
      <c r="AF86" s="6">
        <f>IF($F86=0,"",IF(ISNUMBER(INDEX(Data!AC$1:AC$373,$F86)),INDEX(Data!AC$1:AC$373,$F86),""))</f>
        <v>141</v>
      </c>
      <c r="AG86" s="6">
        <f>IF($F86=0,"",IF(ISNUMBER(INDEX(Data!AD$1:AD$373,$F86)),INDEX(Data!AD$1:AD$373,$F86),""))</f>
        <v>147.2</v>
      </c>
    </row>
    <row r="87" spans="1:33">
      <c r="A87" s="6">
        <v>2019</v>
      </c>
      <c r="B87" s="6">
        <v>11</v>
      </c>
      <c r="C87" s="6" t="s">
        <v>62</v>
      </c>
      <c r="D87" s="9">
        <f t="shared" si="2"/>
        <v>43770</v>
      </c>
      <c r="E87" s="6" t="str">
        <f t="shared" si="3"/>
        <v>Rural+Urban|2019|November</v>
      </c>
      <c r="F87" s="6">
        <f>IFERROR(MATCH(E87,Data!$AE$1:$AE$373,0),0)</f>
        <v>247</v>
      </c>
      <c r="G87" s="6">
        <f>IF($F87=0,"",IF(ISNUMBER(INDEX(Data!D$1:D$373,$F87)),INDEX(Data!D$1:D$373,$F87),""))</f>
        <v>142.5</v>
      </c>
      <c r="H87" s="6">
        <f>IF($F87=0,"",IF(ISNUMBER(INDEX(Data!E$1:E$373,$F87)),INDEX(Data!E$1:E$373,$F87),""))</f>
        <v>163.2</v>
      </c>
      <c r="I87" s="6">
        <f>IF($F87=0,"",IF(ISNUMBER(INDEX(Data!F$1:F$373,$F87)),INDEX(Data!F$1:F$373,$F87),""))</f>
        <v>145.6</v>
      </c>
      <c r="J87" s="6">
        <f>IF($F87=0,"",IF(ISNUMBER(INDEX(Data!G$1:G$373,$F87)),INDEX(Data!G$1:G$373,$F87),""))</f>
        <v>146.7</v>
      </c>
      <c r="K87" s="6">
        <f>IF($F87=0,"",IF(ISNUMBER(INDEX(Data!H$1:H$373,$F87)),INDEX(Data!H$1:H$373,$F87),""))</f>
        <v>124.3</v>
      </c>
      <c r="L87" s="6">
        <f>IF($F87=0,"",IF(ISNUMBER(INDEX(Data!I$1:I$373,$F87)),INDEX(Data!I$1:I$373,$F87),""))</f>
        <v>147.4</v>
      </c>
      <c r="M87" s="6">
        <f>IF($F87=0,"",IF(ISNUMBER(INDEX(Data!J$1:J$373,$F87)),INDEX(Data!J$1:J$373,$F87),""))</f>
        <v>199.6</v>
      </c>
      <c r="N87" s="6">
        <f>IF($F87=0,"",IF(ISNUMBER(INDEX(Data!K$1:K$373,$F87)),INDEX(Data!K$1:K$373,$F87),""))</f>
        <v>135.7</v>
      </c>
      <c r="O87" s="6">
        <f>IF($F87=0,"",IF(ISNUMBER(INDEX(Data!L$1:L$373,$F87)),INDEX(Data!L$1:L$373,$F87),""))</f>
        <v>114.2</v>
      </c>
      <c r="P87" s="6">
        <f>IF($F87=0,"",IF(ISNUMBER(INDEX(Data!M$1:M$373,$F87)),INDEX(Data!M$1:M$373,$F87),""))</f>
        <v>147</v>
      </c>
      <c r="Q87" s="6">
        <f>IF($F87=0,"",IF(ISNUMBER(INDEX(Data!N$1:N$373,$F87)),INDEX(Data!N$1:N$373,$F87),""))</f>
        <v>135.3</v>
      </c>
      <c r="R87" s="6">
        <f>IF($F87=0,"",IF(ISNUMBER(INDEX(Data!O$1:O$373,$F87)),INDEX(Data!O$1:O$373,$F87),""))</f>
        <v>157.5</v>
      </c>
      <c r="S87" s="6">
        <f>IF($F87=0,"",IF(ISNUMBER(INDEX(Data!P$1:P$373,$F87)),INDEX(Data!P$1:P$373,$F87),""))</f>
        <v>151.9</v>
      </c>
      <c r="T87" s="6">
        <f>IF($F87=0,"",IF(ISNUMBER(INDEX(Data!Q$1:Q$373,$F87)),INDEX(Data!Q$1:Q$373,$F87),""))</f>
        <v>167.9</v>
      </c>
      <c r="U87" s="6">
        <f>IF($F87=0,"",IF(ISNUMBER(INDEX(Data!R$1:R$373,$F87)),INDEX(Data!R$1:R$373,$F87),""))</f>
        <v>149.9</v>
      </c>
      <c r="V87" s="6">
        <f>IF($F87=0,"",IF(ISNUMBER(INDEX(Data!S$1:S$373,$F87)),INDEX(Data!S$1:S$373,$F87),""))</f>
        <v>141</v>
      </c>
      <c r="W87" s="6">
        <f>IF($F87=0,"",IF(ISNUMBER(INDEX(Data!T$1:T$373,$F87)),INDEX(Data!T$1:T$373,$F87),""))</f>
        <v>148.6</v>
      </c>
      <c r="X87" s="6">
        <f>IF($F87=0,"",IF(ISNUMBER(INDEX(Data!U$1:U$373,$F87)),INDEX(Data!U$1:U$373,$F87),""))</f>
        <v>153.5</v>
      </c>
      <c r="Y87" s="6">
        <f>IF($F87=0,"",IF(ISNUMBER(INDEX(Data!V$1:V$373,$F87)),INDEX(Data!V$1:V$373,$F87),""))</f>
        <v>142.3</v>
      </c>
      <c r="Z87" s="6">
        <f>IF($F87=0,"",IF(ISNUMBER(INDEX(Data!W$1:W$373,$F87)),INDEX(Data!W$1:W$373,$F87),""))</f>
        <v>145.3</v>
      </c>
      <c r="AA87" s="6">
        <f>IF($F87=0,"",IF(ISNUMBER(INDEX(Data!X$1:X$373,$F87)),INDEX(Data!X$1:X$373,$F87),""))</f>
        <v>149.9</v>
      </c>
      <c r="AB87" s="6">
        <f>IF($F87=0,"",IF(ISNUMBER(INDEX(Data!Y$1:Y$373,$F87)),INDEX(Data!Y$1:Y$373,$F87),""))</f>
        <v>126.6</v>
      </c>
      <c r="AC87" s="6">
        <f>IF($F87=0,"",IF(ISNUMBER(INDEX(Data!Z$1:Z$373,$F87)),INDEX(Data!Z$1:Z$373,$F87),""))</f>
        <v>142.1</v>
      </c>
      <c r="AD87" s="6">
        <f>IF($F87=0,"",IF(ISNUMBER(INDEX(Data!AA$1:AA$373,$F87)),INDEX(Data!AA$1:AA$373,$F87),""))</f>
        <v>155.5</v>
      </c>
      <c r="AE87" s="6">
        <f>IF($F87=0,"",IF(ISNUMBER(INDEX(Data!AB$1:AB$373,$F87)),INDEX(Data!AB$1:AB$373,$F87),""))</f>
        <v>140.3</v>
      </c>
      <c r="AF87" s="6">
        <f>IF($F87=0,"",IF(ISNUMBER(INDEX(Data!AC$1:AC$373,$F87)),INDEX(Data!AC$1:AC$373,$F87),""))</f>
        <v>141.3</v>
      </c>
      <c r="AG87" s="6">
        <f>IF($F87=0,"",IF(ISNUMBER(INDEX(Data!AD$1:AD$373,$F87)),INDEX(Data!AD$1:AD$373,$F87),""))</f>
        <v>148.6</v>
      </c>
    </row>
    <row r="88" spans="1:33">
      <c r="A88" s="6">
        <v>2019</v>
      </c>
      <c r="B88" s="6">
        <v>12</v>
      </c>
      <c r="C88" s="6" t="s">
        <v>63</v>
      </c>
      <c r="D88" s="9">
        <f t="shared" si="2"/>
        <v>43800</v>
      </c>
      <c r="E88" s="6" t="str">
        <f t="shared" si="3"/>
        <v>Rural+Urban|2019|December</v>
      </c>
      <c r="F88" s="6">
        <f>IFERROR(MATCH(E88,Data!$AE$1:$AE$373,0),0)</f>
        <v>250</v>
      </c>
      <c r="G88" s="6">
        <f>IF($F88=0,"",IF(ISNUMBER(INDEX(Data!D$1:D$373,$F88)),INDEX(Data!D$1:D$373,$F88),""))</f>
        <v>143.5</v>
      </c>
      <c r="H88" s="6">
        <f>IF($F88=0,"",IF(ISNUMBER(INDEX(Data!E$1:E$373,$F88)),INDEX(Data!E$1:E$373,$F88),""))</f>
        <v>165</v>
      </c>
      <c r="I88" s="6">
        <f>IF($F88=0,"",IF(ISNUMBER(INDEX(Data!F$1:F$373,$F88)),INDEX(Data!F$1:F$373,$F88),""))</f>
        <v>151.1</v>
      </c>
      <c r="J88" s="6">
        <f>IF($F88=0,"",IF(ISNUMBER(INDEX(Data!G$1:G$373,$F88)),INDEX(Data!G$1:G$373,$F88),""))</f>
        <v>148.3</v>
      </c>
      <c r="K88" s="6">
        <f>IF($F88=0,"",IF(ISNUMBER(INDEX(Data!H$1:H$373,$F88)),INDEX(Data!H$1:H$373,$F88),""))</f>
        <v>125.7</v>
      </c>
      <c r="L88" s="6">
        <f>IF($F88=0,"",IF(ISNUMBER(INDEX(Data!I$1:I$373,$F88)),INDEX(Data!I$1:I$373,$F88),""))</f>
        <v>145.7</v>
      </c>
      <c r="M88" s="6">
        <f>IF($F88=0,"",IF(ISNUMBER(INDEX(Data!J$1:J$373,$F88)),INDEX(Data!J$1:J$373,$F88),""))</f>
        <v>217</v>
      </c>
      <c r="N88" s="6">
        <f>IF($F88=0,"",IF(ISNUMBER(INDEX(Data!K$1:K$373,$F88)),INDEX(Data!K$1:K$373,$F88),""))</f>
        <v>138.3</v>
      </c>
      <c r="O88" s="6">
        <f>IF($F88=0,"",IF(ISNUMBER(INDEX(Data!L$1:L$373,$F88)),INDEX(Data!L$1:L$373,$F88),""))</f>
        <v>114</v>
      </c>
      <c r="P88" s="6">
        <f>IF($F88=0,"",IF(ISNUMBER(INDEX(Data!M$1:M$373,$F88)),INDEX(Data!M$1:M$373,$F88),""))</f>
        <v>148.7</v>
      </c>
      <c r="Q88" s="6">
        <f>IF($F88=0,"",IF(ISNUMBER(INDEX(Data!N$1:N$373,$F88)),INDEX(Data!N$1:N$373,$F88),""))</f>
        <v>135.8</v>
      </c>
      <c r="R88" s="6">
        <f>IF($F88=0,"",IF(ISNUMBER(INDEX(Data!O$1:O$373,$F88)),INDEX(Data!O$1:O$373,$F88),""))</f>
        <v>158</v>
      </c>
      <c r="S88" s="6">
        <f>IF($F88=0,"",IF(ISNUMBER(INDEX(Data!P$1:P$373,$F88)),INDEX(Data!P$1:P$373,$F88),""))</f>
        <v>155</v>
      </c>
      <c r="T88" s="6">
        <f>IF($F88=0,"",IF(ISNUMBER(INDEX(Data!Q$1:Q$373,$F88)),INDEX(Data!Q$1:Q$373,$F88),""))</f>
        <v>168.5</v>
      </c>
      <c r="U88" s="6">
        <f>IF($F88=0,"",IF(ISNUMBER(INDEX(Data!R$1:R$373,$F88)),INDEX(Data!R$1:R$373,$F88),""))</f>
        <v>150.3</v>
      </c>
      <c r="V88" s="6">
        <f>IF($F88=0,"",IF(ISNUMBER(INDEX(Data!S$1:S$373,$F88)),INDEX(Data!S$1:S$373,$F88),""))</f>
        <v>141.3</v>
      </c>
      <c r="W88" s="6">
        <f>IF($F88=0,"",IF(ISNUMBER(INDEX(Data!T$1:T$373,$F88)),INDEX(Data!T$1:T$373,$F88),""))</f>
        <v>149</v>
      </c>
      <c r="X88" s="6">
        <f>IF($F88=0,"",IF(ISNUMBER(INDEX(Data!U$1:U$373,$F88)),INDEX(Data!U$1:U$373,$F88),""))</f>
        <v>152.8</v>
      </c>
      <c r="Y88" s="6">
        <f>IF($F88=0,"",IF(ISNUMBER(INDEX(Data!V$1:V$373,$F88)),INDEX(Data!V$1:V$373,$F88),""))</f>
        <v>143.7</v>
      </c>
      <c r="Z88" s="6">
        <f>IF($F88=0,"",IF(ISNUMBER(INDEX(Data!W$1:W$373,$F88)),INDEX(Data!W$1:W$373,$F88),""))</f>
        <v>145.8</v>
      </c>
      <c r="AA88" s="6">
        <f>IF($F88=0,"",IF(ISNUMBER(INDEX(Data!X$1:X$373,$F88)),INDEX(Data!X$1:X$373,$F88),""))</f>
        <v>150.4</v>
      </c>
      <c r="AB88" s="6">
        <f>IF($F88=0,"",IF(ISNUMBER(INDEX(Data!Y$1:Y$373,$F88)),INDEX(Data!Y$1:Y$373,$F88),""))</f>
        <v>129.8</v>
      </c>
      <c r="AC88" s="6">
        <f>IF($F88=0,"",IF(ISNUMBER(INDEX(Data!Z$1:Z$373,$F88)),INDEX(Data!Z$1:Z$373,$F88),""))</f>
        <v>142.3</v>
      </c>
      <c r="AD88" s="6">
        <f>IF($F88=0,"",IF(ISNUMBER(INDEX(Data!AA$1:AA$373,$F88)),INDEX(Data!AA$1:AA$373,$F88),""))</f>
        <v>155.7</v>
      </c>
      <c r="AE88" s="6">
        <f>IF($F88=0,"",IF(ISNUMBER(INDEX(Data!AB$1:AB$373,$F88)),INDEX(Data!AB$1:AB$373,$F88),""))</f>
        <v>140.4</v>
      </c>
      <c r="AF88" s="6">
        <f>IF($F88=0,"",IF(ISNUMBER(INDEX(Data!AC$1:AC$373,$F88)),INDEX(Data!AC$1:AC$373,$F88),""))</f>
        <v>142.5</v>
      </c>
      <c r="AG88" s="6">
        <f>IF($F88=0,"",IF(ISNUMBER(INDEX(Data!AD$1:AD$373,$F88)),INDEX(Data!AD$1:AD$373,$F88),""))</f>
        <v>150.4</v>
      </c>
    </row>
    <row r="89" spans="1:33">
      <c r="A89" s="6">
        <v>2020</v>
      </c>
      <c r="B89" s="6">
        <v>1</v>
      </c>
      <c r="C89" s="6" t="s">
        <v>50</v>
      </c>
      <c r="D89" s="9">
        <f t="shared" si="2"/>
        <v>43831</v>
      </c>
      <c r="E89" s="6" t="str">
        <f t="shared" si="3"/>
        <v>Rural+Urban|2020|January</v>
      </c>
      <c r="F89" s="6">
        <f>IFERROR(MATCH(E89,Data!$AE$1:$AE$373,0),0)</f>
        <v>253</v>
      </c>
      <c r="G89" s="6">
        <f>IF($F89=0,"",IF(ISNUMBER(INDEX(Data!D$1:D$373,$F89)),INDEX(Data!D$1:D$373,$F89),""))</f>
        <v>144.3</v>
      </c>
      <c r="H89" s="6">
        <f>IF($F89=0,"",IF(ISNUMBER(INDEX(Data!E$1:E$373,$F89)),INDEX(Data!E$1:E$373,$F89),""))</f>
        <v>167.4</v>
      </c>
      <c r="I89" s="6">
        <f>IF($F89=0,"",IF(ISNUMBER(INDEX(Data!F$1:F$373,$F89)),INDEX(Data!F$1:F$373,$F89),""))</f>
        <v>154.9</v>
      </c>
      <c r="J89" s="6">
        <f>IF($F89=0,"",IF(ISNUMBER(INDEX(Data!G$1:G$373,$F89)),INDEX(Data!G$1:G$373,$F89),""))</f>
        <v>150.1</v>
      </c>
      <c r="K89" s="6">
        <f>IF($F89=0,"",IF(ISNUMBER(INDEX(Data!H$1:H$373,$F89)),INDEX(Data!H$1:H$373,$F89),""))</f>
        <v>129.9</v>
      </c>
      <c r="L89" s="6">
        <f>IF($F89=0,"",IF(ISNUMBER(INDEX(Data!I$1:I$373,$F89)),INDEX(Data!I$1:I$373,$F89),""))</f>
        <v>143.2</v>
      </c>
      <c r="M89" s="6">
        <f>IF($F89=0,"",IF(ISNUMBER(INDEX(Data!J$1:J$373,$F89)),INDEX(Data!J$1:J$373,$F89),""))</f>
        <v>197</v>
      </c>
      <c r="N89" s="6">
        <f>IF($F89=0,"",IF(ISNUMBER(INDEX(Data!K$1:K$373,$F89)),INDEX(Data!K$1:K$373,$F89),""))</f>
        <v>140.4</v>
      </c>
      <c r="O89" s="6">
        <f>IF($F89=0,"",IF(ISNUMBER(INDEX(Data!L$1:L$373,$F89)),INDEX(Data!L$1:L$373,$F89),""))</f>
        <v>114.1</v>
      </c>
      <c r="P89" s="6">
        <f>IF($F89=0,"",IF(ISNUMBER(INDEX(Data!M$1:M$373,$F89)),INDEX(Data!M$1:M$373,$F89),""))</f>
        <v>150.9</v>
      </c>
      <c r="Q89" s="6">
        <f>IF($F89=0,"",IF(ISNUMBER(INDEX(Data!N$1:N$373,$F89)),INDEX(Data!N$1:N$373,$F89),""))</f>
        <v>136.1</v>
      </c>
      <c r="R89" s="6">
        <f>IF($F89=0,"",IF(ISNUMBER(INDEX(Data!O$1:O$373,$F89)),INDEX(Data!O$1:O$373,$F89),""))</f>
        <v>158.6</v>
      </c>
      <c r="S89" s="6">
        <f>IF($F89=0,"",IF(ISNUMBER(INDEX(Data!P$1:P$373,$F89)),INDEX(Data!P$1:P$373,$F89),""))</f>
        <v>153.5</v>
      </c>
      <c r="T89" s="6">
        <f>IF($F89=0,"",IF(ISNUMBER(INDEX(Data!Q$1:Q$373,$F89)),INDEX(Data!Q$1:Q$373,$F89),""))</f>
        <v>169.2</v>
      </c>
      <c r="U89" s="6">
        <f>IF($F89=0,"",IF(ISNUMBER(INDEX(Data!R$1:R$373,$F89)),INDEX(Data!R$1:R$373,$F89),""))</f>
        <v>150.5</v>
      </c>
      <c r="V89" s="6">
        <f>IF($F89=0,"",IF(ISNUMBER(INDEX(Data!S$1:S$373,$F89)),INDEX(Data!S$1:S$373,$F89),""))</f>
        <v>141.5</v>
      </c>
      <c r="W89" s="6">
        <f>IF($F89=0,"",IF(ISNUMBER(INDEX(Data!T$1:T$373,$F89)),INDEX(Data!T$1:T$373,$F89),""))</f>
        <v>149.2</v>
      </c>
      <c r="X89" s="6">
        <f>IF($F89=0,"",IF(ISNUMBER(INDEX(Data!U$1:U$373,$F89)),INDEX(Data!U$1:U$373,$F89),""))</f>
        <v>153.9</v>
      </c>
      <c r="Y89" s="6">
        <f>IF($F89=0,"",IF(ISNUMBER(INDEX(Data!V$1:V$373,$F89)),INDEX(Data!V$1:V$373,$F89),""))</f>
        <v>144.6</v>
      </c>
      <c r="Z89" s="6">
        <f>IF($F89=0,"",IF(ISNUMBER(INDEX(Data!W$1:W$373,$F89)),INDEX(Data!W$1:W$373,$F89),""))</f>
        <v>146.2</v>
      </c>
      <c r="AA89" s="6">
        <f>IF($F89=0,"",IF(ISNUMBER(INDEX(Data!X$1:X$373,$F89)),INDEX(Data!X$1:X$373,$F89),""))</f>
        <v>151.2</v>
      </c>
      <c r="AB89" s="6">
        <f>IF($F89=0,"",IF(ISNUMBER(INDEX(Data!Y$1:Y$373,$F89)),INDEX(Data!Y$1:Y$373,$F89),""))</f>
        <v>130.9</v>
      </c>
      <c r="AC89" s="6">
        <f>IF($F89=0,"",IF(ISNUMBER(INDEX(Data!Z$1:Z$373,$F89)),INDEX(Data!Z$1:Z$373,$F89),""))</f>
        <v>142.8</v>
      </c>
      <c r="AD89" s="6">
        <f>IF($F89=0,"",IF(ISNUMBER(INDEX(Data!AA$1:AA$373,$F89)),INDEX(Data!AA$1:AA$373,$F89),""))</f>
        <v>156.1</v>
      </c>
      <c r="AE89" s="6">
        <f>IF($F89=0,"",IF(ISNUMBER(INDEX(Data!AB$1:AB$373,$F89)),INDEX(Data!AB$1:AB$373,$F89),""))</f>
        <v>142.3</v>
      </c>
      <c r="AF89" s="6">
        <f>IF($F89=0,"",IF(ISNUMBER(INDEX(Data!AC$1:AC$373,$F89)),INDEX(Data!AC$1:AC$373,$F89),""))</f>
        <v>143.4</v>
      </c>
      <c r="AG89" s="6">
        <f>IF($F89=0,"",IF(ISNUMBER(INDEX(Data!AD$1:AD$373,$F89)),INDEX(Data!AD$1:AD$373,$F89),""))</f>
        <v>150.2</v>
      </c>
    </row>
    <row r="90" spans="1:33">
      <c r="A90" s="6">
        <v>2020</v>
      </c>
      <c r="B90" s="6">
        <v>2</v>
      </c>
      <c r="C90" s="6" t="s">
        <v>53</v>
      </c>
      <c r="D90" s="9">
        <f t="shared" si="2"/>
        <v>43862</v>
      </c>
      <c r="E90" s="6" t="str">
        <f t="shared" si="3"/>
        <v>Rural+Urban|2020|February</v>
      </c>
      <c r="F90" s="6">
        <f>IFERROR(MATCH(E90,Data!$AE$1:$AE$373,0),0)</f>
        <v>256</v>
      </c>
      <c r="G90" s="6">
        <f>IF($F90=0,"",IF(ISNUMBER(INDEX(Data!D$1:D$373,$F90)),INDEX(Data!D$1:D$373,$F90),""))</f>
        <v>144.8</v>
      </c>
      <c r="H90" s="6">
        <f>IF($F90=0,"",IF(ISNUMBER(INDEX(Data!E$1:E$373,$F90)),INDEX(Data!E$1:E$373,$F90),""))</f>
        <v>167.5</v>
      </c>
      <c r="I90" s="6">
        <f>IF($F90=0,"",IF(ISNUMBER(INDEX(Data!F$1:F$373,$F90)),INDEX(Data!F$1:F$373,$F90),""))</f>
        <v>151.8</v>
      </c>
      <c r="J90" s="6">
        <f>IF($F90=0,"",IF(ISNUMBER(INDEX(Data!G$1:G$373,$F90)),INDEX(Data!G$1:G$373,$F90),""))</f>
        <v>150.8</v>
      </c>
      <c r="K90" s="6">
        <f>IF($F90=0,"",IF(ISNUMBER(INDEX(Data!H$1:H$373,$F90)),INDEX(Data!H$1:H$373,$F90),""))</f>
        <v>131.4</v>
      </c>
      <c r="L90" s="6">
        <f>IF($F90=0,"",IF(ISNUMBER(INDEX(Data!I$1:I$373,$F90)),INDEX(Data!I$1:I$373,$F90),""))</f>
        <v>141.8</v>
      </c>
      <c r="M90" s="6">
        <f>IF($F90=0,"",IF(ISNUMBER(INDEX(Data!J$1:J$373,$F90)),INDEX(Data!J$1:J$373,$F90),""))</f>
        <v>170.7</v>
      </c>
      <c r="N90" s="6">
        <f>IF($F90=0,"",IF(ISNUMBER(INDEX(Data!K$1:K$373,$F90)),INDEX(Data!K$1:K$373,$F90),""))</f>
        <v>141.1</v>
      </c>
      <c r="O90" s="6">
        <f>IF($F90=0,"",IF(ISNUMBER(INDEX(Data!L$1:L$373,$F90)),INDEX(Data!L$1:L$373,$F90),""))</f>
        <v>113.6</v>
      </c>
      <c r="P90" s="6">
        <f>IF($F90=0,"",IF(ISNUMBER(INDEX(Data!M$1:M$373,$F90)),INDEX(Data!M$1:M$373,$F90),""))</f>
        <v>152</v>
      </c>
      <c r="Q90" s="6">
        <f>IF($F90=0,"",IF(ISNUMBER(INDEX(Data!N$1:N$373,$F90)),INDEX(Data!N$1:N$373,$F90),""))</f>
        <v>136.5</v>
      </c>
      <c r="R90" s="6">
        <f>IF($F90=0,"",IF(ISNUMBER(INDEX(Data!O$1:O$373,$F90)),INDEX(Data!O$1:O$373,$F90),""))</f>
        <v>159.1</v>
      </c>
      <c r="S90" s="6">
        <f>IF($F90=0,"",IF(ISNUMBER(INDEX(Data!P$1:P$373,$F90)),INDEX(Data!P$1:P$373,$F90),""))</f>
        <v>150.5</v>
      </c>
      <c r="T90" s="6">
        <f>IF($F90=0,"",IF(ISNUMBER(INDEX(Data!Q$1:Q$373,$F90)),INDEX(Data!Q$1:Q$373,$F90),""))</f>
        <v>170.1</v>
      </c>
      <c r="U90" s="6">
        <f>IF($F90=0,"",IF(ISNUMBER(INDEX(Data!R$1:R$373,$F90)),INDEX(Data!R$1:R$373,$F90),""))</f>
        <v>150.8</v>
      </c>
      <c r="V90" s="6">
        <f>IF($F90=0,"",IF(ISNUMBER(INDEX(Data!S$1:S$373,$F90)),INDEX(Data!S$1:S$373,$F90),""))</f>
        <v>141.7</v>
      </c>
      <c r="W90" s="6">
        <f>IF($F90=0,"",IF(ISNUMBER(INDEX(Data!T$1:T$373,$F90)),INDEX(Data!T$1:T$373,$F90),""))</f>
        <v>149.5</v>
      </c>
      <c r="X90" s="6">
        <f>IF($F90=0,"",IF(ISNUMBER(INDEX(Data!U$1:U$373,$F90)),INDEX(Data!U$1:U$373,$F90),""))</f>
        <v>154.8</v>
      </c>
      <c r="Y90" s="6">
        <f>IF($F90=0,"",IF(ISNUMBER(INDEX(Data!V$1:V$373,$F90)),INDEX(Data!V$1:V$373,$F90),""))</f>
        <v>147.2</v>
      </c>
      <c r="Z90" s="6">
        <f>IF($F90=0,"",IF(ISNUMBER(INDEX(Data!W$1:W$373,$F90)),INDEX(Data!W$1:W$373,$F90),""))</f>
        <v>146.4</v>
      </c>
      <c r="AA90" s="6">
        <f>IF($F90=0,"",IF(ISNUMBER(INDEX(Data!X$1:X$373,$F90)),INDEX(Data!X$1:X$373,$F90),""))</f>
        <v>151.7</v>
      </c>
      <c r="AB90" s="6">
        <f>IF($F90=0,"",IF(ISNUMBER(INDEX(Data!Y$1:Y$373,$F90)),INDEX(Data!Y$1:Y$373,$F90),""))</f>
        <v>130.3</v>
      </c>
      <c r="AC90" s="6">
        <f>IF($F90=0,"",IF(ISNUMBER(INDEX(Data!Z$1:Z$373,$F90)),INDEX(Data!Z$1:Z$373,$F90),""))</f>
        <v>143.2</v>
      </c>
      <c r="AD90" s="6">
        <f>IF($F90=0,"",IF(ISNUMBER(INDEX(Data!AA$1:AA$373,$F90)),INDEX(Data!AA$1:AA$373,$F90),""))</f>
        <v>156.2</v>
      </c>
      <c r="AE90" s="6">
        <f>IF($F90=0,"",IF(ISNUMBER(INDEX(Data!AB$1:AB$373,$F90)),INDEX(Data!AB$1:AB$373,$F90),""))</f>
        <v>143.4</v>
      </c>
      <c r="AF90" s="6">
        <f>IF($F90=0,"",IF(ISNUMBER(INDEX(Data!AC$1:AC$373,$F90)),INDEX(Data!AC$1:AC$373,$F90),""))</f>
        <v>143.6</v>
      </c>
      <c r="AG90" s="6">
        <f>IF($F90=0,"",IF(ISNUMBER(INDEX(Data!AD$1:AD$373,$F90)),INDEX(Data!AD$1:AD$373,$F90),""))</f>
        <v>149.1</v>
      </c>
    </row>
    <row r="91" spans="1:33">
      <c r="A91" s="6">
        <v>2020</v>
      </c>
      <c r="B91" s="6">
        <v>3</v>
      </c>
      <c r="C91" s="6" t="s">
        <v>54</v>
      </c>
      <c r="D91" s="9">
        <f t="shared" si="2"/>
        <v>43891</v>
      </c>
      <c r="E91" s="6" t="str">
        <f t="shared" si="3"/>
        <v>Rural+Urban|2020|March</v>
      </c>
      <c r="F91" s="6">
        <f>IFERROR(MATCH(E91,Data!$AE$1:$AE$373,0),0)</f>
        <v>259</v>
      </c>
      <c r="G91" s="6">
        <f>IF($F91=0,"",IF(ISNUMBER(INDEX(Data!D$1:D$373,$F91)),INDEX(Data!D$1:D$373,$F91),""))</f>
        <v>145.1</v>
      </c>
      <c r="H91" s="6">
        <f>IF($F91=0,"",IF(ISNUMBER(INDEX(Data!E$1:E$373,$F91)),INDEX(Data!E$1:E$373,$F91),""))</f>
        <v>167</v>
      </c>
      <c r="I91" s="6">
        <f>IF($F91=0,"",IF(ISNUMBER(INDEX(Data!F$1:F$373,$F91)),INDEX(Data!F$1:F$373,$F91),""))</f>
        <v>148.1</v>
      </c>
      <c r="J91" s="6">
        <f>IF($F91=0,"",IF(ISNUMBER(INDEX(Data!G$1:G$373,$F91)),INDEX(Data!G$1:G$373,$F91),""))</f>
        <v>151.5</v>
      </c>
      <c r="K91" s="6">
        <f>IF($F91=0,"",IF(ISNUMBER(INDEX(Data!H$1:H$373,$F91)),INDEX(Data!H$1:H$373,$F91),""))</f>
        <v>131.2</v>
      </c>
      <c r="L91" s="6">
        <f>IF($F91=0,"",IF(ISNUMBER(INDEX(Data!I$1:I$373,$F91)),INDEX(Data!I$1:I$373,$F91),""))</f>
        <v>142.5</v>
      </c>
      <c r="M91" s="6">
        <f>IF($F91=0,"",IF(ISNUMBER(INDEX(Data!J$1:J$373,$F91)),INDEX(Data!J$1:J$373,$F91),""))</f>
        <v>157.3</v>
      </c>
      <c r="N91" s="6">
        <f>IF($F91=0,"",IF(ISNUMBER(INDEX(Data!K$1:K$373,$F91)),INDEX(Data!K$1:K$373,$F91),""))</f>
        <v>141.1</v>
      </c>
      <c r="O91" s="6">
        <f>IF($F91=0,"",IF(ISNUMBER(INDEX(Data!L$1:L$373,$F91)),INDEX(Data!L$1:L$373,$F91),""))</f>
        <v>113.2</v>
      </c>
      <c r="P91" s="6">
        <f>IF($F91=0,"",IF(ISNUMBER(INDEX(Data!M$1:M$373,$F91)),INDEX(Data!M$1:M$373,$F91),""))</f>
        <v>153.2</v>
      </c>
      <c r="Q91" s="6">
        <f>IF($F91=0,"",IF(ISNUMBER(INDEX(Data!N$1:N$373,$F91)),INDEX(Data!N$1:N$373,$F91),""))</f>
        <v>136.7</v>
      </c>
      <c r="R91" s="6">
        <f>IF($F91=0,"",IF(ISNUMBER(INDEX(Data!O$1:O$373,$F91)),INDEX(Data!O$1:O$373,$F91),""))</f>
        <v>159.6</v>
      </c>
      <c r="S91" s="6">
        <f>IF($F91=0,"",IF(ISNUMBER(INDEX(Data!P$1:P$373,$F91)),INDEX(Data!P$1:P$373,$F91),""))</f>
        <v>148.9</v>
      </c>
      <c r="T91" s="6">
        <f>IF($F91=0,"",IF(ISNUMBER(INDEX(Data!Q$1:Q$373,$F91)),INDEX(Data!Q$1:Q$373,$F91),""))</f>
        <v>171.2</v>
      </c>
      <c r="U91" s="6">
        <f>IF($F91=0,"",IF(ISNUMBER(INDEX(Data!R$1:R$373,$F91)),INDEX(Data!R$1:R$373,$F91),""))</f>
        <v>151.2</v>
      </c>
      <c r="V91" s="6">
        <f>IF($F91=0,"",IF(ISNUMBER(INDEX(Data!S$1:S$373,$F91)),INDEX(Data!S$1:S$373,$F91),""))</f>
        <v>141.9</v>
      </c>
      <c r="W91" s="6">
        <f>IF($F91=0,"",IF(ISNUMBER(INDEX(Data!T$1:T$373,$F91)),INDEX(Data!T$1:T$373,$F91),""))</f>
        <v>149.8</v>
      </c>
      <c r="X91" s="6">
        <f>IF($F91=0,"",IF(ISNUMBER(INDEX(Data!U$1:U$373,$F91)),INDEX(Data!U$1:U$373,$F91),""))</f>
        <v>154.5</v>
      </c>
      <c r="Y91" s="6">
        <f>IF($F91=0,"",IF(ISNUMBER(INDEX(Data!V$1:V$373,$F91)),INDEX(Data!V$1:V$373,$F91),""))</f>
        <v>148.9</v>
      </c>
      <c r="Z91" s="6">
        <f>IF($F91=0,"",IF(ISNUMBER(INDEX(Data!W$1:W$373,$F91)),INDEX(Data!W$1:W$373,$F91),""))</f>
        <v>146.4</v>
      </c>
      <c r="AA91" s="6">
        <f>IF($F91=0,"",IF(ISNUMBER(INDEX(Data!X$1:X$373,$F91)),INDEX(Data!X$1:X$373,$F91),""))</f>
        <v>152.3</v>
      </c>
      <c r="AB91" s="6">
        <f>IF($F91=0,"",IF(ISNUMBER(INDEX(Data!Y$1:Y$373,$F91)),INDEX(Data!Y$1:Y$373,$F91),""))</f>
        <v>129.9</v>
      </c>
      <c r="AC91" s="6">
        <f>IF($F91=0,"",IF(ISNUMBER(INDEX(Data!Z$1:Z$373,$F91)),INDEX(Data!Z$1:Z$373,$F91),""))</f>
        <v>143.7</v>
      </c>
      <c r="AD91" s="6">
        <f>IF($F91=0,"",IF(ISNUMBER(INDEX(Data!AA$1:AA$373,$F91)),INDEX(Data!AA$1:AA$373,$F91),""))</f>
        <v>156.1</v>
      </c>
      <c r="AE91" s="6">
        <f>IF($F91=0,"",IF(ISNUMBER(INDEX(Data!AB$1:AB$373,$F91)),INDEX(Data!AB$1:AB$373,$F91),""))</f>
        <v>145.2</v>
      </c>
      <c r="AF91" s="6">
        <f>IF($F91=0,"",IF(ISNUMBER(INDEX(Data!AC$1:AC$373,$F91)),INDEX(Data!AC$1:AC$373,$F91),""))</f>
        <v>143.8</v>
      </c>
      <c r="AG91" s="6">
        <f>IF($F91=0,"",IF(ISNUMBER(INDEX(Data!AD$1:AD$373,$F91)),INDEX(Data!AD$1:AD$373,$F91),""))</f>
        <v>148.6</v>
      </c>
    </row>
    <row r="92" spans="1:33">
      <c r="A92" s="6">
        <v>2020</v>
      </c>
      <c r="B92" s="6">
        <v>4</v>
      </c>
      <c r="C92" s="6" t="s">
        <v>55</v>
      </c>
      <c r="D92" s="9">
        <f t="shared" si="2"/>
        <v>43922</v>
      </c>
      <c r="E92" s="6" t="str">
        <f t="shared" si="3"/>
        <v>Rural+Urban|2020|April</v>
      </c>
      <c r="F92" s="6">
        <f>IFERROR(MATCH(E92,Data!$AE$1:$AE$373,0),0)</f>
        <v>262</v>
      </c>
      <c r="G92" s="6">
        <f>IF($F92=0,"",IF(ISNUMBER(INDEX(Data!D$1:D$373,$F92)),INDEX(Data!D$1:D$373,$F92),""))</f>
        <v>148.7</v>
      </c>
      <c r="H92" s="6" t="str">
        <f>IF($F92=0,"",IF(ISNUMBER(INDEX(Data!E$1:E$373,$F92)),INDEX(Data!E$1:E$373,$F92),""))</f>
        <v/>
      </c>
      <c r="I92" s="6">
        <f>IF($F92=0,"",IF(ISNUMBER(INDEX(Data!F$1:F$373,$F92)),INDEX(Data!F$1:F$373,$F92),""))</f>
        <v>148.8</v>
      </c>
      <c r="J92" s="6">
        <f>IF($F92=0,"",IF(ISNUMBER(INDEX(Data!G$1:G$373,$F92)),INDEX(Data!G$1:G$373,$F92),""))</f>
        <v>155.6</v>
      </c>
      <c r="K92" s="6">
        <f>IF($F92=0,"",IF(ISNUMBER(INDEX(Data!H$1:H$373,$F92)),INDEX(Data!H$1:H$373,$F92),""))</f>
        <v>135.1</v>
      </c>
      <c r="L92" s="6">
        <f>IF($F92=0,"",IF(ISNUMBER(INDEX(Data!I$1:I$373,$F92)),INDEX(Data!I$1:I$373,$F92),""))</f>
        <v>149.9</v>
      </c>
      <c r="M92" s="6">
        <f>IF($F92=0,"",IF(ISNUMBER(INDEX(Data!J$1:J$373,$F92)),INDEX(Data!J$1:J$373,$F92),""))</f>
        <v>168.6</v>
      </c>
      <c r="N92" s="6">
        <f>IF($F92=0,"",IF(ISNUMBER(INDEX(Data!K$1:K$373,$F92)),INDEX(Data!K$1:K$373,$F92),""))</f>
        <v>150.4</v>
      </c>
      <c r="O92" s="6">
        <f>IF($F92=0,"",IF(ISNUMBER(INDEX(Data!L$1:L$373,$F92)),INDEX(Data!L$1:L$373,$F92),""))</f>
        <v>120.3</v>
      </c>
      <c r="P92" s="6">
        <f>IF($F92=0,"",IF(ISNUMBER(INDEX(Data!M$1:M$373,$F92)),INDEX(Data!M$1:M$373,$F92),""))</f>
        <v>157.1</v>
      </c>
      <c r="Q92" s="6">
        <f>IF($F92=0,"",IF(ISNUMBER(INDEX(Data!N$1:N$373,$F92)),INDEX(Data!N$1:N$373,$F92),""))</f>
        <v>136.8</v>
      </c>
      <c r="R92" s="6" t="str">
        <f>IF($F92=0,"",IF(ISNUMBER(INDEX(Data!O$1:O$373,$F92)),INDEX(Data!O$1:O$373,$F92),""))</f>
        <v/>
      </c>
      <c r="S92" s="6">
        <f>IF($F92=0,"",IF(ISNUMBER(INDEX(Data!P$1:P$373,$F92)),INDEX(Data!P$1:P$373,$F92),""))</f>
        <v>151.4</v>
      </c>
      <c r="T92" s="6" t="str">
        <f>IF($F92=0,"",IF(ISNUMBER(INDEX(Data!Q$1:Q$373,$F92)),INDEX(Data!Q$1:Q$373,$F92),""))</f>
        <v/>
      </c>
      <c r="U92" s="6" t="str">
        <f>IF($F92=0,"",IF(ISNUMBER(INDEX(Data!R$1:R$373,$F92)),INDEX(Data!R$1:R$373,$F92),""))</f>
        <v/>
      </c>
      <c r="V92" s="6" t="str">
        <f>IF($F92=0,"",IF(ISNUMBER(INDEX(Data!S$1:S$373,$F92)),INDEX(Data!S$1:S$373,$F92),""))</f>
        <v/>
      </c>
      <c r="W92" s="6" t="str">
        <f>IF($F92=0,"",IF(ISNUMBER(INDEX(Data!T$1:T$373,$F92)),INDEX(Data!T$1:T$373,$F92),""))</f>
        <v/>
      </c>
      <c r="X92" s="6">
        <f>IF($F92=0,"",IF(ISNUMBER(INDEX(Data!U$1:U$373,$F92)),INDEX(Data!U$1:U$373,$F92),""))</f>
        <v>155.6</v>
      </c>
      <c r="Y92" s="6">
        <f>IF($F92=0,"",IF(ISNUMBER(INDEX(Data!V$1:V$373,$F92)),INDEX(Data!V$1:V$373,$F92),""))</f>
        <v>144.1</v>
      </c>
      <c r="Z92" s="6" t="str">
        <f>IF($F92=0,"",IF(ISNUMBER(INDEX(Data!W$1:W$373,$F92)),INDEX(Data!W$1:W$373,$F92),""))</f>
        <v/>
      </c>
      <c r="AA92" s="6">
        <f>IF($F92=0,"",IF(ISNUMBER(INDEX(Data!X$1:X$373,$F92)),INDEX(Data!X$1:X$373,$F92),""))</f>
        <v>150.7</v>
      </c>
      <c r="AB92" s="6" t="str">
        <f>IF($F92=0,"",IF(ISNUMBER(INDEX(Data!Y$1:Y$373,$F92)),INDEX(Data!Y$1:Y$373,$F92),""))</f>
        <v/>
      </c>
      <c r="AC92" s="6" t="str">
        <f>IF($F92=0,"",IF(ISNUMBER(INDEX(Data!Z$1:Z$373,$F92)),INDEX(Data!Z$1:Z$373,$F92),""))</f>
        <v/>
      </c>
      <c r="AD92" s="6" t="str">
        <f>IF($F92=0,"",IF(ISNUMBER(INDEX(Data!AA$1:AA$373,$F92)),INDEX(Data!AA$1:AA$373,$F92),""))</f>
        <v/>
      </c>
      <c r="AE92" s="6" t="str">
        <f>IF($F92=0,"",IF(ISNUMBER(INDEX(Data!AB$1:AB$373,$F92)),INDEX(Data!AB$1:AB$373,$F92),""))</f>
        <v/>
      </c>
      <c r="AF92" s="6" t="str">
        <f>IF($F92=0,"",IF(ISNUMBER(INDEX(Data!AC$1:AC$373,$F92)),INDEX(Data!AC$1:AC$373,$F92),""))</f>
        <v/>
      </c>
      <c r="AG92" s="6" t="str">
        <f>IF($F92=0,"",IF(ISNUMBER(INDEX(Data!AD$1:AD$373,$F92)),INDEX(Data!AD$1:AD$373,$F92),""))</f>
        <v/>
      </c>
    </row>
    <row r="93" spans="1:33">
      <c r="A93" s="6">
        <v>2020</v>
      </c>
      <c r="B93" s="6">
        <v>5</v>
      </c>
      <c r="C93" s="6" t="s">
        <v>56</v>
      </c>
      <c r="D93" s="9">
        <f t="shared" si="2"/>
        <v>43952</v>
      </c>
      <c r="E93" s="6" t="str">
        <f t="shared" si="3"/>
        <v>Rural+Urban|2020|May</v>
      </c>
      <c r="F93" s="6">
        <f>IFERROR(MATCH(E93,Data!$AE$1:$AE$373,0),0)</f>
        <v>265</v>
      </c>
      <c r="G93" s="6" t="str">
        <f>IF($F93=0,"",IF(ISNUMBER(INDEX(Data!D$1:D$373,$F93)),INDEX(Data!D$1:D$373,$F93),""))</f>
        <v/>
      </c>
      <c r="H93" s="6" t="str">
        <f>IF($F93=0,"",IF(ISNUMBER(INDEX(Data!E$1:E$373,$F93)),INDEX(Data!E$1:E$373,$F93),""))</f>
        <v/>
      </c>
      <c r="I93" s="6" t="str">
        <f>IF($F93=0,"",IF(ISNUMBER(INDEX(Data!F$1:F$373,$F93)),INDEX(Data!F$1:F$373,$F93),""))</f>
        <v/>
      </c>
      <c r="J93" s="6" t="str">
        <f>IF($F93=0,"",IF(ISNUMBER(INDEX(Data!G$1:G$373,$F93)),INDEX(Data!G$1:G$373,$F93),""))</f>
        <v/>
      </c>
      <c r="K93" s="6" t="str">
        <f>IF($F93=0,"",IF(ISNUMBER(INDEX(Data!H$1:H$373,$F93)),INDEX(Data!H$1:H$373,$F93),""))</f>
        <v/>
      </c>
      <c r="L93" s="6" t="str">
        <f>IF($F93=0,"",IF(ISNUMBER(INDEX(Data!I$1:I$373,$F93)),INDEX(Data!I$1:I$373,$F93),""))</f>
        <v/>
      </c>
      <c r="M93" s="6" t="str">
        <f>IF($F93=0,"",IF(ISNUMBER(INDEX(Data!J$1:J$373,$F93)),INDEX(Data!J$1:J$373,$F93),""))</f>
        <v/>
      </c>
      <c r="N93" s="6" t="str">
        <f>IF($F93=0,"",IF(ISNUMBER(INDEX(Data!K$1:K$373,$F93)),INDEX(Data!K$1:K$373,$F93),""))</f>
        <v/>
      </c>
      <c r="O93" s="6" t="str">
        <f>IF($F93=0,"",IF(ISNUMBER(INDEX(Data!L$1:L$373,$F93)),INDEX(Data!L$1:L$373,$F93),""))</f>
        <v/>
      </c>
      <c r="P93" s="6" t="str">
        <f>IF($F93=0,"",IF(ISNUMBER(INDEX(Data!M$1:M$373,$F93)),INDEX(Data!M$1:M$373,$F93),""))</f>
        <v/>
      </c>
      <c r="Q93" s="6" t="str">
        <f>IF($F93=0,"",IF(ISNUMBER(INDEX(Data!N$1:N$373,$F93)),INDEX(Data!N$1:N$373,$F93),""))</f>
        <v/>
      </c>
      <c r="R93" s="6" t="str">
        <f>IF($F93=0,"",IF(ISNUMBER(INDEX(Data!O$1:O$373,$F93)),INDEX(Data!O$1:O$373,$F93),""))</f>
        <v/>
      </c>
      <c r="S93" s="6" t="str">
        <f>IF($F93=0,"",IF(ISNUMBER(INDEX(Data!P$1:P$373,$F93)),INDEX(Data!P$1:P$373,$F93),""))</f>
        <v/>
      </c>
      <c r="T93" s="6" t="str">
        <f>IF($F93=0,"",IF(ISNUMBER(INDEX(Data!Q$1:Q$373,$F93)),INDEX(Data!Q$1:Q$373,$F93),""))</f>
        <v/>
      </c>
      <c r="U93" s="6" t="str">
        <f>IF($F93=0,"",IF(ISNUMBER(INDEX(Data!R$1:R$373,$F93)),INDEX(Data!R$1:R$373,$F93),""))</f>
        <v/>
      </c>
      <c r="V93" s="6" t="str">
        <f>IF($F93=0,"",IF(ISNUMBER(INDEX(Data!S$1:S$373,$F93)),INDEX(Data!S$1:S$373,$F93),""))</f>
        <v/>
      </c>
      <c r="W93" s="6" t="str">
        <f>IF($F93=0,"",IF(ISNUMBER(INDEX(Data!T$1:T$373,$F93)),INDEX(Data!T$1:T$373,$F93),""))</f>
        <v/>
      </c>
      <c r="X93" s="6" t="str">
        <f>IF($F93=0,"",IF(ISNUMBER(INDEX(Data!U$1:U$373,$F93)),INDEX(Data!U$1:U$373,$F93),""))</f>
        <v/>
      </c>
      <c r="Y93" s="6" t="str">
        <f>IF($F93=0,"",IF(ISNUMBER(INDEX(Data!V$1:V$373,$F93)),INDEX(Data!V$1:V$373,$F93),""))</f>
        <v/>
      </c>
      <c r="Z93" s="6" t="str">
        <f>IF($F93=0,"",IF(ISNUMBER(INDEX(Data!W$1:W$373,$F93)),INDEX(Data!W$1:W$373,$F93),""))</f>
        <v/>
      </c>
      <c r="AA93" s="6" t="str">
        <f>IF($F93=0,"",IF(ISNUMBER(INDEX(Data!X$1:X$373,$F93)),INDEX(Data!X$1:X$373,$F93),""))</f>
        <v/>
      </c>
      <c r="AB93" s="6" t="str">
        <f>IF($F93=0,"",IF(ISNUMBER(INDEX(Data!Y$1:Y$373,$F93)),INDEX(Data!Y$1:Y$373,$F93),""))</f>
        <v/>
      </c>
      <c r="AC93" s="6" t="str">
        <f>IF($F93=0,"",IF(ISNUMBER(INDEX(Data!Z$1:Z$373,$F93)),INDEX(Data!Z$1:Z$373,$F93),""))</f>
        <v/>
      </c>
      <c r="AD93" s="6" t="str">
        <f>IF($F93=0,"",IF(ISNUMBER(INDEX(Data!AA$1:AA$373,$F93)),INDEX(Data!AA$1:AA$373,$F93),""))</f>
        <v/>
      </c>
      <c r="AE93" s="6" t="str">
        <f>IF($F93=0,"",IF(ISNUMBER(INDEX(Data!AB$1:AB$373,$F93)),INDEX(Data!AB$1:AB$373,$F93),""))</f>
        <v/>
      </c>
      <c r="AF93" s="6" t="str">
        <f>IF($F93=0,"",IF(ISNUMBER(INDEX(Data!AC$1:AC$373,$F93)),INDEX(Data!AC$1:AC$373,$F93),""))</f>
        <v/>
      </c>
      <c r="AG93" s="6" t="str">
        <f>IF($F93=0,"",IF(ISNUMBER(INDEX(Data!AD$1:AD$373,$F93)),INDEX(Data!AD$1:AD$373,$F93),""))</f>
        <v/>
      </c>
    </row>
    <row r="94" spans="1:33">
      <c r="A94" s="6">
        <v>2020</v>
      </c>
      <c r="B94" s="6">
        <v>6</v>
      </c>
      <c r="C94" s="6" t="s">
        <v>57</v>
      </c>
      <c r="D94" s="9">
        <f t="shared" si="2"/>
        <v>43983</v>
      </c>
      <c r="E94" s="6" t="str">
        <f t="shared" si="3"/>
        <v>Rural+Urban|2020|June</v>
      </c>
      <c r="F94" s="6">
        <f>IFERROR(MATCH(E94,Data!$AE$1:$AE$373,0),0)</f>
        <v>268</v>
      </c>
      <c r="G94" s="6">
        <f>IF($F94=0,"",IF(ISNUMBER(INDEX(Data!D$1:D$373,$F94)),INDEX(Data!D$1:D$373,$F94),""))</f>
        <v>149.6</v>
      </c>
      <c r="H94" s="6">
        <f>IF($F94=0,"",IF(ISNUMBER(INDEX(Data!E$1:E$373,$F94)),INDEX(Data!E$1:E$373,$F94),""))</f>
        <v>192.7</v>
      </c>
      <c r="I94" s="6">
        <f>IF($F94=0,"",IF(ISNUMBER(INDEX(Data!F$1:F$373,$F94)),INDEX(Data!F$1:F$373,$F94),""))</f>
        <v>151.4</v>
      </c>
      <c r="J94" s="6">
        <f>IF($F94=0,"",IF(ISNUMBER(INDEX(Data!G$1:G$373,$F94)),INDEX(Data!G$1:G$373,$F94),""))</f>
        <v>153.3</v>
      </c>
      <c r="K94" s="6">
        <f>IF($F94=0,"",IF(ISNUMBER(INDEX(Data!H$1:H$373,$F94)),INDEX(Data!H$1:H$373,$F94),""))</f>
        <v>136.3</v>
      </c>
      <c r="L94" s="6">
        <f>IF($F94=0,"",IF(ISNUMBER(INDEX(Data!I$1:I$373,$F94)),INDEX(Data!I$1:I$373,$F94),""))</f>
        <v>147.2</v>
      </c>
      <c r="M94" s="6">
        <f>IF($F94=0,"",IF(ISNUMBER(INDEX(Data!J$1:J$373,$F94)),INDEX(Data!J$1:J$373,$F94),""))</f>
        <v>156.5</v>
      </c>
      <c r="N94" s="6">
        <f>IF($F94=0,"",IF(ISNUMBER(INDEX(Data!K$1:K$373,$F94)),INDEX(Data!K$1:K$373,$F94),""))</f>
        <v>150.9</v>
      </c>
      <c r="O94" s="6">
        <f>IF($F94=0,"",IF(ISNUMBER(INDEX(Data!L$1:L$373,$F94)),INDEX(Data!L$1:L$373,$F94),""))</f>
        <v>114.2</v>
      </c>
      <c r="P94" s="6">
        <f>IF($F94=0,"",IF(ISNUMBER(INDEX(Data!M$1:M$373,$F94)),INDEX(Data!M$1:M$373,$F94),""))</f>
        <v>159.5</v>
      </c>
      <c r="Q94" s="6">
        <f>IF($F94=0,"",IF(ISNUMBER(INDEX(Data!N$1:N$373,$F94)),INDEX(Data!N$1:N$373,$F94),""))</f>
        <v>139.4</v>
      </c>
      <c r="R94" s="6">
        <f>IF($F94=0,"",IF(ISNUMBER(INDEX(Data!O$1:O$373,$F94)),INDEX(Data!O$1:O$373,$F94),""))</f>
        <v>161.8</v>
      </c>
      <c r="S94" s="6">
        <f>IF($F94=0,"",IF(ISNUMBER(INDEX(Data!P$1:P$373,$F94)),INDEX(Data!P$1:P$373,$F94),""))</f>
        <v>154</v>
      </c>
      <c r="T94" s="6">
        <f>IF($F94=0,"",IF(ISNUMBER(INDEX(Data!Q$1:Q$373,$F94)),INDEX(Data!Q$1:Q$373,$F94),""))</f>
        <v>183.5</v>
      </c>
      <c r="U94" s="6">
        <f>IF($F94=0,"",IF(ISNUMBER(INDEX(Data!R$1:R$373,$F94)),INDEX(Data!R$1:R$373,$F94),""))</f>
        <v>152.5</v>
      </c>
      <c r="V94" s="6">
        <f>IF($F94=0,"",IF(ISNUMBER(INDEX(Data!S$1:S$373,$F94)),INDEX(Data!S$1:S$373,$F94),""))</f>
        <v>144.4</v>
      </c>
      <c r="W94" s="6">
        <f>IF($F94=0,"",IF(ISNUMBER(INDEX(Data!T$1:T$373,$F94)),INDEX(Data!T$1:T$373,$F94),""))</f>
        <v>151.4</v>
      </c>
      <c r="X94" s="6">
        <f>IF($F94=0,"",IF(ISNUMBER(INDEX(Data!U$1:U$373,$F94)),INDEX(Data!U$1:U$373,$F94),""))</f>
        <v>154.7</v>
      </c>
      <c r="Y94" s="6">
        <f>IF($F94=0,"",IF(ISNUMBER(INDEX(Data!V$1:V$373,$F94)),INDEX(Data!V$1:V$373,$F94),""))</f>
        <v>141.9</v>
      </c>
      <c r="Z94" s="6">
        <f>IF($F94=0,"",IF(ISNUMBER(INDEX(Data!W$1:W$373,$F94)),INDEX(Data!W$1:W$373,$F94),""))</f>
        <v>146.4</v>
      </c>
      <c r="AA94" s="6">
        <f>IF($F94=0,"",IF(ISNUMBER(INDEX(Data!X$1:X$373,$F94)),INDEX(Data!X$1:X$373,$F94),""))</f>
        <v>154.4</v>
      </c>
      <c r="AB94" s="6">
        <f>IF($F94=0,"",IF(ISNUMBER(INDEX(Data!Y$1:Y$373,$F94)),INDEX(Data!Y$1:Y$373,$F94),""))</f>
        <v>135</v>
      </c>
      <c r="AC94" s="6">
        <f>IF($F94=0,"",IF(ISNUMBER(INDEX(Data!Z$1:Z$373,$F94)),INDEX(Data!Z$1:Z$373,$F94),""))</f>
        <v>148.3</v>
      </c>
      <c r="AD94" s="6">
        <f>IF($F94=0,"",IF(ISNUMBER(INDEX(Data!AA$1:AA$373,$F94)),INDEX(Data!AA$1:AA$373,$F94),""))</f>
        <v>156.4</v>
      </c>
      <c r="AE94" s="6">
        <f>IF($F94=0,"",IF(ISNUMBER(INDEX(Data!AB$1:AB$373,$F94)),INDEX(Data!AB$1:AB$373,$F94),""))</f>
        <v>151.6</v>
      </c>
      <c r="AF94" s="6">
        <f>IF($F94=0,"",IF(ISNUMBER(INDEX(Data!AC$1:AC$373,$F94)),INDEX(Data!AC$1:AC$373,$F94),""))</f>
        <v>147</v>
      </c>
      <c r="AG94" s="6">
        <f>IF($F94=0,"",IF(ISNUMBER(INDEX(Data!AD$1:AD$373,$F94)),INDEX(Data!AD$1:AD$373,$F94),""))</f>
        <v>151.8</v>
      </c>
    </row>
    <row r="95" spans="1:33">
      <c r="A95" s="6">
        <v>2020</v>
      </c>
      <c r="B95" s="6">
        <v>7</v>
      </c>
      <c r="C95" s="6" t="s">
        <v>58</v>
      </c>
      <c r="D95" s="9">
        <f t="shared" si="2"/>
        <v>44013</v>
      </c>
      <c r="E95" s="6" t="str">
        <f t="shared" si="3"/>
        <v>Rural+Urban|2020|July</v>
      </c>
      <c r="F95" s="6">
        <f>IFERROR(MATCH(E95,Data!$AE$1:$AE$373,0),0)</f>
        <v>271</v>
      </c>
      <c r="G95" s="6">
        <f>IF($F95=0,"",IF(ISNUMBER(INDEX(Data!D$1:D$373,$F95)),INDEX(Data!D$1:D$373,$F95),""))</f>
        <v>149.6</v>
      </c>
      <c r="H95" s="6">
        <f>IF($F95=0,"",IF(ISNUMBER(INDEX(Data!E$1:E$373,$F95)),INDEX(Data!E$1:E$373,$F95),""))</f>
        <v>192.7</v>
      </c>
      <c r="I95" s="6">
        <f>IF($F95=0,"",IF(ISNUMBER(INDEX(Data!F$1:F$373,$F95)),INDEX(Data!F$1:F$373,$F95),""))</f>
        <v>151.4</v>
      </c>
      <c r="J95" s="6">
        <f>IF($F95=0,"",IF(ISNUMBER(INDEX(Data!G$1:G$373,$F95)),INDEX(Data!G$1:G$373,$F95),""))</f>
        <v>153.3</v>
      </c>
      <c r="K95" s="6">
        <f>IF($F95=0,"",IF(ISNUMBER(INDEX(Data!H$1:H$373,$F95)),INDEX(Data!H$1:H$373,$F95),""))</f>
        <v>136.3</v>
      </c>
      <c r="L95" s="6">
        <f>IF($F95=0,"",IF(ISNUMBER(INDEX(Data!I$1:I$373,$F95)),INDEX(Data!I$1:I$373,$F95),""))</f>
        <v>147.2</v>
      </c>
      <c r="M95" s="6">
        <f>IF($F95=0,"",IF(ISNUMBER(INDEX(Data!J$1:J$373,$F95)),INDEX(Data!J$1:J$373,$F95),""))</f>
        <v>156.5</v>
      </c>
      <c r="N95" s="6">
        <f>IF($F95=0,"",IF(ISNUMBER(INDEX(Data!K$1:K$373,$F95)),INDEX(Data!K$1:K$373,$F95),""))</f>
        <v>150.9</v>
      </c>
      <c r="O95" s="6">
        <f>IF($F95=0,"",IF(ISNUMBER(INDEX(Data!L$1:L$373,$F95)),INDEX(Data!L$1:L$373,$F95),""))</f>
        <v>114.2</v>
      </c>
      <c r="P95" s="6">
        <f>IF($F95=0,"",IF(ISNUMBER(INDEX(Data!M$1:M$373,$F95)),INDEX(Data!M$1:M$373,$F95),""))</f>
        <v>159.5</v>
      </c>
      <c r="Q95" s="6">
        <f>IF($F95=0,"",IF(ISNUMBER(INDEX(Data!N$1:N$373,$F95)),INDEX(Data!N$1:N$373,$F95),""))</f>
        <v>139.4</v>
      </c>
      <c r="R95" s="6">
        <f>IF($F95=0,"",IF(ISNUMBER(INDEX(Data!O$1:O$373,$F95)),INDEX(Data!O$1:O$373,$F95),""))</f>
        <v>161.8</v>
      </c>
      <c r="S95" s="6">
        <f>IF($F95=0,"",IF(ISNUMBER(INDEX(Data!P$1:P$373,$F95)),INDEX(Data!P$1:P$373,$F95),""))</f>
        <v>154</v>
      </c>
      <c r="T95" s="6">
        <f>IF($F95=0,"",IF(ISNUMBER(INDEX(Data!Q$1:Q$373,$F95)),INDEX(Data!Q$1:Q$373,$F95),""))</f>
        <v>183.5</v>
      </c>
      <c r="U95" s="6">
        <f>IF($F95=0,"",IF(ISNUMBER(INDEX(Data!R$1:R$373,$F95)),INDEX(Data!R$1:R$373,$F95),""))</f>
        <v>152.5</v>
      </c>
      <c r="V95" s="6">
        <f>IF($F95=0,"",IF(ISNUMBER(INDEX(Data!S$1:S$373,$F95)),INDEX(Data!S$1:S$373,$F95),""))</f>
        <v>144.4</v>
      </c>
      <c r="W95" s="6">
        <f>IF($F95=0,"",IF(ISNUMBER(INDEX(Data!T$1:T$373,$F95)),INDEX(Data!T$1:T$373,$F95),""))</f>
        <v>151.4</v>
      </c>
      <c r="X95" s="6">
        <f>IF($F95=0,"",IF(ISNUMBER(INDEX(Data!U$1:U$373,$F95)),INDEX(Data!U$1:U$373,$F95),""))</f>
        <v>154.7</v>
      </c>
      <c r="Y95" s="6">
        <f>IF($F95=0,"",IF(ISNUMBER(INDEX(Data!V$1:V$373,$F95)),INDEX(Data!V$1:V$373,$F95),""))</f>
        <v>141.9</v>
      </c>
      <c r="Z95" s="6">
        <f>IF($F95=0,"",IF(ISNUMBER(INDEX(Data!W$1:W$373,$F95)),INDEX(Data!W$1:W$373,$F95),""))</f>
        <v>146.4</v>
      </c>
      <c r="AA95" s="6">
        <f>IF($F95=0,"",IF(ISNUMBER(INDEX(Data!X$1:X$373,$F95)),INDEX(Data!X$1:X$373,$F95),""))</f>
        <v>154.4</v>
      </c>
      <c r="AB95" s="6">
        <f>IF($F95=0,"",IF(ISNUMBER(INDEX(Data!Y$1:Y$373,$F95)),INDEX(Data!Y$1:Y$373,$F95),""))</f>
        <v>135</v>
      </c>
      <c r="AC95" s="6">
        <f>IF($F95=0,"",IF(ISNUMBER(INDEX(Data!Z$1:Z$373,$F95)),INDEX(Data!Z$1:Z$373,$F95),""))</f>
        <v>148.3</v>
      </c>
      <c r="AD95" s="6">
        <f>IF($F95=0,"",IF(ISNUMBER(INDEX(Data!AA$1:AA$373,$F95)),INDEX(Data!AA$1:AA$373,$F95),""))</f>
        <v>156.4</v>
      </c>
      <c r="AE95" s="6">
        <f>IF($F95=0,"",IF(ISNUMBER(INDEX(Data!AB$1:AB$373,$F95)),INDEX(Data!AB$1:AB$373,$F95),""))</f>
        <v>151.6</v>
      </c>
      <c r="AF95" s="6">
        <f>IF($F95=0,"",IF(ISNUMBER(INDEX(Data!AC$1:AC$373,$F95)),INDEX(Data!AC$1:AC$373,$F95),""))</f>
        <v>147</v>
      </c>
      <c r="AG95" s="6">
        <f>IF($F95=0,"",IF(ISNUMBER(INDEX(Data!AD$1:AD$373,$F95)),INDEX(Data!AD$1:AD$373,$F95),""))</f>
        <v>151.8</v>
      </c>
    </row>
    <row r="96" spans="1:33">
      <c r="A96" s="6">
        <v>2020</v>
      </c>
      <c r="B96" s="6">
        <v>8</v>
      </c>
      <c r="C96" s="6" t="s">
        <v>59</v>
      </c>
      <c r="D96" s="9">
        <f t="shared" si="2"/>
        <v>44044</v>
      </c>
      <c r="E96" s="6" t="str">
        <f t="shared" si="3"/>
        <v>Rural+Urban|2020|August</v>
      </c>
      <c r="F96" s="6">
        <f>IFERROR(MATCH(E96,Data!$AE$1:$AE$373,0),0)</f>
        <v>274</v>
      </c>
      <c r="G96" s="6">
        <f>IF($F96=0,"",IF(ISNUMBER(INDEX(Data!D$1:D$373,$F96)),INDEX(Data!D$1:D$373,$F96),""))</f>
        <v>148.9</v>
      </c>
      <c r="H96" s="6">
        <f>IF($F96=0,"",IF(ISNUMBER(INDEX(Data!E$1:E$373,$F96)),INDEX(Data!E$1:E$373,$F96),""))</f>
        <v>190.9</v>
      </c>
      <c r="I96" s="6">
        <f>IF($F96=0,"",IF(ISNUMBER(INDEX(Data!F$1:F$373,$F96)),INDEX(Data!F$1:F$373,$F96),""))</f>
        <v>150.8</v>
      </c>
      <c r="J96" s="6">
        <f>IF($F96=0,"",IF(ISNUMBER(INDEX(Data!G$1:G$373,$F96)),INDEX(Data!G$1:G$373,$F96),""))</f>
        <v>153.3</v>
      </c>
      <c r="K96" s="6">
        <f>IF($F96=0,"",IF(ISNUMBER(INDEX(Data!H$1:H$373,$F96)),INDEX(Data!H$1:H$373,$F96),""))</f>
        <v>137.4</v>
      </c>
      <c r="L96" s="6">
        <f>IF($F96=0,"",IF(ISNUMBER(INDEX(Data!I$1:I$373,$F96)),INDEX(Data!I$1:I$373,$F96),""))</f>
        <v>150.4</v>
      </c>
      <c r="M96" s="6">
        <f>IF($F96=0,"",IF(ISNUMBER(INDEX(Data!J$1:J$373,$F96)),INDEX(Data!J$1:J$373,$F96),""))</f>
        <v>178.1</v>
      </c>
      <c r="N96" s="6">
        <f>IF($F96=0,"",IF(ISNUMBER(INDEX(Data!K$1:K$373,$F96)),INDEX(Data!K$1:K$373,$F96),""))</f>
        <v>150.4</v>
      </c>
      <c r="O96" s="6">
        <f>IF($F96=0,"",IF(ISNUMBER(INDEX(Data!L$1:L$373,$F96)),INDEX(Data!L$1:L$373,$F96),""))</f>
        <v>115.1</v>
      </c>
      <c r="P96" s="6">
        <f>IF($F96=0,"",IF(ISNUMBER(INDEX(Data!M$1:M$373,$F96)),INDEX(Data!M$1:M$373,$F96),""))</f>
        <v>160</v>
      </c>
      <c r="Q96" s="6">
        <f>IF($F96=0,"",IF(ISNUMBER(INDEX(Data!N$1:N$373,$F96)),INDEX(Data!N$1:N$373,$F96),""))</f>
        <v>140.6</v>
      </c>
      <c r="R96" s="6">
        <f>IF($F96=0,"",IF(ISNUMBER(INDEX(Data!O$1:O$373,$F96)),INDEX(Data!O$1:O$373,$F96),""))</f>
        <v>162.3</v>
      </c>
      <c r="S96" s="6">
        <f>IF($F96=0,"",IF(ISNUMBER(INDEX(Data!P$1:P$373,$F96)),INDEX(Data!P$1:P$373,$F96),""))</f>
        <v>157</v>
      </c>
      <c r="T96" s="6">
        <f>IF($F96=0,"",IF(ISNUMBER(INDEX(Data!Q$1:Q$373,$F96)),INDEX(Data!Q$1:Q$373,$F96),""))</f>
        <v>182.6</v>
      </c>
      <c r="U96" s="6">
        <f>IF($F96=0,"",IF(ISNUMBER(INDEX(Data!R$1:R$373,$F96)),INDEX(Data!R$1:R$373,$F96),""))</f>
        <v>153.1</v>
      </c>
      <c r="V96" s="6">
        <f>IF($F96=0,"",IF(ISNUMBER(INDEX(Data!S$1:S$373,$F96)),INDEX(Data!S$1:S$373,$F96),""))</f>
        <v>143.4</v>
      </c>
      <c r="W96" s="6">
        <f>IF($F96=0,"",IF(ISNUMBER(INDEX(Data!T$1:T$373,$F96)),INDEX(Data!T$1:T$373,$F96),""))</f>
        <v>151.7</v>
      </c>
      <c r="X96" s="6">
        <f>IF($F96=0,"",IF(ISNUMBER(INDEX(Data!U$1:U$373,$F96)),INDEX(Data!U$1:U$373,$F96),""))</f>
        <v>155.5</v>
      </c>
      <c r="Y96" s="6">
        <f>IF($F96=0,"",IF(ISNUMBER(INDEX(Data!V$1:V$373,$F96)),INDEX(Data!V$1:V$373,$F96),""))</f>
        <v>143</v>
      </c>
      <c r="Z96" s="6">
        <f>IF($F96=0,"",IF(ISNUMBER(INDEX(Data!W$1:W$373,$F96)),INDEX(Data!W$1:W$373,$F96),""))</f>
        <v>148.4</v>
      </c>
      <c r="AA96" s="6">
        <f>IF($F96=0,"",IF(ISNUMBER(INDEX(Data!X$1:X$373,$F96)),INDEX(Data!X$1:X$373,$F96),""))</f>
        <v>155</v>
      </c>
      <c r="AB96" s="6">
        <f>IF($F96=0,"",IF(ISNUMBER(INDEX(Data!Y$1:Y$373,$F96)),INDEX(Data!Y$1:Y$373,$F96),""))</f>
        <v>138.5</v>
      </c>
      <c r="AC96" s="6">
        <f>IF($F96=0,"",IF(ISNUMBER(INDEX(Data!Z$1:Z$373,$F96)),INDEX(Data!Z$1:Z$373,$F96),""))</f>
        <v>146</v>
      </c>
      <c r="AD96" s="6">
        <f>IF($F96=0,"",IF(ISNUMBER(INDEX(Data!AA$1:AA$373,$F96)),INDEX(Data!AA$1:AA$373,$F96),""))</f>
        <v>158.5</v>
      </c>
      <c r="AE96" s="6">
        <f>IF($F96=0,"",IF(ISNUMBER(INDEX(Data!AB$1:AB$373,$F96)),INDEX(Data!AB$1:AB$373,$F96),""))</f>
        <v>154.3</v>
      </c>
      <c r="AF96" s="6">
        <f>IF($F96=0,"",IF(ISNUMBER(INDEX(Data!AC$1:AC$373,$F96)),INDEX(Data!AC$1:AC$373,$F96),""))</f>
        <v>149</v>
      </c>
      <c r="AG96" s="6">
        <f>IF($F96=0,"",IF(ISNUMBER(INDEX(Data!AD$1:AD$373,$F96)),INDEX(Data!AD$1:AD$373,$F96),""))</f>
        <v>153.9</v>
      </c>
    </row>
    <row r="97" spans="1:33">
      <c r="A97" s="6">
        <v>2020</v>
      </c>
      <c r="B97" s="6">
        <v>9</v>
      </c>
      <c r="C97" s="6" t="s">
        <v>60</v>
      </c>
      <c r="D97" s="9">
        <f t="shared" si="2"/>
        <v>44075</v>
      </c>
      <c r="E97" s="6" t="str">
        <f t="shared" si="3"/>
        <v>Rural+Urban|2020|September</v>
      </c>
      <c r="F97" s="6">
        <f>IFERROR(MATCH(E97,Data!$AE$1:$AE$373,0),0)</f>
        <v>277</v>
      </c>
      <c r="G97" s="6">
        <f>IF($F97=0,"",IF(ISNUMBER(INDEX(Data!D$1:D$373,$F97)),INDEX(Data!D$1:D$373,$F97),""))</f>
        <v>148.4</v>
      </c>
      <c r="H97" s="6">
        <f>IF($F97=0,"",IF(ISNUMBER(INDEX(Data!E$1:E$373,$F97)),INDEX(Data!E$1:E$373,$F97),""))</f>
        <v>187.1</v>
      </c>
      <c r="I97" s="6">
        <f>IF($F97=0,"",IF(ISNUMBER(INDEX(Data!F$1:F$373,$F97)),INDEX(Data!F$1:F$373,$F97),""))</f>
        <v>152.5</v>
      </c>
      <c r="J97" s="6">
        <f>IF($F97=0,"",IF(ISNUMBER(INDEX(Data!G$1:G$373,$F97)),INDEX(Data!G$1:G$373,$F97),""))</f>
        <v>153.6</v>
      </c>
      <c r="K97" s="6">
        <f>IF($F97=0,"",IF(ISNUMBER(INDEX(Data!H$1:H$373,$F97)),INDEX(Data!H$1:H$373,$F97),""))</f>
        <v>138.2</v>
      </c>
      <c r="L97" s="6">
        <f>IF($F97=0,"",IF(ISNUMBER(INDEX(Data!I$1:I$373,$F97)),INDEX(Data!I$1:I$373,$F97),""))</f>
        <v>150.9</v>
      </c>
      <c r="M97" s="6">
        <f>IF($F97=0,"",IF(ISNUMBER(INDEX(Data!J$1:J$373,$F97)),INDEX(Data!J$1:J$373,$F97),""))</f>
        <v>186.7</v>
      </c>
      <c r="N97" s="6">
        <f>IF($F97=0,"",IF(ISNUMBER(INDEX(Data!K$1:K$373,$F97)),INDEX(Data!K$1:K$373,$F97),""))</f>
        <v>149.8</v>
      </c>
      <c r="O97" s="6">
        <f>IF($F97=0,"",IF(ISNUMBER(INDEX(Data!L$1:L$373,$F97)),INDEX(Data!L$1:L$373,$F97),""))</f>
        <v>116.4</v>
      </c>
      <c r="P97" s="6">
        <f>IF($F97=0,"",IF(ISNUMBER(INDEX(Data!M$1:M$373,$F97)),INDEX(Data!M$1:M$373,$F97),""))</f>
        <v>160.3</v>
      </c>
      <c r="Q97" s="6">
        <f>IF($F97=0,"",IF(ISNUMBER(INDEX(Data!N$1:N$373,$F97)),INDEX(Data!N$1:N$373,$F97),""))</f>
        <v>142.2</v>
      </c>
      <c r="R97" s="6">
        <f>IF($F97=0,"",IF(ISNUMBER(INDEX(Data!O$1:O$373,$F97)),INDEX(Data!O$1:O$373,$F97),""))</f>
        <v>162.9</v>
      </c>
      <c r="S97" s="6">
        <f>IF($F97=0,"",IF(ISNUMBER(INDEX(Data!P$1:P$373,$F97)),INDEX(Data!P$1:P$373,$F97),""))</f>
        <v>158</v>
      </c>
      <c r="T97" s="6">
        <f>IF($F97=0,"",IF(ISNUMBER(INDEX(Data!Q$1:Q$373,$F97)),INDEX(Data!Q$1:Q$373,$F97),""))</f>
        <v>184.4</v>
      </c>
      <c r="U97" s="6">
        <f>IF($F97=0,"",IF(ISNUMBER(INDEX(Data!R$1:R$373,$F97)),INDEX(Data!R$1:R$373,$F97),""))</f>
        <v>153.4</v>
      </c>
      <c r="V97" s="6">
        <f>IF($F97=0,"",IF(ISNUMBER(INDEX(Data!S$1:S$373,$F97)),INDEX(Data!S$1:S$373,$F97),""))</f>
        <v>144.3</v>
      </c>
      <c r="W97" s="6">
        <f>IF($F97=0,"",IF(ISNUMBER(INDEX(Data!T$1:T$373,$F97)),INDEX(Data!T$1:T$373,$F97),""))</f>
        <v>152</v>
      </c>
      <c r="X97" s="6">
        <f>IF($F97=0,"",IF(ISNUMBER(INDEX(Data!U$1:U$373,$F97)),INDEX(Data!U$1:U$373,$F97),""))</f>
        <v>156.3</v>
      </c>
      <c r="Y97" s="6">
        <f>IF($F97=0,"",IF(ISNUMBER(INDEX(Data!V$1:V$373,$F97)),INDEX(Data!V$1:V$373,$F97),""))</f>
        <v>142.9</v>
      </c>
      <c r="Z97" s="6">
        <f>IF($F97=0,"",IF(ISNUMBER(INDEX(Data!W$1:W$373,$F97)),INDEX(Data!W$1:W$373,$F97),""))</f>
        <v>148.7</v>
      </c>
      <c r="AA97" s="6">
        <f>IF($F97=0,"",IF(ISNUMBER(INDEX(Data!X$1:X$373,$F97)),INDEX(Data!X$1:X$373,$F97),""))</f>
        <v>155.6</v>
      </c>
      <c r="AB97" s="6">
        <f>IF($F97=0,"",IF(ISNUMBER(INDEX(Data!Y$1:Y$373,$F97)),INDEX(Data!Y$1:Y$373,$F97),""))</f>
        <v>139.6</v>
      </c>
      <c r="AC97" s="6">
        <f>IF($F97=0,"",IF(ISNUMBER(INDEX(Data!Z$1:Z$373,$F97)),INDEX(Data!Z$1:Z$373,$F97),""))</f>
        <v>146.6</v>
      </c>
      <c r="AD97" s="6">
        <f>IF($F97=0,"",IF(ISNUMBER(INDEX(Data!AA$1:AA$373,$F97)),INDEX(Data!AA$1:AA$373,$F97),""))</f>
        <v>157.5</v>
      </c>
      <c r="AE97" s="6">
        <f>IF($F97=0,"",IF(ISNUMBER(INDEX(Data!AB$1:AB$373,$F97)),INDEX(Data!AB$1:AB$373,$F97),""))</f>
        <v>158.4</v>
      </c>
      <c r="AF97" s="6">
        <f>IF($F97=0,"",IF(ISNUMBER(INDEX(Data!AC$1:AC$373,$F97)),INDEX(Data!AC$1:AC$373,$F97),""))</f>
        <v>150</v>
      </c>
      <c r="AG97" s="6">
        <f>IF($F97=0,"",IF(ISNUMBER(INDEX(Data!AD$1:AD$373,$F97)),INDEX(Data!AD$1:AD$373,$F97),""))</f>
        <v>154.7</v>
      </c>
    </row>
    <row r="98" spans="1:33">
      <c r="A98" s="6">
        <v>2020</v>
      </c>
      <c r="B98" s="6">
        <v>10</v>
      </c>
      <c r="C98" s="6" t="s">
        <v>61</v>
      </c>
      <c r="D98" s="9">
        <f t="shared" si="2"/>
        <v>44105</v>
      </c>
      <c r="E98" s="6" t="str">
        <f t="shared" si="3"/>
        <v>Rural+Urban|2020|October</v>
      </c>
      <c r="F98" s="6">
        <f>IFERROR(MATCH(E98,Data!$AE$1:$AE$373,0),0)</f>
        <v>280</v>
      </c>
      <c r="G98" s="6">
        <f>IF($F98=0,"",IF(ISNUMBER(INDEX(Data!D$1:D$373,$F98)),INDEX(Data!D$1:D$373,$F98),""))</f>
        <v>147.5</v>
      </c>
      <c r="H98" s="6">
        <f>IF($F98=0,"",IF(ISNUMBER(INDEX(Data!E$1:E$373,$F98)),INDEX(Data!E$1:E$373,$F98),""))</f>
        <v>188.9</v>
      </c>
      <c r="I98" s="6">
        <f>IF($F98=0,"",IF(ISNUMBER(INDEX(Data!F$1:F$373,$F98)),INDEX(Data!F$1:F$373,$F98),""))</f>
        <v>161.4</v>
      </c>
      <c r="J98" s="6">
        <f>IF($F98=0,"",IF(ISNUMBER(INDEX(Data!G$1:G$373,$F98)),INDEX(Data!G$1:G$373,$F98),""))</f>
        <v>153.6</v>
      </c>
      <c r="K98" s="6">
        <f>IF($F98=0,"",IF(ISNUMBER(INDEX(Data!H$1:H$373,$F98)),INDEX(Data!H$1:H$373,$F98),""))</f>
        <v>140.1</v>
      </c>
      <c r="L98" s="6">
        <f>IF($F98=0,"",IF(ISNUMBER(INDEX(Data!I$1:I$373,$F98)),INDEX(Data!I$1:I$373,$F98),""))</f>
        <v>151.2</v>
      </c>
      <c r="M98" s="6">
        <f>IF($F98=0,"",IF(ISNUMBER(INDEX(Data!J$1:J$373,$F98)),INDEX(Data!J$1:J$373,$F98),""))</f>
        <v>209.2</v>
      </c>
      <c r="N98" s="6">
        <f>IF($F98=0,"",IF(ISNUMBER(INDEX(Data!K$1:K$373,$F98)),INDEX(Data!K$1:K$373,$F98),""))</f>
        <v>150.9</v>
      </c>
      <c r="O98" s="6">
        <f>IF($F98=0,"",IF(ISNUMBER(INDEX(Data!L$1:L$373,$F98)),INDEX(Data!L$1:L$373,$F98),""))</f>
        <v>116.2</v>
      </c>
      <c r="P98" s="6">
        <f>IF($F98=0,"",IF(ISNUMBER(INDEX(Data!M$1:M$373,$F98)),INDEX(Data!M$1:M$373,$F98),""))</f>
        <v>161</v>
      </c>
      <c r="Q98" s="6">
        <f>IF($F98=0,"",IF(ISNUMBER(INDEX(Data!N$1:N$373,$F98)),INDEX(Data!N$1:N$373,$F98),""))</f>
        <v>144</v>
      </c>
      <c r="R98" s="6">
        <f>IF($F98=0,"",IF(ISNUMBER(INDEX(Data!O$1:O$373,$F98)),INDEX(Data!O$1:O$373,$F98),""))</f>
        <v>163.2</v>
      </c>
      <c r="S98" s="6">
        <f>IF($F98=0,"",IF(ISNUMBER(INDEX(Data!P$1:P$373,$F98)),INDEX(Data!P$1:P$373,$F98),""))</f>
        <v>161.4</v>
      </c>
      <c r="T98" s="6">
        <f>IF($F98=0,"",IF(ISNUMBER(INDEX(Data!Q$1:Q$373,$F98)),INDEX(Data!Q$1:Q$373,$F98),""))</f>
        <v>184.3</v>
      </c>
      <c r="U98" s="6">
        <f>IF($F98=0,"",IF(ISNUMBER(INDEX(Data!R$1:R$373,$F98)),INDEX(Data!R$1:R$373,$F98),""))</f>
        <v>153.7</v>
      </c>
      <c r="V98" s="6">
        <f>IF($F98=0,"",IF(ISNUMBER(INDEX(Data!S$1:S$373,$F98)),INDEX(Data!S$1:S$373,$F98),""))</f>
        <v>144.6</v>
      </c>
      <c r="W98" s="6">
        <f>IF($F98=0,"",IF(ISNUMBER(INDEX(Data!T$1:T$373,$F98)),INDEX(Data!T$1:T$373,$F98),""))</f>
        <v>152.3</v>
      </c>
      <c r="X98" s="6">
        <f>IF($F98=0,"",IF(ISNUMBER(INDEX(Data!U$1:U$373,$F98)),INDEX(Data!U$1:U$373,$F98),""))</f>
        <v>156.5</v>
      </c>
      <c r="Y98" s="6">
        <f>IF($F98=0,"",IF(ISNUMBER(INDEX(Data!V$1:V$373,$F98)),INDEX(Data!V$1:V$373,$F98),""))</f>
        <v>143.1</v>
      </c>
      <c r="Z98" s="6">
        <f>IF($F98=0,"",IF(ISNUMBER(INDEX(Data!W$1:W$373,$F98)),INDEX(Data!W$1:W$373,$F98),""))</f>
        <v>148.7</v>
      </c>
      <c r="AA98" s="6">
        <f>IF($F98=0,"",IF(ISNUMBER(INDEX(Data!X$1:X$373,$F98)),INDEX(Data!X$1:X$373,$F98),""))</f>
        <v>156.3</v>
      </c>
      <c r="AB98" s="6">
        <f>IF($F98=0,"",IF(ISNUMBER(INDEX(Data!Y$1:Y$373,$F98)),INDEX(Data!Y$1:Y$373,$F98),""))</f>
        <v>140.6</v>
      </c>
      <c r="AC98" s="6">
        <f>IF($F98=0,"",IF(ISNUMBER(INDEX(Data!Z$1:Z$373,$F98)),INDEX(Data!Z$1:Z$373,$F98),""))</f>
        <v>146.5</v>
      </c>
      <c r="AD98" s="6">
        <f>IF($F98=0,"",IF(ISNUMBER(INDEX(Data!AA$1:AA$373,$F98)),INDEX(Data!AA$1:AA$373,$F98),""))</f>
        <v>158.5</v>
      </c>
      <c r="AE98" s="6">
        <f>IF($F98=0,"",IF(ISNUMBER(INDEX(Data!AB$1:AB$373,$F98)),INDEX(Data!AB$1:AB$373,$F98),""))</f>
        <v>157</v>
      </c>
      <c r="AF98" s="6">
        <f>IF($F98=0,"",IF(ISNUMBER(INDEX(Data!AC$1:AC$373,$F98)),INDEX(Data!AC$1:AC$373,$F98),""))</f>
        <v>150.4</v>
      </c>
      <c r="AG98" s="6">
        <f>IF($F98=0,"",IF(ISNUMBER(INDEX(Data!AD$1:AD$373,$F98)),INDEX(Data!AD$1:AD$373,$F98),""))</f>
        <v>156.4</v>
      </c>
    </row>
    <row r="99" spans="1:33">
      <c r="A99" s="6">
        <v>2020</v>
      </c>
      <c r="B99" s="6">
        <v>11</v>
      </c>
      <c r="C99" s="6" t="s">
        <v>62</v>
      </c>
      <c r="D99" s="9">
        <f t="shared" si="2"/>
        <v>44136</v>
      </c>
      <c r="E99" s="6" t="str">
        <f t="shared" si="3"/>
        <v>Rural+Urban|2020|November</v>
      </c>
      <c r="F99" s="6">
        <f>IFERROR(MATCH(E99,Data!$AE$1:$AE$373,0),0)</f>
        <v>283</v>
      </c>
      <c r="G99" s="6">
        <f>IF($F99=0,"",IF(ISNUMBER(INDEX(Data!D$1:D$373,$F99)),INDEX(Data!D$1:D$373,$F99),""))</f>
        <v>146.8</v>
      </c>
      <c r="H99" s="6">
        <f>IF($F99=0,"",IF(ISNUMBER(INDEX(Data!E$1:E$373,$F99)),INDEX(Data!E$1:E$373,$F99),""))</f>
        <v>191</v>
      </c>
      <c r="I99" s="6">
        <f>IF($F99=0,"",IF(ISNUMBER(INDEX(Data!F$1:F$373,$F99)),INDEX(Data!F$1:F$373,$F99),""))</f>
        <v>173.6</v>
      </c>
      <c r="J99" s="6">
        <f>IF($F99=0,"",IF(ISNUMBER(INDEX(Data!G$1:G$373,$F99)),INDEX(Data!G$1:G$373,$F99),""))</f>
        <v>153.8</v>
      </c>
      <c r="K99" s="6">
        <f>IF($F99=0,"",IF(ISNUMBER(INDEX(Data!H$1:H$373,$F99)),INDEX(Data!H$1:H$373,$F99),""))</f>
        <v>142.7</v>
      </c>
      <c r="L99" s="6">
        <f>IF($F99=0,"",IF(ISNUMBER(INDEX(Data!I$1:I$373,$F99)),INDEX(Data!I$1:I$373,$F99),""))</f>
        <v>148.4</v>
      </c>
      <c r="M99" s="6">
        <f>IF($F99=0,"",IF(ISNUMBER(INDEX(Data!J$1:J$373,$F99)),INDEX(Data!J$1:J$373,$F99),""))</f>
        <v>230</v>
      </c>
      <c r="N99" s="6">
        <f>IF($F99=0,"",IF(ISNUMBER(INDEX(Data!K$1:K$373,$F99)),INDEX(Data!K$1:K$373,$F99),""))</f>
        <v>156.8</v>
      </c>
      <c r="O99" s="6">
        <f>IF($F99=0,"",IF(ISNUMBER(INDEX(Data!L$1:L$373,$F99)),INDEX(Data!L$1:L$373,$F99),""))</f>
        <v>115.7</v>
      </c>
      <c r="P99" s="6">
        <f>IF($F99=0,"",IF(ISNUMBER(INDEX(Data!M$1:M$373,$F99)),INDEX(Data!M$1:M$373,$F99),""))</f>
        <v>161.8</v>
      </c>
      <c r="Q99" s="6">
        <f>IF($F99=0,"",IF(ISNUMBER(INDEX(Data!N$1:N$373,$F99)),INDEX(Data!N$1:N$373,$F99),""))</f>
        <v>146.5</v>
      </c>
      <c r="R99" s="6">
        <f>IF($F99=0,"",IF(ISNUMBER(INDEX(Data!O$1:O$373,$F99)),INDEX(Data!O$1:O$373,$F99),""))</f>
        <v>163.8</v>
      </c>
      <c r="S99" s="6">
        <f>IF($F99=0,"",IF(ISNUMBER(INDEX(Data!P$1:P$373,$F99)),INDEX(Data!P$1:P$373,$F99),""))</f>
        <v>164.7</v>
      </c>
      <c r="T99" s="6">
        <f>IF($F99=0,"",IF(ISNUMBER(INDEX(Data!Q$1:Q$373,$F99)),INDEX(Data!Q$1:Q$373,$F99),""))</f>
        <v>184.8</v>
      </c>
      <c r="U99" s="6">
        <f>IF($F99=0,"",IF(ISNUMBER(INDEX(Data!R$1:R$373,$F99)),INDEX(Data!R$1:R$373,$F99),""))</f>
        <v>154.3</v>
      </c>
      <c r="V99" s="6">
        <f>IF($F99=0,"",IF(ISNUMBER(INDEX(Data!S$1:S$373,$F99)),INDEX(Data!S$1:S$373,$F99),""))</f>
        <v>144.9</v>
      </c>
      <c r="W99" s="6">
        <f>IF($F99=0,"",IF(ISNUMBER(INDEX(Data!T$1:T$373,$F99)),INDEX(Data!T$1:T$373,$F99),""))</f>
        <v>152.8</v>
      </c>
      <c r="X99" s="6">
        <f>IF($F99=0,"",IF(ISNUMBER(INDEX(Data!U$1:U$373,$F99)),INDEX(Data!U$1:U$373,$F99),""))</f>
        <v>158</v>
      </c>
      <c r="Y99" s="6">
        <f>IF($F99=0,"",IF(ISNUMBER(INDEX(Data!V$1:V$373,$F99)),INDEX(Data!V$1:V$373,$F99),""))</f>
        <v>143.6</v>
      </c>
      <c r="Z99" s="6">
        <f>IF($F99=0,"",IF(ISNUMBER(INDEX(Data!W$1:W$373,$F99)),INDEX(Data!W$1:W$373,$F99),""))</f>
        <v>149.2</v>
      </c>
      <c r="AA99" s="6">
        <f>IF($F99=0,"",IF(ISNUMBER(INDEX(Data!X$1:X$373,$F99)),INDEX(Data!X$1:X$373,$F99),""))</f>
        <v>157.2</v>
      </c>
      <c r="AB99" s="6">
        <f>IF($F99=0,"",IF(ISNUMBER(INDEX(Data!Y$1:Y$373,$F99)),INDEX(Data!Y$1:Y$373,$F99),""))</f>
        <v>140.4</v>
      </c>
      <c r="AC99" s="6">
        <f>IF($F99=0,"",IF(ISNUMBER(INDEX(Data!Z$1:Z$373,$F99)),INDEX(Data!Z$1:Z$373,$F99),""))</f>
        <v>148.4</v>
      </c>
      <c r="AD99" s="6">
        <f>IF($F99=0,"",IF(ISNUMBER(INDEX(Data!AA$1:AA$373,$F99)),INDEX(Data!AA$1:AA$373,$F99),""))</f>
        <v>158.6</v>
      </c>
      <c r="AE99" s="6">
        <f>IF($F99=0,"",IF(ISNUMBER(INDEX(Data!AB$1:AB$373,$F99)),INDEX(Data!AB$1:AB$373,$F99),""))</f>
        <v>156.9</v>
      </c>
      <c r="AF99" s="6">
        <f>IF($F99=0,"",IF(ISNUMBER(INDEX(Data!AC$1:AC$373,$F99)),INDEX(Data!AC$1:AC$373,$F99),""))</f>
        <v>150.7</v>
      </c>
      <c r="AG99" s="6">
        <f>IF($F99=0,"",IF(ISNUMBER(INDEX(Data!AD$1:AD$373,$F99)),INDEX(Data!AD$1:AD$373,$F99),""))</f>
        <v>158.4</v>
      </c>
    </row>
    <row r="100" spans="1:33">
      <c r="A100" s="6">
        <v>2020</v>
      </c>
      <c r="B100" s="6">
        <v>12</v>
      </c>
      <c r="C100" s="6" t="s">
        <v>63</v>
      </c>
      <c r="D100" s="9">
        <f t="shared" si="2"/>
        <v>44166</v>
      </c>
      <c r="E100" s="6" t="str">
        <f t="shared" si="3"/>
        <v>Rural+Urban|2020|December</v>
      </c>
      <c r="F100" s="6">
        <f>IFERROR(MATCH(E100,Data!$AE$1:$AE$373,0),0)</f>
        <v>286</v>
      </c>
      <c r="G100" s="6">
        <f>IF($F100=0,"",IF(ISNUMBER(INDEX(Data!D$1:D$373,$F100)),INDEX(Data!D$1:D$373,$F100),""))</f>
        <v>146</v>
      </c>
      <c r="H100" s="6">
        <f>IF($F100=0,"",IF(ISNUMBER(INDEX(Data!E$1:E$373,$F100)),INDEX(Data!E$1:E$373,$F100),""))</f>
        <v>191</v>
      </c>
      <c r="I100" s="6">
        <f>IF($F100=0,"",IF(ISNUMBER(INDEX(Data!F$1:F$373,$F100)),INDEX(Data!F$1:F$373,$F100),""))</f>
        <v>175.3</v>
      </c>
      <c r="J100" s="6">
        <f>IF($F100=0,"",IF(ISNUMBER(INDEX(Data!G$1:G$373,$F100)),INDEX(Data!G$1:G$373,$F100),""))</f>
        <v>154.1</v>
      </c>
      <c r="K100" s="6">
        <f>IF($F100=0,"",IF(ISNUMBER(INDEX(Data!H$1:H$373,$F100)),INDEX(Data!H$1:H$373,$F100),""))</f>
        <v>146.6</v>
      </c>
      <c r="L100" s="6">
        <f>IF($F100=0,"",IF(ISNUMBER(INDEX(Data!I$1:I$373,$F100)),INDEX(Data!I$1:I$373,$F100),""))</f>
        <v>147.7</v>
      </c>
      <c r="M100" s="6">
        <f>IF($F100=0,"",IF(ISNUMBER(INDEX(Data!J$1:J$373,$F100)),INDEX(Data!J$1:J$373,$F100),""))</f>
        <v>230.5</v>
      </c>
      <c r="N100" s="6">
        <f>IF($F100=0,"",IF(ISNUMBER(INDEX(Data!K$1:K$373,$F100)),INDEX(Data!K$1:K$373,$F100),""))</f>
        <v>160.2</v>
      </c>
      <c r="O100" s="6">
        <f>IF($F100=0,"",IF(ISNUMBER(INDEX(Data!L$1:L$373,$F100)),INDEX(Data!L$1:L$373,$F100),""))</f>
        <v>115.3</v>
      </c>
      <c r="P100" s="6">
        <f>IF($F100=0,"",IF(ISNUMBER(INDEX(Data!M$1:M$373,$F100)),INDEX(Data!M$1:M$373,$F100),""))</f>
        <v>163</v>
      </c>
      <c r="Q100" s="6">
        <f>IF($F100=0,"",IF(ISNUMBER(INDEX(Data!N$1:N$373,$F100)),INDEX(Data!N$1:N$373,$F100),""))</f>
        <v>149.2</v>
      </c>
      <c r="R100" s="6">
        <f>IF($F100=0,"",IF(ISNUMBER(INDEX(Data!O$1:O$373,$F100)),INDEX(Data!O$1:O$373,$F100),""))</f>
        <v>164.8</v>
      </c>
      <c r="S100" s="6">
        <f>IF($F100=0,"",IF(ISNUMBER(INDEX(Data!P$1:P$373,$F100)),INDEX(Data!P$1:P$373,$F100),""))</f>
        <v>165.4</v>
      </c>
      <c r="T100" s="6">
        <f>IF($F100=0,"",IF(ISNUMBER(INDEX(Data!Q$1:Q$373,$F100)),INDEX(Data!Q$1:Q$373,$F100),""))</f>
        <v>185.4</v>
      </c>
      <c r="U100" s="6">
        <f>IF($F100=0,"",IF(ISNUMBER(INDEX(Data!R$1:R$373,$F100)),INDEX(Data!R$1:R$373,$F100),""))</f>
        <v>155</v>
      </c>
      <c r="V100" s="6">
        <f>IF($F100=0,"",IF(ISNUMBER(INDEX(Data!S$1:S$373,$F100)),INDEX(Data!S$1:S$373,$F100),""))</f>
        <v>145.4</v>
      </c>
      <c r="W100" s="6">
        <f>IF($F100=0,"",IF(ISNUMBER(INDEX(Data!T$1:T$373,$F100)),INDEX(Data!T$1:T$373,$F100),""))</f>
        <v>153.6</v>
      </c>
      <c r="X100" s="6">
        <f>IF($F100=0,"",IF(ISNUMBER(INDEX(Data!U$1:U$373,$F100)),INDEX(Data!U$1:U$373,$F100),""))</f>
        <v>158.4</v>
      </c>
      <c r="Y100" s="6">
        <f>IF($F100=0,"",IF(ISNUMBER(INDEX(Data!V$1:V$373,$F100)),INDEX(Data!V$1:V$373,$F100),""))</f>
        <v>144.6</v>
      </c>
      <c r="Z100" s="6">
        <f>IF($F100=0,"",IF(ISNUMBER(INDEX(Data!W$1:W$373,$F100)),INDEX(Data!W$1:W$373,$F100),""))</f>
        <v>149.7</v>
      </c>
      <c r="AA100" s="6">
        <f>IF($F100=0,"",IF(ISNUMBER(INDEX(Data!X$1:X$373,$F100)),INDEX(Data!X$1:X$373,$F100),""))</f>
        <v>158.3</v>
      </c>
      <c r="AB100" s="6">
        <f>IF($F100=0,"",IF(ISNUMBER(INDEX(Data!Y$1:Y$373,$F100)),INDEX(Data!Y$1:Y$373,$F100),""))</f>
        <v>140.7</v>
      </c>
      <c r="AC100" s="6">
        <f>IF($F100=0,"",IF(ISNUMBER(INDEX(Data!Z$1:Z$373,$F100)),INDEX(Data!Z$1:Z$373,$F100),""))</f>
        <v>148.5</v>
      </c>
      <c r="AD100" s="6">
        <f>IF($F100=0,"",IF(ISNUMBER(INDEX(Data!AA$1:AA$373,$F100)),INDEX(Data!AA$1:AA$373,$F100),""))</f>
        <v>159.4</v>
      </c>
      <c r="AE100" s="6">
        <f>IF($F100=0,"",IF(ISNUMBER(INDEX(Data!AB$1:AB$373,$F100)),INDEX(Data!AB$1:AB$373,$F100),""))</f>
        <v>157.1</v>
      </c>
      <c r="AF100" s="6">
        <f>IF($F100=0,"",IF(ISNUMBER(INDEX(Data!AC$1:AC$373,$F100)),INDEX(Data!AC$1:AC$373,$F100),""))</f>
        <v>151.2</v>
      </c>
      <c r="AG100" s="6">
        <f>IF($F100=0,"",IF(ISNUMBER(INDEX(Data!AD$1:AD$373,$F100)),INDEX(Data!AD$1:AD$373,$F100),""))</f>
        <v>158.9</v>
      </c>
    </row>
    <row r="101" spans="1:33">
      <c r="A101" s="6">
        <v>2021</v>
      </c>
      <c r="B101" s="6">
        <v>1</v>
      </c>
      <c r="C101" s="6" t="s">
        <v>50</v>
      </c>
      <c r="D101" s="9">
        <f t="shared" si="2"/>
        <v>44197</v>
      </c>
      <c r="E101" s="6" t="str">
        <f t="shared" si="3"/>
        <v>Rural+Urban|2021|January</v>
      </c>
      <c r="F101" s="6">
        <f>IFERROR(MATCH(E101,Data!$AE$1:$AE$373,0),0)</f>
        <v>289</v>
      </c>
      <c r="G101" s="6">
        <f>IF($F101=0,"",IF(ISNUMBER(INDEX(Data!D$1:D$373,$F101)),INDEX(Data!D$1:D$373,$F101),""))</f>
        <v>144.9</v>
      </c>
      <c r="H101" s="6">
        <f>IF($F101=0,"",IF(ISNUMBER(INDEX(Data!E$1:E$373,$F101)),INDEX(Data!E$1:E$373,$F101),""))</f>
        <v>190.1</v>
      </c>
      <c r="I101" s="6">
        <f>IF($F101=0,"",IF(ISNUMBER(INDEX(Data!F$1:F$373,$F101)),INDEX(Data!F$1:F$373,$F101),""))</f>
        <v>175.3</v>
      </c>
      <c r="J101" s="6">
        <f>IF($F101=0,"",IF(ISNUMBER(INDEX(Data!G$1:G$373,$F101)),INDEX(Data!G$1:G$373,$F101),""))</f>
        <v>154.1</v>
      </c>
      <c r="K101" s="6">
        <f>IF($F101=0,"",IF(ISNUMBER(INDEX(Data!H$1:H$373,$F101)),INDEX(Data!H$1:H$373,$F101),""))</f>
        <v>150.9</v>
      </c>
      <c r="L101" s="6">
        <f>IF($F101=0,"",IF(ISNUMBER(INDEX(Data!I$1:I$373,$F101)),INDEX(Data!I$1:I$373,$F101),""))</f>
        <v>149.6</v>
      </c>
      <c r="M101" s="6">
        <f>IF($F101=0,"",IF(ISNUMBER(INDEX(Data!J$1:J$373,$F101)),INDEX(Data!J$1:J$373,$F101),""))</f>
        <v>194.2</v>
      </c>
      <c r="N101" s="6">
        <f>IF($F101=0,"",IF(ISNUMBER(INDEX(Data!K$1:K$373,$F101)),INDEX(Data!K$1:K$373,$F101),""))</f>
        <v>160.4</v>
      </c>
      <c r="O101" s="6">
        <f>IF($F101=0,"",IF(ISNUMBER(INDEX(Data!L$1:L$373,$F101)),INDEX(Data!L$1:L$373,$F101),""))</f>
        <v>114.6</v>
      </c>
      <c r="P101" s="6">
        <f>IF($F101=0,"",IF(ISNUMBER(INDEX(Data!M$1:M$373,$F101)),INDEX(Data!M$1:M$373,$F101),""))</f>
        <v>164</v>
      </c>
      <c r="Q101" s="6">
        <f>IF($F101=0,"",IF(ISNUMBER(INDEX(Data!N$1:N$373,$F101)),INDEX(Data!N$1:N$373,$F101),""))</f>
        <v>151.8</v>
      </c>
      <c r="R101" s="6">
        <f>IF($F101=0,"",IF(ISNUMBER(INDEX(Data!O$1:O$373,$F101)),INDEX(Data!O$1:O$373,$F101),""))</f>
        <v>165.6</v>
      </c>
      <c r="S101" s="6">
        <f>IF($F101=0,"",IF(ISNUMBER(INDEX(Data!P$1:P$373,$F101)),INDEX(Data!P$1:P$373,$F101),""))</f>
        <v>161</v>
      </c>
      <c r="T101" s="6">
        <f>IF($F101=0,"",IF(ISNUMBER(INDEX(Data!Q$1:Q$373,$F101)),INDEX(Data!Q$1:Q$373,$F101),""))</f>
        <v>186.5</v>
      </c>
      <c r="U101" s="6">
        <f>IF($F101=0,"",IF(ISNUMBER(INDEX(Data!R$1:R$373,$F101)),INDEX(Data!R$1:R$373,$F101),""))</f>
        <v>155.5</v>
      </c>
      <c r="V101" s="6">
        <f>IF($F101=0,"",IF(ISNUMBER(INDEX(Data!S$1:S$373,$F101)),INDEX(Data!S$1:S$373,$F101),""))</f>
        <v>146.1</v>
      </c>
      <c r="W101" s="6">
        <f>IF($F101=0,"",IF(ISNUMBER(INDEX(Data!T$1:T$373,$F101)),INDEX(Data!T$1:T$373,$F101),""))</f>
        <v>154.2</v>
      </c>
      <c r="X101" s="6">
        <f>IF($F101=0,"",IF(ISNUMBER(INDEX(Data!U$1:U$373,$F101)),INDEX(Data!U$1:U$373,$F101),""))</f>
        <v>157.7</v>
      </c>
      <c r="Y101" s="6">
        <f>IF($F101=0,"",IF(ISNUMBER(INDEX(Data!V$1:V$373,$F101)),INDEX(Data!V$1:V$373,$F101),""))</f>
        <v>147.9</v>
      </c>
      <c r="Z101" s="6">
        <f>IF($F101=0,"",IF(ISNUMBER(INDEX(Data!W$1:W$373,$F101)),INDEX(Data!W$1:W$373,$F101),""))</f>
        <v>150</v>
      </c>
      <c r="AA101" s="6">
        <f>IF($F101=0,"",IF(ISNUMBER(INDEX(Data!X$1:X$373,$F101)),INDEX(Data!X$1:X$373,$F101),""))</f>
        <v>159.3</v>
      </c>
      <c r="AB101" s="6">
        <f>IF($F101=0,"",IF(ISNUMBER(INDEX(Data!Y$1:Y$373,$F101)),INDEX(Data!Y$1:Y$373,$F101),""))</f>
        <v>141.9</v>
      </c>
      <c r="AC101" s="6">
        <f>IF($F101=0,"",IF(ISNUMBER(INDEX(Data!Z$1:Z$373,$F101)),INDEX(Data!Z$1:Z$373,$F101),""))</f>
        <v>149.6</v>
      </c>
      <c r="AD101" s="6">
        <f>IF($F101=0,"",IF(ISNUMBER(INDEX(Data!AA$1:AA$373,$F101)),INDEX(Data!AA$1:AA$373,$F101),""))</f>
        <v>159.2</v>
      </c>
      <c r="AE101" s="6">
        <f>IF($F101=0,"",IF(ISNUMBER(INDEX(Data!AB$1:AB$373,$F101)),INDEX(Data!AB$1:AB$373,$F101),""))</f>
        <v>156.8</v>
      </c>
      <c r="AF101" s="6">
        <f>IF($F101=0,"",IF(ISNUMBER(INDEX(Data!AC$1:AC$373,$F101)),INDEX(Data!AC$1:AC$373,$F101),""))</f>
        <v>151.9</v>
      </c>
      <c r="AG101" s="6">
        <f>IF($F101=0,"",IF(ISNUMBER(INDEX(Data!AD$1:AD$373,$F101)),INDEX(Data!AD$1:AD$373,$F101),""))</f>
        <v>157.3</v>
      </c>
    </row>
    <row r="102" spans="1:33">
      <c r="A102" s="6">
        <v>2021</v>
      </c>
      <c r="B102" s="6">
        <v>2</v>
      </c>
      <c r="C102" s="6" t="s">
        <v>53</v>
      </c>
      <c r="D102" s="9">
        <f t="shared" si="2"/>
        <v>44228</v>
      </c>
      <c r="E102" s="6" t="str">
        <f t="shared" si="3"/>
        <v>Rural+Urban|2021|February</v>
      </c>
      <c r="F102" s="6">
        <f>IFERROR(MATCH(E102,Data!$AE$1:$AE$373,0),0)</f>
        <v>292</v>
      </c>
      <c r="G102" s="6">
        <f>IF($F102=0,"",IF(ISNUMBER(INDEX(Data!D$1:D$373,$F102)),INDEX(Data!D$1:D$373,$F102),""))</f>
        <v>144.3</v>
      </c>
      <c r="H102" s="6">
        <f>IF($F102=0,"",IF(ISNUMBER(INDEX(Data!E$1:E$373,$F102)),INDEX(Data!E$1:E$373,$F102),""))</f>
        <v>186.5</v>
      </c>
      <c r="I102" s="6">
        <f>IF($F102=0,"",IF(ISNUMBER(INDEX(Data!F$1:F$373,$F102)),INDEX(Data!F$1:F$373,$F102),""))</f>
        <v>168.7</v>
      </c>
      <c r="J102" s="6">
        <f>IF($F102=0,"",IF(ISNUMBER(INDEX(Data!G$1:G$373,$F102)),INDEX(Data!G$1:G$373,$F102),""))</f>
        <v>154.7</v>
      </c>
      <c r="K102" s="6">
        <f>IF($F102=0,"",IF(ISNUMBER(INDEX(Data!H$1:H$373,$F102)),INDEX(Data!H$1:H$373,$F102),""))</f>
        <v>158.7</v>
      </c>
      <c r="L102" s="6">
        <f>IF($F102=0,"",IF(ISNUMBER(INDEX(Data!I$1:I$373,$F102)),INDEX(Data!I$1:I$373,$F102),""))</f>
        <v>150.7</v>
      </c>
      <c r="M102" s="6">
        <f>IF($F102=0,"",IF(ISNUMBER(INDEX(Data!J$1:J$373,$F102)),INDEX(Data!J$1:J$373,$F102),""))</f>
        <v>160</v>
      </c>
      <c r="N102" s="6">
        <f>IF($F102=0,"",IF(ISNUMBER(INDEX(Data!K$1:K$373,$F102)),INDEX(Data!K$1:K$373,$F102),""))</f>
        <v>158.8</v>
      </c>
      <c r="O102" s="6">
        <f>IF($F102=0,"",IF(ISNUMBER(INDEX(Data!L$1:L$373,$F102)),INDEX(Data!L$1:L$373,$F102),""))</f>
        <v>112.8</v>
      </c>
      <c r="P102" s="6">
        <f>IF($F102=0,"",IF(ISNUMBER(INDEX(Data!M$1:M$373,$F102)),INDEX(Data!M$1:M$373,$F102),""))</f>
        <v>164.2</v>
      </c>
      <c r="Q102" s="6">
        <f>IF($F102=0,"",IF(ISNUMBER(INDEX(Data!N$1:N$373,$F102)),INDEX(Data!N$1:N$373,$F102),""))</f>
        <v>155.5</v>
      </c>
      <c r="R102" s="6">
        <f>IF($F102=0,"",IF(ISNUMBER(INDEX(Data!O$1:O$373,$F102)),INDEX(Data!O$1:O$373,$F102),""))</f>
        <v>167.5</v>
      </c>
      <c r="S102" s="6">
        <f>IF($F102=0,"",IF(ISNUMBER(INDEX(Data!P$1:P$373,$F102)),INDEX(Data!P$1:P$373,$F102),""))</f>
        <v>156.9</v>
      </c>
      <c r="T102" s="6">
        <f>IF($F102=0,"",IF(ISNUMBER(INDEX(Data!Q$1:Q$373,$F102)),INDEX(Data!Q$1:Q$373,$F102),""))</f>
        <v>188.3</v>
      </c>
      <c r="U102" s="6">
        <f>IF($F102=0,"",IF(ISNUMBER(INDEX(Data!R$1:R$373,$F102)),INDEX(Data!R$1:R$373,$F102),""))</f>
        <v>157.2</v>
      </c>
      <c r="V102" s="6">
        <f>IF($F102=0,"",IF(ISNUMBER(INDEX(Data!S$1:S$373,$F102)),INDEX(Data!S$1:S$373,$F102),""))</f>
        <v>147.4</v>
      </c>
      <c r="W102" s="6">
        <f>IF($F102=0,"",IF(ISNUMBER(INDEX(Data!T$1:T$373,$F102)),INDEX(Data!T$1:T$373,$F102),""))</f>
        <v>155.8</v>
      </c>
      <c r="X102" s="6">
        <f>IF($F102=0,"",IF(ISNUMBER(INDEX(Data!U$1:U$373,$F102)),INDEX(Data!U$1:U$373,$F102),""))</f>
        <v>159.8</v>
      </c>
      <c r="Y102" s="6">
        <f>IF($F102=0,"",IF(ISNUMBER(INDEX(Data!V$1:V$373,$F102)),INDEX(Data!V$1:V$373,$F102),""))</f>
        <v>152.4</v>
      </c>
      <c r="Z102" s="6">
        <f>IF($F102=0,"",IF(ISNUMBER(INDEX(Data!W$1:W$373,$F102)),INDEX(Data!W$1:W$373,$F102),""))</f>
        <v>150.9</v>
      </c>
      <c r="AA102" s="6">
        <f>IF($F102=0,"",IF(ISNUMBER(INDEX(Data!X$1:X$373,$F102)),INDEX(Data!X$1:X$373,$F102),""))</f>
        <v>161.3</v>
      </c>
      <c r="AB102" s="6">
        <f>IF($F102=0,"",IF(ISNUMBER(INDEX(Data!Y$1:Y$373,$F102)),INDEX(Data!Y$1:Y$373,$F102),""))</f>
        <v>145.1</v>
      </c>
      <c r="AC102" s="6">
        <f>IF($F102=0,"",IF(ISNUMBER(INDEX(Data!Z$1:Z$373,$F102)),INDEX(Data!Z$1:Z$373,$F102),""))</f>
        <v>151.5</v>
      </c>
      <c r="AD102" s="6">
        <f>IF($F102=0,"",IF(ISNUMBER(INDEX(Data!AA$1:AA$373,$F102)),INDEX(Data!AA$1:AA$373,$F102),""))</f>
        <v>159.5</v>
      </c>
      <c r="AE102" s="6">
        <f>IF($F102=0,"",IF(ISNUMBER(INDEX(Data!AB$1:AB$373,$F102)),INDEX(Data!AB$1:AB$373,$F102),""))</f>
        <v>155.8</v>
      </c>
      <c r="AF102" s="6">
        <f>IF($F102=0,"",IF(ISNUMBER(INDEX(Data!AC$1:AC$373,$F102)),INDEX(Data!AC$1:AC$373,$F102),""))</f>
        <v>153.4</v>
      </c>
      <c r="AG102" s="6">
        <f>IF($F102=0,"",IF(ISNUMBER(INDEX(Data!AD$1:AD$373,$F102)),INDEX(Data!AD$1:AD$373,$F102),""))</f>
        <v>156.6</v>
      </c>
    </row>
    <row r="103" spans="1:33">
      <c r="A103" s="6">
        <v>2021</v>
      </c>
      <c r="B103" s="6">
        <v>3</v>
      </c>
      <c r="C103" s="6" t="s">
        <v>54</v>
      </c>
      <c r="D103" s="9">
        <f t="shared" si="2"/>
        <v>44256</v>
      </c>
      <c r="E103" s="6" t="str">
        <f t="shared" si="3"/>
        <v>Rural+Urban|2021|March</v>
      </c>
      <c r="F103" s="6">
        <f>IFERROR(MATCH(E103,Data!$AE$1:$AE$373,0),0)</f>
        <v>295</v>
      </c>
      <c r="G103" s="6">
        <f>IF($F103=0,"",IF(ISNUMBER(INDEX(Data!D$1:D$373,$F103)),INDEX(Data!D$1:D$373,$F103),""))</f>
        <v>144.1</v>
      </c>
      <c r="H103" s="6">
        <f>IF($F103=0,"",IF(ISNUMBER(INDEX(Data!E$1:E$373,$F103)),INDEX(Data!E$1:E$373,$F103),""))</f>
        <v>192.2</v>
      </c>
      <c r="I103" s="6">
        <f>IF($F103=0,"",IF(ISNUMBER(INDEX(Data!F$1:F$373,$F103)),INDEX(Data!F$1:F$373,$F103),""))</f>
        <v>163.8</v>
      </c>
      <c r="J103" s="6">
        <f>IF($F103=0,"",IF(ISNUMBER(INDEX(Data!G$1:G$373,$F103)),INDEX(Data!G$1:G$373,$F103),""))</f>
        <v>154.9</v>
      </c>
      <c r="K103" s="6">
        <f>IF($F103=0,"",IF(ISNUMBER(INDEX(Data!H$1:H$373,$F103)),INDEX(Data!H$1:H$373,$F103),""))</f>
        <v>163.9</v>
      </c>
      <c r="L103" s="6">
        <f>IF($F103=0,"",IF(ISNUMBER(INDEX(Data!I$1:I$373,$F103)),INDEX(Data!I$1:I$373,$F103),""))</f>
        <v>153.7</v>
      </c>
      <c r="M103" s="6">
        <f>IF($F103=0,"",IF(ISNUMBER(INDEX(Data!J$1:J$373,$F103)),INDEX(Data!J$1:J$373,$F103),""))</f>
        <v>149.5</v>
      </c>
      <c r="N103" s="6">
        <f>IF($F103=0,"",IF(ISNUMBER(INDEX(Data!K$1:K$373,$F103)),INDEX(Data!K$1:K$373,$F103),""))</f>
        <v>159.8</v>
      </c>
      <c r="O103" s="6">
        <f>IF($F103=0,"",IF(ISNUMBER(INDEX(Data!L$1:L$373,$F103)),INDEX(Data!L$1:L$373,$F103),""))</f>
        <v>112.6</v>
      </c>
      <c r="P103" s="6">
        <f>IF($F103=0,"",IF(ISNUMBER(INDEX(Data!M$1:M$373,$F103)),INDEX(Data!M$1:M$373,$F103),""))</f>
        <v>163.5</v>
      </c>
      <c r="Q103" s="6">
        <f>IF($F103=0,"",IF(ISNUMBER(INDEX(Data!N$1:N$373,$F103)),INDEX(Data!N$1:N$373,$F103),""))</f>
        <v>156.5</v>
      </c>
      <c r="R103" s="6">
        <f>IF($F103=0,"",IF(ISNUMBER(INDEX(Data!O$1:O$373,$F103)),INDEX(Data!O$1:O$373,$F103),""))</f>
        <v>168.2</v>
      </c>
      <c r="S103" s="6">
        <f>IF($F103=0,"",IF(ISNUMBER(INDEX(Data!P$1:P$373,$F103)),INDEX(Data!P$1:P$373,$F103),""))</f>
        <v>156.7</v>
      </c>
      <c r="T103" s="6">
        <f>IF($F103=0,"",IF(ISNUMBER(INDEX(Data!Q$1:Q$373,$F103)),INDEX(Data!Q$1:Q$373,$F103),""))</f>
        <v>188.1</v>
      </c>
      <c r="U103" s="6">
        <f>IF($F103=0,"",IF(ISNUMBER(INDEX(Data!R$1:R$373,$F103)),INDEX(Data!R$1:R$373,$F103),""))</f>
        <v>157.8</v>
      </c>
      <c r="V103" s="6">
        <f>IF($F103=0,"",IF(ISNUMBER(INDEX(Data!S$1:S$373,$F103)),INDEX(Data!S$1:S$373,$F103),""))</f>
        <v>147.9</v>
      </c>
      <c r="W103" s="6">
        <f>IF($F103=0,"",IF(ISNUMBER(INDEX(Data!T$1:T$373,$F103)),INDEX(Data!T$1:T$373,$F103),""))</f>
        <v>156.4</v>
      </c>
      <c r="X103" s="6">
        <f>IF($F103=0,"",IF(ISNUMBER(INDEX(Data!U$1:U$373,$F103)),INDEX(Data!U$1:U$373,$F103),""))</f>
        <v>159.9</v>
      </c>
      <c r="Y103" s="6">
        <f>IF($F103=0,"",IF(ISNUMBER(INDEX(Data!V$1:V$373,$F103)),INDEX(Data!V$1:V$373,$F103),""))</f>
        <v>155.5</v>
      </c>
      <c r="Z103" s="6">
        <f>IF($F103=0,"",IF(ISNUMBER(INDEX(Data!W$1:W$373,$F103)),INDEX(Data!W$1:W$373,$F103),""))</f>
        <v>151.2</v>
      </c>
      <c r="AA103" s="6">
        <f>IF($F103=0,"",IF(ISNUMBER(INDEX(Data!X$1:X$373,$F103)),INDEX(Data!X$1:X$373,$F103),""))</f>
        <v>161.7</v>
      </c>
      <c r="AB103" s="6">
        <f>IF($F103=0,"",IF(ISNUMBER(INDEX(Data!Y$1:Y$373,$F103)),INDEX(Data!Y$1:Y$373,$F103),""))</f>
        <v>146.2</v>
      </c>
      <c r="AC103" s="6">
        <f>IF($F103=0,"",IF(ISNUMBER(INDEX(Data!Z$1:Z$373,$F103)),INDEX(Data!Z$1:Z$373,$F103),""))</f>
        <v>152.6</v>
      </c>
      <c r="AD103" s="6">
        <f>IF($F103=0,"",IF(ISNUMBER(INDEX(Data!AA$1:AA$373,$F103)),INDEX(Data!AA$1:AA$373,$F103),""))</f>
        <v>160.2</v>
      </c>
      <c r="AE103" s="6">
        <f>IF($F103=0,"",IF(ISNUMBER(INDEX(Data!AB$1:AB$373,$F103)),INDEX(Data!AB$1:AB$373,$F103),""))</f>
        <v>153.8</v>
      </c>
      <c r="AF103" s="6">
        <f>IF($F103=0,"",IF(ISNUMBER(INDEX(Data!AC$1:AC$373,$F103)),INDEX(Data!AC$1:AC$373,$F103),""))</f>
        <v>153.8</v>
      </c>
      <c r="AG103" s="6">
        <f>IF($F103=0,"",IF(ISNUMBER(INDEX(Data!AD$1:AD$373,$F103)),INDEX(Data!AD$1:AD$373,$F103),""))</f>
        <v>156.8</v>
      </c>
    </row>
    <row r="104" spans="1:33">
      <c r="A104" s="6">
        <v>2021</v>
      </c>
      <c r="B104" s="6">
        <v>4</v>
      </c>
      <c r="C104" s="6" t="s">
        <v>55</v>
      </c>
      <c r="D104" s="9">
        <f t="shared" si="2"/>
        <v>44287</v>
      </c>
      <c r="E104" s="6" t="str">
        <f t="shared" si="3"/>
        <v>Rural+Urban|2021|April</v>
      </c>
      <c r="F104" s="6">
        <f>IFERROR(MATCH(E104,Data!$AE$1:$AE$373,0),0)</f>
        <v>298</v>
      </c>
      <c r="G104" s="6">
        <f>IF($F104=0,"",IF(ISNUMBER(INDEX(Data!D$1:D$373,$F104)),INDEX(Data!D$1:D$373,$F104),""))</f>
        <v>144.3</v>
      </c>
      <c r="H104" s="6">
        <f>IF($F104=0,"",IF(ISNUMBER(INDEX(Data!E$1:E$373,$F104)),INDEX(Data!E$1:E$373,$F104),""))</f>
        <v>198</v>
      </c>
      <c r="I104" s="6">
        <f>IF($F104=0,"",IF(ISNUMBER(INDEX(Data!F$1:F$373,$F104)),INDEX(Data!F$1:F$373,$F104),""))</f>
        <v>164.6</v>
      </c>
      <c r="J104" s="6">
        <f>IF($F104=0,"",IF(ISNUMBER(INDEX(Data!G$1:G$373,$F104)),INDEX(Data!G$1:G$373,$F104),""))</f>
        <v>155.4</v>
      </c>
      <c r="K104" s="6">
        <f>IF($F104=0,"",IF(ISNUMBER(INDEX(Data!H$1:H$373,$F104)),INDEX(Data!H$1:H$373,$F104),""))</f>
        <v>170.1</v>
      </c>
      <c r="L104" s="6">
        <f>IF($F104=0,"",IF(ISNUMBER(INDEX(Data!I$1:I$373,$F104)),INDEX(Data!I$1:I$373,$F104),""))</f>
        <v>164.4</v>
      </c>
      <c r="M104" s="6">
        <f>IF($F104=0,"",IF(ISNUMBER(INDEX(Data!J$1:J$373,$F104)),INDEX(Data!J$1:J$373,$F104),""))</f>
        <v>144.1</v>
      </c>
      <c r="N104" s="6">
        <f>IF($F104=0,"",IF(ISNUMBER(INDEX(Data!K$1:K$373,$F104)),INDEX(Data!K$1:K$373,$F104),""))</f>
        <v>161.7</v>
      </c>
      <c r="O104" s="6">
        <f>IF($F104=0,"",IF(ISNUMBER(INDEX(Data!L$1:L$373,$F104)),INDEX(Data!L$1:L$373,$F104),""))</f>
        <v>113.1</v>
      </c>
      <c r="P104" s="6">
        <f>IF($F104=0,"",IF(ISNUMBER(INDEX(Data!M$1:M$373,$F104)),INDEX(Data!M$1:M$373,$F104),""))</f>
        <v>163.9</v>
      </c>
      <c r="Q104" s="6">
        <f>IF($F104=0,"",IF(ISNUMBER(INDEX(Data!N$1:N$373,$F104)),INDEX(Data!N$1:N$373,$F104),""))</f>
        <v>157.6</v>
      </c>
      <c r="R104" s="6">
        <f>IF($F104=0,"",IF(ISNUMBER(INDEX(Data!O$1:O$373,$F104)),INDEX(Data!O$1:O$373,$F104),""))</f>
        <v>168.9</v>
      </c>
      <c r="S104" s="6">
        <f>IF($F104=0,"",IF(ISNUMBER(INDEX(Data!P$1:P$373,$F104)),INDEX(Data!P$1:P$373,$F104),""))</f>
        <v>158</v>
      </c>
      <c r="T104" s="6">
        <f>IF($F104=0,"",IF(ISNUMBER(INDEX(Data!Q$1:Q$373,$F104)),INDEX(Data!Q$1:Q$373,$F104),""))</f>
        <v>188.8</v>
      </c>
      <c r="U104" s="6">
        <f>IF($F104=0,"",IF(ISNUMBER(INDEX(Data!R$1:R$373,$F104)),INDEX(Data!R$1:R$373,$F104),""))</f>
        <v>158.8</v>
      </c>
      <c r="V104" s="6">
        <f>IF($F104=0,"",IF(ISNUMBER(INDEX(Data!S$1:S$373,$F104)),INDEX(Data!S$1:S$373,$F104),""))</f>
        <v>148.5</v>
      </c>
      <c r="W104" s="6">
        <f>IF($F104=0,"",IF(ISNUMBER(INDEX(Data!T$1:T$373,$F104)),INDEX(Data!T$1:T$373,$F104),""))</f>
        <v>157.3</v>
      </c>
      <c r="X104" s="6">
        <f>IF($F104=0,"",IF(ISNUMBER(INDEX(Data!U$1:U$373,$F104)),INDEX(Data!U$1:U$373,$F104),""))</f>
        <v>161.4</v>
      </c>
      <c r="Y104" s="6">
        <f>IF($F104=0,"",IF(ISNUMBER(INDEX(Data!V$1:V$373,$F104)),INDEX(Data!V$1:V$373,$F104),""))</f>
        <v>155.6</v>
      </c>
      <c r="Z104" s="6">
        <f>IF($F104=0,"",IF(ISNUMBER(INDEX(Data!W$1:W$373,$F104)),INDEX(Data!W$1:W$373,$F104),""))</f>
        <v>151.8</v>
      </c>
      <c r="AA104" s="6">
        <f>IF($F104=0,"",IF(ISNUMBER(INDEX(Data!X$1:X$373,$F104)),INDEX(Data!X$1:X$373,$F104),""))</f>
        <v>162.3</v>
      </c>
      <c r="AB104" s="6">
        <f>IF($F104=0,"",IF(ISNUMBER(INDEX(Data!Y$1:Y$373,$F104)),INDEX(Data!Y$1:Y$373,$F104),""))</f>
        <v>146.6</v>
      </c>
      <c r="AC104" s="6">
        <f>IF($F104=0,"",IF(ISNUMBER(INDEX(Data!Z$1:Z$373,$F104)),INDEX(Data!Z$1:Z$373,$F104),""))</f>
        <v>153.2</v>
      </c>
      <c r="AD104" s="6">
        <f>IF($F104=0,"",IF(ISNUMBER(INDEX(Data!AA$1:AA$373,$F104)),INDEX(Data!AA$1:AA$373,$F104),""))</f>
        <v>160.3</v>
      </c>
      <c r="AE104" s="6">
        <f>IF($F104=0,"",IF(ISNUMBER(INDEX(Data!AB$1:AB$373,$F104)),INDEX(Data!AB$1:AB$373,$F104),""))</f>
        <v>155.4</v>
      </c>
      <c r="AF104" s="6">
        <f>IF($F104=0,"",IF(ISNUMBER(INDEX(Data!AC$1:AC$373,$F104)),INDEX(Data!AC$1:AC$373,$F104),""))</f>
        <v>154.4</v>
      </c>
      <c r="AG104" s="6">
        <f>IF($F104=0,"",IF(ISNUMBER(INDEX(Data!AD$1:AD$373,$F104)),INDEX(Data!AD$1:AD$373,$F104),""))</f>
        <v>157.8</v>
      </c>
    </row>
    <row r="105" spans="1:33">
      <c r="A105" s="6">
        <v>2021</v>
      </c>
      <c r="B105" s="6">
        <v>5</v>
      </c>
      <c r="C105" s="6" t="s">
        <v>56</v>
      </c>
      <c r="D105" s="9">
        <f t="shared" si="2"/>
        <v>44317</v>
      </c>
      <c r="E105" s="6" t="str">
        <f t="shared" si="3"/>
        <v>Rural+Urban|2021|May</v>
      </c>
      <c r="F105" s="6">
        <f>IFERROR(MATCH(E105,Data!$AE$1:$AE$373,0),0)</f>
        <v>301</v>
      </c>
      <c r="G105" s="6">
        <f>IF($F105=0,"",IF(ISNUMBER(INDEX(Data!D$1:D$373,$F105)),INDEX(Data!D$1:D$373,$F105),""))</f>
        <v>146.3</v>
      </c>
      <c r="H105" s="6">
        <f>IF($F105=0,"",IF(ISNUMBER(INDEX(Data!E$1:E$373,$F105)),INDEX(Data!E$1:E$373,$F105),""))</f>
        <v>200.5</v>
      </c>
      <c r="I105" s="6">
        <f>IF($F105=0,"",IF(ISNUMBER(INDEX(Data!F$1:F$373,$F105)),INDEX(Data!F$1:F$373,$F105),""))</f>
        <v>170.3</v>
      </c>
      <c r="J105" s="6">
        <f>IF($F105=0,"",IF(ISNUMBER(INDEX(Data!G$1:G$373,$F105)),INDEX(Data!G$1:G$373,$F105),""))</f>
        <v>156.1</v>
      </c>
      <c r="K105" s="6">
        <f>IF($F105=0,"",IF(ISNUMBER(INDEX(Data!H$1:H$373,$F105)),INDEX(Data!H$1:H$373,$F105),""))</f>
        <v>178.7</v>
      </c>
      <c r="L105" s="6">
        <f>IF($F105=0,"",IF(ISNUMBER(INDEX(Data!I$1:I$373,$F105)),INDEX(Data!I$1:I$373,$F105),""))</f>
        <v>167.1</v>
      </c>
      <c r="M105" s="6">
        <f>IF($F105=0,"",IF(ISNUMBER(INDEX(Data!J$1:J$373,$F105)),INDEX(Data!J$1:J$373,$F105),""))</f>
        <v>147.9</v>
      </c>
      <c r="N105" s="6">
        <f>IF($F105=0,"",IF(ISNUMBER(INDEX(Data!K$1:K$373,$F105)),INDEX(Data!K$1:K$373,$F105),""))</f>
        <v>165.4</v>
      </c>
      <c r="O105" s="6">
        <f>IF($F105=0,"",IF(ISNUMBER(INDEX(Data!L$1:L$373,$F105)),INDEX(Data!L$1:L$373,$F105),""))</f>
        <v>114.8</v>
      </c>
      <c r="P105" s="6">
        <f>IF($F105=0,"",IF(ISNUMBER(INDEX(Data!M$1:M$373,$F105)),INDEX(Data!M$1:M$373,$F105),""))</f>
        <v>168.2</v>
      </c>
      <c r="Q105" s="6">
        <f>IF($F105=0,"",IF(ISNUMBER(INDEX(Data!N$1:N$373,$F105)),INDEX(Data!N$1:N$373,$F105),""))</f>
        <v>159.3</v>
      </c>
      <c r="R105" s="6">
        <f>IF($F105=0,"",IF(ISNUMBER(INDEX(Data!O$1:O$373,$F105)),INDEX(Data!O$1:O$373,$F105),""))</f>
        <v>170.4</v>
      </c>
      <c r="S105" s="6">
        <f>IF($F105=0,"",IF(ISNUMBER(INDEX(Data!P$1:P$373,$F105)),INDEX(Data!P$1:P$373,$F105),""))</f>
        <v>160.7</v>
      </c>
      <c r="T105" s="6">
        <f>IF($F105=0,"",IF(ISNUMBER(INDEX(Data!Q$1:Q$373,$F105)),INDEX(Data!Q$1:Q$373,$F105),""))</f>
        <v>191.9</v>
      </c>
      <c r="U105" s="6">
        <f>IF($F105=0,"",IF(ISNUMBER(INDEX(Data!R$1:R$373,$F105)),INDEX(Data!R$1:R$373,$F105),""))</f>
        <v>161.8</v>
      </c>
      <c r="V105" s="6">
        <f>IF($F105=0,"",IF(ISNUMBER(INDEX(Data!S$1:S$373,$F105)),INDEX(Data!S$1:S$373,$F105),""))</f>
        <v>152.1</v>
      </c>
      <c r="W105" s="6">
        <f>IF($F105=0,"",IF(ISNUMBER(INDEX(Data!T$1:T$373,$F105)),INDEX(Data!T$1:T$373,$F105),""))</f>
        <v>160.4</v>
      </c>
      <c r="X105" s="6">
        <f>IF($F105=0,"",IF(ISNUMBER(INDEX(Data!U$1:U$373,$F105)),INDEX(Data!U$1:U$373,$F105),""))</f>
        <v>161.6</v>
      </c>
      <c r="Y105" s="6">
        <f>IF($F105=0,"",IF(ISNUMBER(INDEX(Data!V$1:V$373,$F105)),INDEX(Data!V$1:V$373,$F105),""))</f>
        <v>159.4</v>
      </c>
      <c r="Z105" s="6">
        <f>IF($F105=0,"",IF(ISNUMBER(INDEX(Data!W$1:W$373,$F105)),INDEX(Data!W$1:W$373,$F105),""))</f>
        <v>154.7</v>
      </c>
      <c r="AA105" s="6">
        <f>IF($F105=0,"",IF(ISNUMBER(INDEX(Data!X$1:X$373,$F105)),INDEX(Data!X$1:X$373,$F105),""))</f>
        <v>165.8</v>
      </c>
      <c r="AB105" s="6">
        <f>IF($F105=0,"",IF(ISNUMBER(INDEX(Data!Y$1:Y$373,$F105)),INDEX(Data!Y$1:Y$373,$F105),""))</f>
        <v>148.9</v>
      </c>
      <c r="AC105" s="6">
        <f>IF($F105=0,"",IF(ISNUMBER(INDEX(Data!Z$1:Z$373,$F105)),INDEX(Data!Z$1:Z$373,$F105),""))</f>
        <v>155.8</v>
      </c>
      <c r="AD105" s="6">
        <f>IF($F105=0,"",IF(ISNUMBER(INDEX(Data!AA$1:AA$373,$F105)),INDEX(Data!AA$1:AA$373,$F105),""))</f>
        <v>161.2</v>
      </c>
      <c r="AE105" s="6">
        <f>IF($F105=0,"",IF(ISNUMBER(INDEX(Data!AB$1:AB$373,$F105)),INDEX(Data!AB$1:AB$373,$F105),""))</f>
        <v>158.6</v>
      </c>
      <c r="AF105" s="6">
        <f>IF($F105=0,"",IF(ISNUMBER(INDEX(Data!AC$1:AC$373,$F105)),INDEX(Data!AC$1:AC$373,$F105),""))</f>
        <v>156.8</v>
      </c>
      <c r="AG105" s="6">
        <f>IF($F105=0,"",IF(ISNUMBER(INDEX(Data!AD$1:AD$373,$F105)),INDEX(Data!AD$1:AD$373,$F105),""))</f>
        <v>160.4</v>
      </c>
    </row>
    <row r="106" spans="1:33">
      <c r="A106" s="6">
        <v>2021</v>
      </c>
      <c r="B106" s="6">
        <v>6</v>
      </c>
      <c r="C106" s="6" t="s">
        <v>57</v>
      </c>
      <c r="D106" s="9">
        <f t="shared" si="2"/>
        <v>44348</v>
      </c>
      <c r="E106" s="6" t="str">
        <f t="shared" si="3"/>
        <v>Rural+Urban|2021|June</v>
      </c>
      <c r="F106" s="6">
        <f>IFERROR(MATCH(E106,Data!$AE$1:$AE$373,0),0)</f>
        <v>304</v>
      </c>
      <c r="G106" s="6">
        <f>IF($F106=0,"",IF(ISNUMBER(INDEX(Data!D$1:D$373,$F106)),INDEX(Data!D$1:D$373,$F106),""))</f>
        <v>146.7</v>
      </c>
      <c r="H106" s="6">
        <f>IF($F106=0,"",IF(ISNUMBER(INDEX(Data!E$1:E$373,$F106)),INDEX(Data!E$1:E$373,$F106),""))</f>
        <v>202</v>
      </c>
      <c r="I106" s="6">
        <f>IF($F106=0,"",IF(ISNUMBER(INDEX(Data!F$1:F$373,$F106)),INDEX(Data!F$1:F$373,$F106),""))</f>
        <v>180.7</v>
      </c>
      <c r="J106" s="6">
        <f>IF($F106=0,"",IF(ISNUMBER(INDEX(Data!G$1:G$373,$F106)),INDEX(Data!G$1:G$373,$F106),""))</f>
        <v>156.2</v>
      </c>
      <c r="K106" s="6">
        <f>IF($F106=0,"",IF(ISNUMBER(INDEX(Data!H$1:H$373,$F106)),INDEX(Data!H$1:H$373,$F106),""))</f>
        <v>183.7</v>
      </c>
      <c r="L106" s="6">
        <f>IF($F106=0,"",IF(ISNUMBER(INDEX(Data!I$1:I$373,$F106)),INDEX(Data!I$1:I$373,$F106),""))</f>
        <v>164.6</v>
      </c>
      <c r="M106" s="6">
        <f>IF($F106=0,"",IF(ISNUMBER(INDEX(Data!J$1:J$373,$F106)),INDEX(Data!J$1:J$373,$F106),""))</f>
        <v>155.4</v>
      </c>
      <c r="N106" s="6">
        <f>IF($F106=0,"",IF(ISNUMBER(INDEX(Data!K$1:K$373,$F106)),INDEX(Data!K$1:K$373,$F106),""))</f>
        <v>166</v>
      </c>
      <c r="O106" s="6">
        <f>IF($F106=0,"",IF(ISNUMBER(INDEX(Data!L$1:L$373,$F106)),INDEX(Data!L$1:L$373,$F106),""))</f>
        <v>115.1</v>
      </c>
      <c r="P106" s="6">
        <f>IF($F106=0,"",IF(ISNUMBER(INDEX(Data!M$1:M$373,$F106)),INDEX(Data!M$1:M$373,$F106),""))</f>
        <v>168.5</v>
      </c>
      <c r="Q106" s="6">
        <f>IF($F106=0,"",IF(ISNUMBER(INDEX(Data!N$1:N$373,$F106)),INDEX(Data!N$1:N$373,$F106),""))</f>
        <v>160</v>
      </c>
      <c r="R106" s="6">
        <f>IF($F106=0,"",IF(ISNUMBER(INDEX(Data!O$1:O$373,$F106)),INDEX(Data!O$1:O$373,$F106),""))</f>
        <v>172.4</v>
      </c>
      <c r="S106" s="6">
        <f>IF($F106=0,"",IF(ISNUMBER(INDEX(Data!P$1:P$373,$F106)),INDEX(Data!P$1:P$373,$F106),""))</f>
        <v>162.6</v>
      </c>
      <c r="T106" s="6">
        <f>IF($F106=0,"",IF(ISNUMBER(INDEX(Data!Q$1:Q$373,$F106)),INDEX(Data!Q$1:Q$373,$F106),""))</f>
        <v>190.8</v>
      </c>
      <c r="U106" s="6">
        <f>IF($F106=0,"",IF(ISNUMBER(INDEX(Data!R$1:R$373,$F106)),INDEX(Data!R$1:R$373,$F106),""))</f>
        <v>162.2</v>
      </c>
      <c r="V106" s="6">
        <f>IF($F106=0,"",IF(ISNUMBER(INDEX(Data!S$1:S$373,$F106)),INDEX(Data!S$1:S$373,$F106),""))</f>
        <v>151.8</v>
      </c>
      <c r="W106" s="6">
        <f>IF($F106=0,"",IF(ISNUMBER(INDEX(Data!T$1:T$373,$F106)),INDEX(Data!T$1:T$373,$F106),""))</f>
        <v>160.7</v>
      </c>
      <c r="X106" s="6">
        <f>IF($F106=0,"",IF(ISNUMBER(INDEX(Data!U$1:U$373,$F106)),INDEX(Data!U$1:U$373,$F106),""))</f>
        <v>160.5</v>
      </c>
      <c r="Y106" s="6">
        <f>IF($F106=0,"",IF(ISNUMBER(INDEX(Data!V$1:V$373,$F106)),INDEX(Data!V$1:V$373,$F106),""))</f>
        <v>159.8</v>
      </c>
      <c r="Z106" s="6">
        <f>IF($F106=0,"",IF(ISNUMBER(INDEX(Data!W$1:W$373,$F106)),INDEX(Data!W$1:W$373,$F106),""))</f>
        <v>154.8</v>
      </c>
      <c r="AA106" s="6">
        <f>IF($F106=0,"",IF(ISNUMBER(INDEX(Data!X$1:X$373,$F106)),INDEX(Data!X$1:X$373,$F106),""))</f>
        <v>166.3</v>
      </c>
      <c r="AB106" s="6">
        <f>IF($F106=0,"",IF(ISNUMBER(INDEX(Data!Y$1:Y$373,$F106)),INDEX(Data!Y$1:Y$373,$F106),""))</f>
        <v>150.7</v>
      </c>
      <c r="AC106" s="6">
        <f>IF($F106=0,"",IF(ISNUMBER(INDEX(Data!Z$1:Z$373,$F106)),INDEX(Data!Z$1:Z$373,$F106),""))</f>
        <v>154.9</v>
      </c>
      <c r="AD106" s="6">
        <f>IF($F106=0,"",IF(ISNUMBER(INDEX(Data!AA$1:AA$373,$F106)),INDEX(Data!AA$1:AA$373,$F106),""))</f>
        <v>161.7</v>
      </c>
      <c r="AE106" s="6">
        <f>IF($F106=0,"",IF(ISNUMBER(INDEX(Data!AB$1:AB$373,$F106)),INDEX(Data!AB$1:AB$373,$F106),""))</f>
        <v>158.8</v>
      </c>
      <c r="AF106" s="6">
        <f>IF($F106=0,"",IF(ISNUMBER(INDEX(Data!AC$1:AC$373,$F106)),INDEX(Data!AC$1:AC$373,$F106),""))</f>
        <v>157.6</v>
      </c>
      <c r="AG106" s="6">
        <f>IF($F106=0,"",IF(ISNUMBER(INDEX(Data!AD$1:AD$373,$F106)),INDEX(Data!AD$1:AD$373,$F106),""))</f>
        <v>161.3</v>
      </c>
    </row>
    <row r="107" spans="1:33">
      <c r="A107" s="6">
        <v>2021</v>
      </c>
      <c r="B107" s="6">
        <v>7</v>
      </c>
      <c r="C107" s="6" t="s">
        <v>58</v>
      </c>
      <c r="D107" s="9">
        <f t="shared" si="2"/>
        <v>44378</v>
      </c>
      <c r="E107" s="6" t="str">
        <f t="shared" si="3"/>
        <v>Rural+Urban|2021|July</v>
      </c>
      <c r="F107" s="6">
        <f>IFERROR(MATCH(E107,Data!$AE$1:$AE$373,0),0)</f>
        <v>307</v>
      </c>
      <c r="G107" s="6">
        <f>IF($F107=0,"",IF(ISNUMBER(INDEX(Data!D$1:D$373,$F107)),INDEX(Data!D$1:D$373,$F107),""))</f>
        <v>146.4</v>
      </c>
      <c r="H107" s="6">
        <f>IF($F107=0,"",IF(ISNUMBER(INDEX(Data!E$1:E$373,$F107)),INDEX(Data!E$1:E$373,$F107),""))</f>
        <v>206.8</v>
      </c>
      <c r="I107" s="6">
        <f>IF($F107=0,"",IF(ISNUMBER(INDEX(Data!F$1:F$373,$F107)),INDEX(Data!F$1:F$373,$F107),""))</f>
        <v>182.2</v>
      </c>
      <c r="J107" s="6">
        <f>IF($F107=0,"",IF(ISNUMBER(INDEX(Data!G$1:G$373,$F107)),INDEX(Data!G$1:G$373,$F107),""))</f>
        <v>157.5</v>
      </c>
      <c r="K107" s="6">
        <f>IF($F107=0,"",IF(ISNUMBER(INDEX(Data!H$1:H$373,$F107)),INDEX(Data!H$1:H$373,$F107),""))</f>
        <v>182.1</v>
      </c>
      <c r="L107" s="6">
        <f>IF($F107=0,"",IF(ISNUMBER(INDEX(Data!I$1:I$373,$F107)),INDEX(Data!I$1:I$373,$F107),""))</f>
        <v>163.9</v>
      </c>
      <c r="M107" s="6">
        <f>IF($F107=0,"",IF(ISNUMBER(INDEX(Data!J$1:J$373,$F107)),INDEX(Data!J$1:J$373,$F107),""))</f>
        <v>164.2</v>
      </c>
      <c r="N107" s="6">
        <f>IF($F107=0,"",IF(ISNUMBER(INDEX(Data!K$1:K$373,$F107)),INDEX(Data!K$1:K$373,$F107),""))</f>
        <v>164</v>
      </c>
      <c r="O107" s="6">
        <f>IF($F107=0,"",IF(ISNUMBER(INDEX(Data!L$1:L$373,$F107)),INDEX(Data!L$1:L$373,$F107),""))</f>
        <v>114.5</v>
      </c>
      <c r="P107" s="6">
        <f>IF($F107=0,"",IF(ISNUMBER(INDEX(Data!M$1:M$373,$F107)),INDEX(Data!M$1:M$373,$F107),""))</f>
        <v>168.3</v>
      </c>
      <c r="Q107" s="6">
        <f>IF($F107=0,"",IF(ISNUMBER(INDEX(Data!N$1:N$373,$F107)),INDEX(Data!N$1:N$373,$F107),""))</f>
        <v>160.9</v>
      </c>
      <c r="R107" s="6">
        <f>IF($F107=0,"",IF(ISNUMBER(INDEX(Data!O$1:O$373,$F107)),INDEX(Data!O$1:O$373,$F107),""))</f>
        <v>172.2</v>
      </c>
      <c r="S107" s="6">
        <f>IF($F107=0,"",IF(ISNUMBER(INDEX(Data!P$1:P$373,$F107)),INDEX(Data!P$1:P$373,$F107),""))</f>
        <v>164</v>
      </c>
      <c r="T107" s="6">
        <f>IF($F107=0,"",IF(ISNUMBER(INDEX(Data!Q$1:Q$373,$F107)),INDEX(Data!Q$1:Q$373,$F107),""))</f>
        <v>191.2</v>
      </c>
      <c r="U107" s="6">
        <f>IF($F107=0,"",IF(ISNUMBER(INDEX(Data!R$1:R$373,$F107)),INDEX(Data!R$1:R$373,$F107),""))</f>
        <v>162.8</v>
      </c>
      <c r="V107" s="6">
        <f>IF($F107=0,"",IF(ISNUMBER(INDEX(Data!S$1:S$373,$F107)),INDEX(Data!S$1:S$373,$F107),""))</f>
        <v>153.1</v>
      </c>
      <c r="W107" s="6">
        <f>IF($F107=0,"",IF(ISNUMBER(INDEX(Data!T$1:T$373,$F107)),INDEX(Data!T$1:T$373,$F107),""))</f>
        <v>161.4</v>
      </c>
      <c r="X107" s="6">
        <f>IF($F107=0,"",IF(ISNUMBER(INDEX(Data!U$1:U$373,$F107)),INDEX(Data!U$1:U$373,$F107),""))</f>
        <v>161.5</v>
      </c>
      <c r="Y107" s="6">
        <f>IF($F107=0,"",IF(ISNUMBER(INDEX(Data!V$1:V$373,$F107)),INDEX(Data!V$1:V$373,$F107),""))</f>
        <v>160.7</v>
      </c>
      <c r="Z107" s="6">
        <f>IF($F107=0,"",IF(ISNUMBER(INDEX(Data!W$1:W$373,$F107)),INDEX(Data!W$1:W$373,$F107),""))</f>
        <v>155.8</v>
      </c>
      <c r="AA107" s="6">
        <f>IF($F107=0,"",IF(ISNUMBER(INDEX(Data!X$1:X$373,$F107)),INDEX(Data!X$1:X$373,$F107),""))</f>
        <v>167</v>
      </c>
      <c r="AB107" s="6">
        <f>IF($F107=0,"",IF(ISNUMBER(INDEX(Data!Y$1:Y$373,$F107)),INDEX(Data!Y$1:Y$373,$F107),""))</f>
        <v>153.1</v>
      </c>
      <c r="AC107" s="6">
        <f>IF($F107=0,"",IF(ISNUMBER(INDEX(Data!Z$1:Z$373,$F107)),INDEX(Data!Z$1:Z$373,$F107),""))</f>
        <v>155.3</v>
      </c>
      <c r="AD107" s="6">
        <f>IF($F107=0,"",IF(ISNUMBER(INDEX(Data!AA$1:AA$373,$F107)),INDEX(Data!AA$1:AA$373,$F107),""))</f>
        <v>163.2</v>
      </c>
      <c r="AE107" s="6">
        <f>IF($F107=0,"",IF(ISNUMBER(INDEX(Data!AB$1:AB$373,$F107)),INDEX(Data!AB$1:AB$373,$F107),""))</f>
        <v>160.1</v>
      </c>
      <c r="AF107" s="6">
        <f>IF($F107=0,"",IF(ISNUMBER(INDEX(Data!AC$1:AC$373,$F107)),INDEX(Data!AC$1:AC$373,$F107),""))</f>
        <v>159</v>
      </c>
      <c r="AG107" s="6">
        <f>IF($F107=0,"",IF(ISNUMBER(INDEX(Data!AD$1:AD$373,$F107)),INDEX(Data!AD$1:AD$373,$F107),""))</f>
        <v>162.5</v>
      </c>
    </row>
    <row r="108" spans="1:33">
      <c r="A108" s="6">
        <v>2021</v>
      </c>
      <c r="B108" s="6">
        <v>8</v>
      </c>
      <c r="C108" s="6" t="s">
        <v>59</v>
      </c>
      <c r="D108" s="9">
        <f t="shared" si="2"/>
        <v>44409</v>
      </c>
      <c r="E108" s="6" t="str">
        <f t="shared" si="3"/>
        <v>Rural+Urban|2021|August</v>
      </c>
      <c r="F108" s="6">
        <f>IFERROR(MATCH(E108,Data!$AE$1:$AE$373,0),0)</f>
        <v>310</v>
      </c>
      <c r="G108" s="6">
        <f>IF($F108=0,"",IF(ISNUMBER(INDEX(Data!D$1:D$373,$F108)),INDEX(Data!D$1:D$373,$F108),""))</f>
        <v>146.6</v>
      </c>
      <c r="H108" s="6">
        <f>IF($F108=0,"",IF(ISNUMBER(INDEX(Data!E$1:E$373,$F108)),INDEX(Data!E$1:E$373,$F108),""))</f>
        <v>204</v>
      </c>
      <c r="I108" s="6">
        <f>IF($F108=0,"",IF(ISNUMBER(INDEX(Data!F$1:F$373,$F108)),INDEX(Data!F$1:F$373,$F108),""))</f>
        <v>172.8</v>
      </c>
      <c r="J108" s="6">
        <f>IF($F108=0,"",IF(ISNUMBER(INDEX(Data!G$1:G$373,$F108)),INDEX(Data!G$1:G$373,$F108),""))</f>
        <v>158.4</v>
      </c>
      <c r="K108" s="6">
        <f>IF($F108=0,"",IF(ISNUMBER(INDEX(Data!H$1:H$373,$F108)),INDEX(Data!H$1:H$373,$F108),""))</f>
        <v>188</v>
      </c>
      <c r="L108" s="6">
        <f>IF($F108=0,"",IF(ISNUMBER(INDEX(Data!I$1:I$373,$F108)),INDEX(Data!I$1:I$373,$F108),""))</f>
        <v>156.8</v>
      </c>
      <c r="M108" s="6">
        <f>IF($F108=0,"",IF(ISNUMBER(INDEX(Data!J$1:J$373,$F108)),INDEX(Data!J$1:J$373,$F108),""))</f>
        <v>162.2</v>
      </c>
      <c r="N108" s="6">
        <f>IF($F108=0,"",IF(ISNUMBER(INDEX(Data!K$1:K$373,$F108)),INDEX(Data!K$1:K$373,$F108),""))</f>
        <v>164.1</v>
      </c>
      <c r="O108" s="6">
        <f>IF($F108=0,"",IF(ISNUMBER(INDEX(Data!L$1:L$373,$F108)),INDEX(Data!L$1:L$373,$F108),""))</f>
        <v>119.7</v>
      </c>
      <c r="P108" s="6">
        <f>IF($F108=0,"",IF(ISNUMBER(INDEX(Data!M$1:M$373,$F108)),INDEX(Data!M$1:M$373,$F108),""))</f>
        <v>168.8</v>
      </c>
      <c r="Q108" s="6">
        <f>IF($F108=0,"",IF(ISNUMBER(INDEX(Data!N$1:N$373,$F108)),INDEX(Data!N$1:N$373,$F108),""))</f>
        <v>162.7</v>
      </c>
      <c r="R108" s="6">
        <f>IF($F108=0,"",IF(ISNUMBER(INDEX(Data!O$1:O$373,$F108)),INDEX(Data!O$1:O$373,$F108),""))</f>
        <v>173.9</v>
      </c>
      <c r="S108" s="6">
        <f>IF($F108=0,"",IF(ISNUMBER(INDEX(Data!P$1:P$373,$F108)),INDEX(Data!P$1:P$373,$F108),""))</f>
        <v>164</v>
      </c>
      <c r="T108" s="6">
        <f>IF($F108=0,"",IF(ISNUMBER(INDEX(Data!Q$1:Q$373,$F108)),INDEX(Data!Q$1:Q$373,$F108),""))</f>
        <v>192.1</v>
      </c>
      <c r="U108" s="6">
        <f>IF($F108=0,"",IF(ISNUMBER(INDEX(Data!R$1:R$373,$F108)),INDEX(Data!R$1:R$373,$F108),""))</f>
        <v>164.5</v>
      </c>
      <c r="V108" s="6">
        <f>IF($F108=0,"",IF(ISNUMBER(INDEX(Data!S$1:S$373,$F108)),INDEX(Data!S$1:S$373,$F108),""))</f>
        <v>155.3</v>
      </c>
      <c r="W108" s="6">
        <f>IF($F108=0,"",IF(ISNUMBER(INDEX(Data!T$1:T$373,$F108)),INDEX(Data!T$1:T$373,$F108),""))</f>
        <v>163.2</v>
      </c>
      <c r="X108" s="6">
        <f>IF($F108=0,"",IF(ISNUMBER(INDEX(Data!U$1:U$373,$F108)),INDEX(Data!U$1:U$373,$F108),""))</f>
        <v>162.1</v>
      </c>
      <c r="Y108" s="6">
        <f>IF($F108=0,"",IF(ISNUMBER(INDEX(Data!V$1:V$373,$F108)),INDEX(Data!V$1:V$373,$F108),""))</f>
        <v>162.6</v>
      </c>
      <c r="Z108" s="6">
        <f>IF($F108=0,"",IF(ISNUMBER(INDEX(Data!W$1:W$373,$F108)),INDEX(Data!W$1:W$373,$F108),""))</f>
        <v>157.5</v>
      </c>
      <c r="AA108" s="6">
        <f>IF($F108=0,"",IF(ISNUMBER(INDEX(Data!X$1:X$373,$F108)),INDEX(Data!X$1:X$373,$F108),""))</f>
        <v>168.4</v>
      </c>
      <c r="AB108" s="6">
        <f>IF($F108=0,"",IF(ISNUMBER(INDEX(Data!Y$1:Y$373,$F108)),INDEX(Data!Y$1:Y$373,$F108),""))</f>
        <v>154</v>
      </c>
      <c r="AC108" s="6">
        <f>IF($F108=0,"",IF(ISNUMBER(INDEX(Data!Z$1:Z$373,$F108)),INDEX(Data!Z$1:Z$373,$F108),""))</f>
        <v>157.6</v>
      </c>
      <c r="AD108" s="6">
        <f>IF($F108=0,"",IF(ISNUMBER(INDEX(Data!AA$1:AA$373,$F108)),INDEX(Data!AA$1:AA$373,$F108),""))</f>
        <v>163.8</v>
      </c>
      <c r="AE108" s="6">
        <f>IF($F108=0,"",IF(ISNUMBER(INDEX(Data!AB$1:AB$373,$F108)),INDEX(Data!AB$1:AB$373,$F108),""))</f>
        <v>160</v>
      </c>
      <c r="AF108" s="6">
        <f>IF($F108=0,"",IF(ISNUMBER(INDEX(Data!AC$1:AC$373,$F108)),INDEX(Data!AC$1:AC$373,$F108),""))</f>
        <v>160</v>
      </c>
      <c r="AG108" s="6">
        <f>IF($F108=0,"",IF(ISNUMBER(INDEX(Data!AD$1:AD$373,$F108)),INDEX(Data!AD$1:AD$373,$F108),""))</f>
        <v>163.2</v>
      </c>
    </row>
    <row r="109" spans="1:33">
      <c r="A109" s="6">
        <v>2021</v>
      </c>
      <c r="B109" s="6">
        <v>9</v>
      </c>
      <c r="C109" s="6" t="s">
        <v>60</v>
      </c>
      <c r="D109" s="9">
        <f t="shared" si="2"/>
        <v>44440</v>
      </c>
      <c r="E109" s="6" t="str">
        <f t="shared" si="3"/>
        <v>Rural+Urban|2021|September</v>
      </c>
      <c r="F109" s="6">
        <f>IFERROR(MATCH(E109,Data!$AE$1:$AE$373,0),0)</f>
        <v>313</v>
      </c>
      <c r="G109" s="6">
        <f>IF($F109=0,"",IF(ISNUMBER(INDEX(Data!D$1:D$373,$F109)),INDEX(Data!D$1:D$373,$F109),""))</f>
        <v>146.6</v>
      </c>
      <c r="H109" s="6">
        <f>IF($F109=0,"",IF(ISNUMBER(INDEX(Data!E$1:E$373,$F109)),INDEX(Data!E$1:E$373,$F109),""))</f>
        <v>204</v>
      </c>
      <c r="I109" s="6">
        <f>IF($F109=0,"",IF(ISNUMBER(INDEX(Data!F$1:F$373,$F109)),INDEX(Data!F$1:F$373,$F109),""))</f>
        <v>172.8</v>
      </c>
      <c r="J109" s="6">
        <f>IF($F109=0,"",IF(ISNUMBER(INDEX(Data!G$1:G$373,$F109)),INDEX(Data!G$1:G$373,$F109),""))</f>
        <v>158.4</v>
      </c>
      <c r="K109" s="6">
        <f>IF($F109=0,"",IF(ISNUMBER(INDEX(Data!H$1:H$373,$F109)),INDEX(Data!H$1:H$373,$F109),""))</f>
        <v>188</v>
      </c>
      <c r="L109" s="6">
        <f>IF($F109=0,"",IF(ISNUMBER(INDEX(Data!I$1:I$373,$F109)),INDEX(Data!I$1:I$373,$F109),""))</f>
        <v>156.7</v>
      </c>
      <c r="M109" s="6">
        <f>IF($F109=0,"",IF(ISNUMBER(INDEX(Data!J$1:J$373,$F109)),INDEX(Data!J$1:J$373,$F109),""))</f>
        <v>162.3</v>
      </c>
      <c r="N109" s="6">
        <f>IF($F109=0,"",IF(ISNUMBER(INDEX(Data!K$1:K$373,$F109)),INDEX(Data!K$1:K$373,$F109),""))</f>
        <v>164.1</v>
      </c>
      <c r="O109" s="6">
        <f>IF($F109=0,"",IF(ISNUMBER(INDEX(Data!L$1:L$373,$F109)),INDEX(Data!L$1:L$373,$F109),""))</f>
        <v>119.7</v>
      </c>
      <c r="P109" s="6">
        <f>IF($F109=0,"",IF(ISNUMBER(INDEX(Data!M$1:M$373,$F109)),INDEX(Data!M$1:M$373,$F109),""))</f>
        <v>168.8</v>
      </c>
      <c r="Q109" s="6">
        <f>IF($F109=0,"",IF(ISNUMBER(INDEX(Data!N$1:N$373,$F109)),INDEX(Data!N$1:N$373,$F109),""))</f>
        <v>162.7</v>
      </c>
      <c r="R109" s="6">
        <f>IF($F109=0,"",IF(ISNUMBER(INDEX(Data!O$1:O$373,$F109)),INDEX(Data!O$1:O$373,$F109),""))</f>
        <v>173.9</v>
      </c>
      <c r="S109" s="6">
        <f>IF($F109=0,"",IF(ISNUMBER(INDEX(Data!P$1:P$373,$F109)),INDEX(Data!P$1:P$373,$F109),""))</f>
        <v>164</v>
      </c>
      <c r="T109" s="6">
        <f>IF($F109=0,"",IF(ISNUMBER(INDEX(Data!Q$1:Q$373,$F109)),INDEX(Data!Q$1:Q$373,$F109),""))</f>
        <v>192.1</v>
      </c>
      <c r="U109" s="6">
        <f>IF($F109=0,"",IF(ISNUMBER(INDEX(Data!R$1:R$373,$F109)),INDEX(Data!R$1:R$373,$F109),""))</f>
        <v>164.6</v>
      </c>
      <c r="V109" s="6">
        <f>IF($F109=0,"",IF(ISNUMBER(INDEX(Data!S$1:S$373,$F109)),INDEX(Data!S$1:S$373,$F109),""))</f>
        <v>155.3</v>
      </c>
      <c r="W109" s="6">
        <f>IF($F109=0,"",IF(ISNUMBER(INDEX(Data!T$1:T$373,$F109)),INDEX(Data!T$1:T$373,$F109),""))</f>
        <v>163.3</v>
      </c>
      <c r="X109" s="6">
        <f>IF($F109=0,"",IF(ISNUMBER(INDEX(Data!U$1:U$373,$F109)),INDEX(Data!U$1:U$373,$F109),""))</f>
        <v>162.1</v>
      </c>
      <c r="Y109" s="6">
        <f>IF($F109=0,"",IF(ISNUMBER(INDEX(Data!V$1:V$373,$F109)),INDEX(Data!V$1:V$373,$F109),""))</f>
        <v>162.6</v>
      </c>
      <c r="Z109" s="6">
        <f>IF($F109=0,"",IF(ISNUMBER(INDEX(Data!W$1:W$373,$F109)),INDEX(Data!W$1:W$373,$F109),""))</f>
        <v>157.5</v>
      </c>
      <c r="AA109" s="6">
        <f>IF($F109=0,"",IF(ISNUMBER(INDEX(Data!X$1:X$373,$F109)),INDEX(Data!X$1:X$373,$F109),""))</f>
        <v>168.4</v>
      </c>
      <c r="AB109" s="6">
        <f>IF($F109=0,"",IF(ISNUMBER(INDEX(Data!Y$1:Y$373,$F109)),INDEX(Data!Y$1:Y$373,$F109),""))</f>
        <v>154</v>
      </c>
      <c r="AC109" s="6">
        <f>IF($F109=0,"",IF(ISNUMBER(INDEX(Data!Z$1:Z$373,$F109)),INDEX(Data!Z$1:Z$373,$F109),""))</f>
        <v>157.7</v>
      </c>
      <c r="AD109" s="6">
        <f>IF($F109=0,"",IF(ISNUMBER(INDEX(Data!AA$1:AA$373,$F109)),INDEX(Data!AA$1:AA$373,$F109),""))</f>
        <v>163.7</v>
      </c>
      <c r="AE109" s="6">
        <f>IF($F109=0,"",IF(ISNUMBER(INDEX(Data!AB$1:AB$373,$F109)),INDEX(Data!AB$1:AB$373,$F109),""))</f>
        <v>160</v>
      </c>
      <c r="AF109" s="6">
        <f>IF($F109=0,"",IF(ISNUMBER(INDEX(Data!AC$1:AC$373,$F109)),INDEX(Data!AC$1:AC$373,$F109),""))</f>
        <v>160</v>
      </c>
      <c r="AG109" s="6">
        <f>IF($F109=0,"",IF(ISNUMBER(INDEX(Data!AD$1:AD$373,$F109)),INDEX(Data!AD$1:AD$373,$F109),""))</f>
        <v>163.2</v>
      </c>
    </row>
    <row r="110" spans="1:33">
      <c r="A110" s="6">
        <v>2021</v>
      </c>
      <c r="B110" s="6">
        <v>10</v>
      </c>
      <c r="C110" s="6" t="s">
        <v>61</v>
      </c>
      <c r="D110" s="9">
        <f t="shared" si="2"/>
        <v>44470</v>
      </c>
      <c r="E110" s="6" t="str">
        <f t="shared" si="3"/>
        <v>Rural+Urban|2021|October</v>
      </c>
      <c r="F110" s="6">
        <f>IFERROR(MATCH(E110,Data!$AE$1:$AE$373,0),0)</f>
        <v>316</v>
      </c>
      <c r="G110" s="6">
        <f>IF($F110=0,"",IF(ISNUMBER(INDEX(Data!D$1:D$373,$F110)),INDEX(Data!D$1:D$373,$F110),""))</f>
        <v>147.4</v>
      </c>
      <c r="H110" s="6">
        <f>IF($F110=0,"",IF(ISNUMBER(INDEX(Data!E$1:E$373,$F110)),INDEX(Data!E$1:E$373,$F110),""))</f>
        <v>204.6</v>
      </c>
      <c r="I110" s="6">
        <f>IF($F110=0,"",IF(ISNUMBER(INDEX(Data!F$1:F$373,$F110)),INDEX(Data!F$1:F$373,$F110),""))</f>
        <v>171.2</v>
      </c>
      <c r="J110" s="6">
        <f>IF($F110=0,"",IF(ISNUMBER(INDEX(Data!G$1:G$373,$F110)),INDEX(Data!G$1:G$373,$F110),""))</f>
        <v>158.7</v>
      </c>
      <c r="K110" s="6">
        <f>IF($F110=0,"",IF(ISNUMBER(INDEX(Data!H$1:H$373,$F110)),INDEX(Data!H$1:H$373,$F110),""))</f>
        <v>190.6</v>
      </c>
      <c r="L110" s="6">
        <f>IF($F110=0,"",IF(ISNUMBER(INDEX(Data!I$1:I$373,$F110)),INDEX(Data!I$1:I$373,$F110),""))</f>
        <v>155.7</v>
      </c>
      <c r="M110" s="6">
        <f>IF($F110=0,"",IF(ISNUMBER(INDEX(Data!J$1:J$373,$F110)),INDEX(Data!J$1:J$373,$F110),""))</f>
        <v>185.3</v>
      </c>
      <c r="N110" s="6">
        <f>IF($F110=0,"",IF(ISNUMBER(INDEX(Data!K$1:K$373,$F110)),INDEX(Data!K$1:K$373,$F110),""))</f>
        <v>165.2</v>
      </c>
      <c r="O110" s="6">
        <f>IF($F110=0,"",IF(ISNUMBER(INDEX(Data!L$1:L$373,$F110)),INDEX(Data!L$1:L$373,$F110),""))</f>
        <v>121.9</v>
      </c>
      <c r="P110" s="6">
        <f>IF($F110=0,"",IF(ISNUMBER(INDEX(Data!M$1:M$373,$F110)),INDEX(Data!M$1:M$373,$F110),""))</f>
        <v>169.3</v>
      </c>
      <c r="Q110" s="6">
        <f>IF($F110=0,"",IF(ISNUMBER(INDEX(Data!N$1:N$373,$F110)),INDEX(Data!N$1:N$373,$F110),""))</f>
        <v>163.2</v>
      </c>
      <c r="R110" s="6">
        <f>IF($F110=0,"",IF(ISNUMBER(INDEX(Data!O$1:O$373,$F110)),INDEX(Data!O$1:O$373,$F110),""))</f>
        <v>174.7</v>
      </c>
      <c r="S110" s="6">
        <f>IF($F110=0,"",IF(ISNUMBER(INDEX(Data!P$1:P$373,$F110)),INDEX(Data!P$1:P$373,$F110),""))</f>
        <v>167.7</v>
      </c>
      <c r="T110" s="6">
        <f>IF($F110=0,"",IF(ISNUMBER(INDEX(Data!Q$1:Q$373,$F110)),INDEX(Data!Q$1:Q$373,$F110),""))</f>
        <v>192.7</v>
      </c>
      <c r="U110" s="6">
        <f>IF($F110=0,"",IF(ISNUMBER(INDEX(Data!R$1:R$373,$F110)),INDEX(Data!R$1:R$373,$F110),""))</f>
        <v>165.7</v>
      </c>
      <c r="V110" s="6">
        <f>IF($F110=0,"",IF(ISNUMBER(INDEX(Data!S$1:S$373,$F110)),INDEX(Data!S$1:S$373,$F110),""))</f>
        <v>156.3</v>
      </c>
      <c r="W110" s="6">
        <f>IF($F110=0,"",IF(ISNUMBER(INDEX(Data!T$1:T$373,$F110)),INDEX(Data!T$1:T$373,$F110),""))</f>
        <v>164.3</v>
      </c>
      <c r="X110" s="6">
        <f>IF($F110=0,"",IF(ISNUMBER(INDEX(Data!U$1:U$373,$F110)),INDEX(Data!U$1:U$373,$F110),""))</f>
        <v>163.6</v>
      </c>
      <c r="Y110" s="6">
        <f>IF($F110=0,"",IF(ISNUMBER(INDEX(Data!V$1:V$373,$F110)),INDEX(Data!V$1:V$373,$F110),""))</f>
        <v>164.2</v>
      </c>
      <c r="Z110" s="6">
        <f>IF($F110=0,"",IF(ISNUMBER(INDEX(Data!W$1:W$373,$F110)),INDEX(Data!W$1:W$373,$F110),""))</f>
        <v>158.4</v>
      </c>
      <c r="AA110" s="6">
        <f>IF($F110=0,"",IF(ISNUMBER(INDEX(Data!X$1:X$373,$F110)),INDEX(Data!X$1:X$373,$F110),""))</f>
        <v>169.1</v>
      </c>
      <c r="AB110" s="6">
        <f>IF($F110=0,"",IF(ISNUMBER(INDEX(Data!Y$1:Y$373,$F110)),INDEX(Data!Y$1:Y$373,$F110),""))</f>
        <v>155.7</v>
      </c>
      <c r="AC110" s="6">
        <f>IF($F110=0,"",IF(ISNUMBER(INDEX(Data!Z$1:Z$373,$F110)),INDEX(Data!Z$1:Z$373,$F110),""))</f>
        <v>158.6</v>
      </c>
      <c r="AD110" s="6">
        <f>IF($F110=0,"",IF(ISNUMBER(INDEX(Data!AA$1:AA$373,$F110)),INDEX(Data!AA$1:AA$373,$F110),""))</f>
        <v>163.9</v>
      </c>
      <c r="AE110" s="6">
        <f>IF($F110=0,"",IF(ISNUMBER(INDEX(Data!AB$1:AB$373,$F110)),INDEX(Data!AB$1:AB$373,$F110),""))</f>
        <v>160.8</v>
      </c>
      <c r="AF110" s="6">
        <f>IF($F110=0,"",IF(ISNUMBER(INDEX(Data!AC$1:AC$373,$F110)),INDEX(Data!AC$1:AC$373,$F110),""))</f>
        <v>161</v>
      </c>
      <c r="AG110" s="6">
        <f>IF($F110=0,"",IF(ISNUMBER(INDEX(Data!AD$1:AD$373,$F110)),INDEX(Data!AD$1:AD$373,$F110),""))</f>
        <v>165.5</v>
      </c>
    </row>
    <row r="111" spans="1:33">
      <c r="A111" s="6">
        <v>2021</v>
      </c>
      <c r="B111" s="6">
        <v>11</v>
      </c>
      <c r="C111" s="6" t="s">
        <v>62</v>
      </c>
      <c r="D111" s="9">
        <f t="shared" si="2"/>
        <v>44501</v>
      </c>
      <c r="E111" s="6" t="str">
        <f t="shared" si="3"/>
        <v>Rural+Urban|2021|November</v>
      </c>
      <c r="F111" s="6">
        <f>IFERROR(MATCH(E111,Data!$AE$1:$AE$373,0),0)</f>
        <v>319</v>
      </c>
      <c r="G111" s="6">
        <f>IF($F111=0,"",IF(ISNUMBER(INDEX(Data!D$1:D$373,$F111)),INDEX(Data!D$1:D$373,$F111),""))</f>
        <v>148.2</v>
      </c>
      <c r="H111" s="6">
        <f>IF($F111=0,"",IF(ISNUMBER(INDEX(Data!E$1:E$373,$F111)),INDEX(Data!E$1:E$373,$F111),""))</f>
        <v>201.6</v>
      </c>
      <c r="I111" s="6">
        <f>IF($F111=0,"",IF(ISNUMBER(INDEX(Data!F$1:F$373,$F111)),INDEX(Data!F$1:F$373,$F111),""))</f>
        <v>173</v>
      </c>
      <c r="J111" s="6">
        <f>IF($F111=0,"",IF(ISNUMBER(INDEX(Data!G$1:G$373,$F111)),INDEX(Data!G$1:G$373,$F111),""))</f>
        <v>159.3</v>
      </c>
      <c r="K111" s="6">
        <f>IF($F111=0,"",IF(ISNUMBER(INDEX(Data!H$1:H$373,$F111)),INDEX(Data!H$1:H$373,$F111),""))</f>
        <v>190.1</v>
      </c>
      <c r="L111" s="6">
        <f>IF($F111=0,"",IF(ISNUMBER(INDEX(Data!I$1:I$373,$F111)),INDEX(Data!I$1:I$373,$F111),""))</f>
        <v>156.5</v>
      </c>
      <c r="M111" s="6">
        <f>IF($F111=0,"",IF(ISNUMBER(INDEX(Data!J$1:J$373,$F111)),INDEX(Data!J$1:J$373,$F111),""))</f>
        <v>199.2</v>
      </c>
      <c r="N111" s="6">
        <f>IF($F111=0,"",IF(ISNUMBER(INDEX(Data!K$1:K$373,$F111)),INDEX(Data!K$1:K$373,$F111),""))</f>
        <v>165.3</v>
      </c>
      <c r="O111" s="6">
        <f>IF($F111=0,"",IF(ISNUMBER(INDEX(Data!L$1:L$373,$F111)),INDEX(Data!L$1:L$373,$F111),""))</f>
        <v>122.4</v>
      </c>
      <c r="P111" s="6">
        <f>IF($F111=0,"",IF(ISNUMBER(INDEX(Data!M$1:M$373,$F111)),INDEX(Data!M$1:M$373,$F111),""))</f>
        <v>169.6</v>
      </c>
      <c r="Q111" s="6">
        <f>IF($F111=0,"",IF(ISNUMBER(INDEX(Data!N$1:N$373,$F111)),INDEX(Data!N$1:N$373,$F111),""))</f>
        <v>163.7</v>
      </c>
      <c r="R111" s="6">
        <f>IF($F111=0,"",IF(ISNUMBER(INDEX(Data!O$1:O$373,$F111)),INDEX(Data!O$1:O$373,$F111),""))</f>
        <v>175.5</v>
      </c>
      <c r="S111" s="6">
        <f>IF($F111=0,"",IF(ISNUMBER(INDEX(Data!P$1:P$373,$F111)),INDEX(Data!P$1:P$373,$F111),""))</f>
        <v>169.7</v>
      </c>
      <c r="T111" s="6">
        <f>IF($F111=0,"",IF(ISNUMBER(INDEX(Data!Q$1:Q$373,$F111)),INDEX(Data!Q$1:Q$373,$F111),""))</f>
        <v>192.9</v>
      </c>
      <c r="U111" s="6">
        <f>IF($F111=0,"",IF(ISNUMBER(INDEX(Data!R$1:R$373,$F111)),INDEX(Data!R$1:R$373,$F111),""))</f>
        <v>167.2</v>
      </c>
      <c r="V111" s="6">
        <f>IF($F111=0,"",IF(ISNUMBER(INDEX(Data!S$1:S$373,$F111)),INDEX(Data!S$1:S$373,$F111),""))</f>
        <v>157.4</v>
      </c>
      <c r="W111" s="6">
        <f>IF($F111=0,"",IF(ISNUMBER(INDEX(Data!T$1:T$373,$F111)),INDEX(Data!T$1:T$373,$F111),""))</f>
        <v>165.8</v>
      </c>
      <c r="X111" s="6">
        <f>IF($F111=0,"",IF(ISNUMBER(INDEX(Data!U$1:U$373,$F111)),INDEX(Data!U$1:U$373,$F111),""))</f>
        <v>164.2</v>
      </c>
      <c r="Y111" s="6">
        <f>IF($F111=0,"",IF(ISNUMBER(INDEX(Data!V$1:V$373,$F111)),INDEX(Data!V$1:V$373,$F111),""))</f>
        <v>163.9</v>
      </c>
      <c r="Z111" s="6">
        <f>IF($F111=0,"",IF(ISNUMBER(INDEX(Data!W$1:W$373,$F111)),INDEX(Data!W$1:W$373,$F111),""))</f>
        <v>159.3</v>
      </c>
      <c r="AA111" s="6">
        <f>IF($F111=0,"",IF(ISNUMBER(INDEX(Data!X$1:X$373,$F111)),INDEX(Data!X$1:X$373,$F111),""))</f>
        <v>169.9</v>
      </c>
      <c r="AB111" s="6">
        <f>IF($F111=0,"",IF(ISNUMBER(INDEX(Data!Y$1:Y$373,$F111)),INDEX(Data!Y$1:Y$373,$F111),""))</f>
        <v>154.8</v>
      </c>
      <c r="AC111" s="6">
        <f>IF($F111=0,"",IF(ISNUMBER(INDEX(Data!Z$1:Z$373,$F111)),INDEX(Data!Z$1:Z$373,$F111),""))</f>
        <v>159.8</v>
      </c>
      <c r="AD111" s="6">
        <f>IF($F111=0,"",IF(ISNUMBER(INDEX(Data!AA$1:AA$373,$F111)),INDEX(Data!AA$1:AA$373,$F111),""))</f>
        <v>164.3</v>
      </c>
      <c r="AE111" s="6">
        <f>IF($F111=0,"",IF(ISNUMBER(INDEX(Data!AB$1:AB$373,$F111)),INDEX(Data!AB$1:AB$373,$F111),""))</f>
        <v>162.2</v>
      </c>
      <c r="AF111" s="6">
        <f>IF($F111=0,"",IF(ISNUMBER(INDEX(Data!AC$1:AC$373,$F111)),INDEX(Data!AC$1:AC$373,$F111),""))</f>
        <v>161.4</v>
      </c>
      <c r="AG111" s="6">
        <f>IF($F111=0,"",IF(ISNUMBER(INDEX(Data!AD$1:AD$373,$F111)),INDEX(Data!AD$1:AD$373,$F111),""))</f>
        <v>166.7</v>
      </c>
    </row>
    <row r="112" spans="1:33">
      <c r="A112" s="6">
        <v>2021</v>
      </c>
      <c r="B112" s="6">
        <v>12</v>
      </c>
      <c r="C112" s="6" t="s">
        <v>63</v>
      </c>
      <c r="D112" s="9">
        <f t="shared" si="2"/>
        <v>44531</v>
      </c>
      <c r="E112" s="6" t="str">
        <f t="shared" si="3"/>
        <v>Rural+Urban|2021|December</v>
      </c>
      <c r="F112" s="6">
        <f>IFERROR(MATCH(E112,Data!$AE$1:$AE$373,0),0)</f>
        <v>322</v>
      </c>
      <c r="G112" s="6">
        <f>IF($F112=0,"",IF(ISNUMBER(INDEX(Data!D$1:D$373,$F112)),INDEX(Data!D$1:D$373,$F112),""))</f>
        <v>148.7</v>
      </c>
      <c r="H112" s="6">
        <f>IF($F112=0,"",IF(ISNUMBER(INDEX(Data!E$1:E$373,$F112)),INDEX(Data!E$1:E$373,$F112),""))</f>
        <v>198.8</v>
      </c>
      <c r="I112" s="6">
        <f>IF($F112=0,"",IF(ISNUMBER(INDEX(Data!F$1:F$373,$F112)),INDEX(Data!F$1:F$373,$F112),""))</f>
        <v>177.9</v>
      </c>
      <c r="J112" s="6">
        <f>IF($F112=0,"",IF(ISNUMBER(INDEX(Data!G$1:G$373,$F112)),INDEX(Data!G$1:G$373,$F112),""))</f>
        <v>159.9</v>
      </c>
      <c r="K112" s="6">
        <f>IF($F112=0,"",IF(ISNUMBER(INDEX(Data!H$1:H$373,$F112)),INDEX(Data!H$1:H$373,$F112),""))</f>
        <v>187.6</v>
      </c>
      <c r="L112" s="6">
        <f>IF($F112=0,"",IF(ISNUMBER(INDEX(Data!I$1:I$373,$F112)),INDEX(Data!I$1:I$373,$F112),""))</f>
        <v>154.9</v>
      </c>
      <c r="M112" s="6">
        <f>IF($F112=0,"",IF(ISNUMBER(INDEX(Data!J$1:J$373,$F112)),INDEX(Data!J$1:J$373,$F112),""))</f>
        <v>188.3</v>
      </c>
      <c r="N112" s="6">
        <f>IF($F112=0,"",IF(ISNUMBER(INDEX(Data!K$1:K$373,$F112)),INDEX(Data!K$1:K$373,$F112),""))</f>
        <v>164.4</v>
      </c>
      <c r="O112" s="6">
        <f>IF($F112=0,"",IF(ISNUMBER(INDEX(Data!L$1:L$373,$F112)),INDEX(Data!L$1:L$373,$F112),""))</f>
        <v>121</v>
      </c>
      <c r="P112" s="6">
        <f>IF($F112=0,"",IF(ISNUMBER(INDEX(Data!M$1:M$373,$F112)),INDEX(Data!M$1:M$373,$F112),""))</f>
        <v>170.5</v>
      </c>
      <c r="Q112" s="6">
        <f>IF($F112=0,"",IF(ISNUMBER(INDEX(Data!N$1:N$373,$F112)),INDEX(Data!N$1:N$373,$F112),""))</f>
        <v>164.2</v>
      </c>
      <c r="R112" s="6">
        <f>IF($F112=0,"",IF(ISNUMBER(INDEX(Data!O$1:O$373,$F112)),INDEX(Data!O$1:O$373,$F112),""))</f>
        <v>176.5</v>
      </c>
      <c r="S112" s="6">
        <f>IF($F112=0,"",IF(ISNUMBER(INDEX(Data!P$1:P$373,$F112)),INDEX(Data!P$1:P$373,$F112),""))</f>
        <v>168.2</v>
      </c>
      <c r="T112" s="6">
        <f>IF($F112=0,"",IF(ISNUMBER(INDEX(Data!Q$1:Q$373,$F112)),INDEX(Data!Q$1:Q$373,$F112),""))</f>
        <v>192.4</v>
      </c>
      <c r="U112" s="6">
        <f>IF($F112=0,"",IF(ISNUMBER(INDEX(Data!R$1:R$373,$F112)),INDEX(Data!R$1:R$373,$F112),""))</f>
        <v>168.5</v>
      </c>
      <c r="V112" s="6">
        <f>IF($F112=0,"",IF(ISNUMBER(INDEX(Data!S$1:S$373,$F112)),INDEX(Data!S$1:S$373,$F112),""))</f>
        <v>158.7</v>
      </c>
      <c r="W112" s="6">
        <f>IF($F112=0,"",IF(ISNUMBER(INDEX(Data!T$1:T$373,$F112)),INDEX(Data!T$1:T$373,$F112),""))</f>
        <v>167</v>
      </c>
      <c r="X112" s="6">
        <f>IF($F112=0,"",IF(ISNUMBER(INDEX(Data!U$1:U$373,$F112)),INDEX(Data!U$1:U$373,$F112),""))</f>
        <v>163.4</v>
      </c>
      <c r="Y112" s="6">
        <f>IF($F112=0,"",IF(ISNUMBER(INDEX(Data!V$1:V$373,$F112)),INDEX(Data!V$1:V$373,$F112),""))</f>
        <v>164.1</v>
      </c>
      <c r="Z112" s="6">
        <f>IF($F112=0,"",IF(ISNUMBER(INDEX(Data!W$1:W$373,$F112)),INDEX(Data!W$1:W$373,$F112),""))</f>
        <v>160.2</v>
      </c>
      <c r="AA112" s="6">
        <f>IF($F112=0,"",IF(ISNUMBER(INDEX(Data!X$1:X$373,$F112)),INDEX(Data!X$1:X$373,$F112),""))</f>
        <v>170.6</v>
      </c>
      <c r="AB112" s="6">
        <f>IF($F112=0,"",IF(ISNUMBER(INDEX(Data!Y$1:Y$373,$F112)),INDEX(Data!Y$1:Y$373,$F112),""))</f>
        <v>155.7</v>
      </c>
      <c r="AC112" s="6">
        <f>IF($F112=0,"",IF(ISNUMBER(INDEX(Data!Z$1:Z$373,$F112)),INDEX(Data!Z$1:Z$373,$F112),""))</f>
        <v>160.6</v>
      </c>
      <c r="AD112" s="6">
        <f>IF($F112=0,"",IF(ISNUMBER(INDEX(Data!AA$1:AA$373,$F112)),INDEX(Data!AA$1:AA$373,$F112),""))</f>
        <v>164.4</v>
      </c>
      <c r="AE112" s="6">
        <f>IF($F112=0,"",IF(ISNUMBER(INDEX(Data!AB$1:AB$373,$F112)),INDEX(Data!AB$1:AB$373,$F112),""))</f>
        <v>162.6</v>
      </c>
      <c r="AF112" s="6">
        <f>IF($F112=0,"",IF(ISNUMBER(INDEX(Data!AC$1:AC$373,$F112)),INDEX(Data!AC$1:AC$373,$F112),""))</f>
        <v>162</v>
      </c>
      <c r="AG112" s="6">
        <f>IF($F112=0,"",IF(ISNUMBER(INDEX(Data!AD$1:AD$373,$F112)),INDEX(Data!AD$1:AD$373,$F112),""))</f>
        <v>166.2</v>
      </c>
    </row>
    <row r="113" spans="1:33">
      <c r="A113" s="6">
        <v>2022</v>
      </c>
      <c r="B113" s="6">
        <v>1</v>
      </c>
      <c r="C113" s="6" t="s">
        <v>50</v>
      </c>
      <c r="D113" s="9">
        <f t="shared" si="2"/>
        <v>44562</v>
      </c>
      <c r="E113" s="6" t="str">
        <f t="shared" si="3"/>
        <v>Rural+Urban|2022|January</v>
      </c>
      <c r="F113" s="6">
        <f>IFERROR(MATCH(E113,Data!$AE$1:$AE$373,0),0)</f>
        <v>325</v>
      </c>
      <c r="G113" s="6">
        <f>IF($F113=0,"",IF(ISNUMBER(INDEX(Data!D$1:D$373,$F113)),INDEX(Data!D$1:D$373,$F113),""))</f>
        <v>149.5</v>
      </c>
      <c r="H113" s="6">
        <f>IF($F113=0,"",IF(ISNUMBER(INDEX(Data!E$1:E$373,$F113)),INDEX(Data!E$1:E$373,$F113),""))</f>
        <v>198.7</v>
      </c>
      <c r="I113" s="6">
        <f>IF($F113=0,"",IF(ISNUMBER(INDEX(Data!F$1:F$373,$F113)),INDEX(Data!F$1:F$373,$F113),""))</f>
        <v>178.8</v>
      </c>
      <c r="J113" s="6">
        <f>IF($F113=0,"",IF(ISNUMBER(INDEX(Data!G$1:G$373,$F113)),INDEX(Data!G$1:G$373,$F113),""))</f>
        <v>160.5</v>
      </c>
      <c r="K113" s="6">
        <f>IF($F113=0,"",IF(ISNUMBER(INDEX(Data!H$1:H$373,$F113)),INDEX(Data!H$1:H$373,$F113),""))</f>
        <v>184.7</v>
      </c>
      <c r="L113" s="6">
        <f>IF($F113=0,"",IF(ISNUMBER(INDEX(Data!I$1:I$373,$F113)),INDEX(Data!I$1:I$373,$F113),""))</f>
        <v>153.7</v>
      </c>
      <c r="M113" s="6">
        <f>IF($F113=0,"",IF(ISNUMBER(INDEX(Data!J$1:J$373,$F113)),INDEX(Data!J$1:J$373,$F113),""))</f>
        <v>174.3</v>
      </c>
      <c r="N113" s="6">
        <f>IF($F113=0,"",IF(ISNUMBER(INDEX(Data!K$1:K$373,$F113)),INDEX(Data!K$1:K$373,$F113),""))</f>
        <v>163.9</v>
      </c>
      <c r="O113" s="6">
        <f>IF($F113=0,"",IF(ISNUMBER(INDEX(Data!L$1:L$373,$F113)),INDEX(Data!L$1:L$373,$F113),""))</f>
        <v>120</v>
      </c>
      <c r="P113" s="6">
        <f>IF($F113=0,"",IF(ISNUMBER(INDEX(Data!M$1:M$373,$F113)),INDEX(Data!M$1:M$373,$F113),""))</f>
        <v>172.1</v>
      </c>
      <c r="Q113" s="6">
        <f>IF($F113=0,"",IF(ISNUMBER(INDEX(Data!N$1:N$373,$F113)),INDEX(Data!N$1:N$373,$F113),""))</f>
        <v>164.3</v>
      </c>
      <c r="R113" s="6">
        <f>IF($F113=0,"",IF(ISNUMBER(INDEX(Data!O$1:O$373,$F113)),INDEX(Data!O$1:O$373,$F113),""))</f>
        <v>177.3</v>
      </c>
      <c r="S113" s="6">
        <f>IF($F113=0,"",IF(ISNUMBER(INDEX(Data!P$1:P$373,$F113)),INDEX(Data!P$1:P$373,$F113),""))</f>
        <v>166.4</v>
      </c>
      <c r="T113" s="6">
        <f>IF($F113=0,"",IF(ISNUMBER(INDEX(Data!Q$1:Q$373,$F113)),INDEX(Data!Q$1:Q$373,$F113),""))</f>
        <v>192.2</v>
      </c>
      <c r="U113" s="6">
        <f>IF($F113=0,"",IF(ISNUMBER(INDEX(Data!R$1:R$373,$F113)),INDEX(Data!R$1:R$373,$F113),""))</f>
        <v>169.9</v>
      </c>
      <c r="V113" s="6">
        <f>IF($F113=0,"",IF(ISNUMBER(INDEX(Data!S$1:S$373,$F113)),INDEX(Data!S$1:S$373,$F113),""))</f>
        <v>160.7</v>
      </c>
      <c r="W113" s="6">
        <f>IF($F113=0,"",IF(ISNUMBER(INDEX(Data!T$1:T$373,$F113)),INDEX(Data!T$1:T$373,$F113),""))</f>
        <v>168.5</v>
      </c>
      <c r="X113" s="6">
        <f>IF($F113=0,"",IF(ISNUMBER(INDEX(Data!U$1:U$373,$F113)),INDEX(Data!U$1:U$373,$F113),""))</f>
        <v>164.5</v>
      </c>
      <c r="Y113" s="6">
        <f>IF($F113=0,"",IF(ISNUMBER(INDEX(Data!V$1:V$373,$F113)),INDEX(Data!V$1:V$373,$F113),""))</f>
        <v>164.2</v>
      </c>
      <c r="Z113" s="6">
        <f>IF($F113=0,"",IF(ISNUMBER(INDEX(Data!W$1:W$373,$F113)),INDEX(Data!W$1:W$373,$F113),""))</f>
        <v>161.1</v>
      </c>
      <c r="AA113" s="6">
        <f>IF($F113=0,"",IF(ISNUMBER(INDEX(Data!X$1:X$373,$F113)),INDEX(Data!X$1:X$373,$F113),""))</f>
        <v>171.4</v>
      </c>
      <c r="AB113" s="6">
        <f>IF($F113=0,"",IF(ISNUMBER(INDEX(Data!Y$1:Y$373,$F113)),INDEX(Data!Y$1:Y$373,$F113),""))</f>
        <v>156.5</v>
      </c>
      <c r="AC113" s="6">
        <f>IF($F113=0,"",IF(ISNUMBER(INDEX(Data!Z$1:Z$373,$F113)),INDEX(Data!Z$1:Z$373,$F113),""))</f>
        <v>161.2</v>
      </c>
      <c r="AD113" s="6">
        <f>IF($F113=0,"",IF(ISNUMBER(INDEX(Data!AA$1:AA$373,$F113)),INDEX(Data!AA$1:AA$373,$F113),""))</f>
        <v>164.7</v>
      </c>
      <c r="AE113" s="6">
        <f>IF($F113=0,"",IF(ISNUMBER(INDEX(Data!AB$1:AB$373,$F113)),INDEX(Data!AB$1:AB$373,$F113),""))</f>
        <v>163</v>
      </c>
      <c r="AF113" s="6">
        <f>IF($F113=0,"",IF(ISNUMBER(INDEX(Data!AC$1:AC$373,$F113)),INDEX(Data!AC$1:AC$373,$F113),""))</f>
        <v>162.7</v>
      </c>
      <c r="AG113" s="6">
        <f>IF($F113=0,"",IF(ISNUMBER(INDEX(Data!AD$1:AD$373,$F113)),INDEX(Data!AD$1:AD$373,$F113),""))</f>
        <v>165.7</v>
      </c>
    </row>
    <row r="114" spans="1:33">
      <c r="A114" s="6">
        <v>2022</v>
      </c>
      <c r="B114" s="6">
        <v>2</v>
      </c>
      <c r="C114" s="6" t="s">
        <v>53</v>
      </c>
      <c r="D114" s="9">
        <f t="shared" si="2"/>
        <v>44593</v>
      </c>
      <c r="E114" s="6" t="str">
        <f t="shared" si="3"/>
        <v>Rural+Urban|2022|February</v>
      </c>
      <c r="F114" s="6">
        <f>IFERROR(MATCH(E114,Data!$AE$1:$AE$373,0),0)</f>
        <v>328</v>
      </c>
      <c r="G114" s="6">
        <f>IF($F114=0,"",IF(ISNUMBER(INDEX(Data!D$1:D$373,$F114)),INDEX(Data!D$1:D$373,$F114),""))</f>
        <v>150</v>
      </c>
      <c r="H114" s="6">
        <f>IF($F114=0,"",IF(ISNUMBER(INDEX(Data!E$1:E$373,$F114)),INDEX(Data!E$1:E$373,$F114),""))</f>
        <v>200.6</v>
      </c>
      <c r="I114" s="6">
        <f>IF($F114=0,"",IF(ISNUMBER(INDEX(Data!F$1:F$373,$F114)),INDEX(Data!F$1:F$373,$F114),""))</f>
        <v>175.8</v>
      </c>
      <c r="J114" s="6">
        <f>IF($F114=0,"",IF(ISNUMBER(INDEX(Data!G$1:G$373,$F114)),INDEX(Data!G$1:G$373,$F114),""))</f>
        <v>160.7</v>
      </c>
      <c r="K114" s="6">
        <f>IF($F114=0,"",IF(ISNUMBER(INDEX(Data!H$1:H$373,$F114)),INDEX(Data!H$1:H$373,$F114),""))</f>
        <v>184.9</v>
      </c>
      <c r="L114" s="6">
        <f>IF($F114=0,"",IF(ISNUMBER(INDEX(Data!I$1:I$373,$F114)),INDEX(Data!I$1:I$373,$F114),""))</f>
        <v>153.7</v>
      </c>
      <c r="M114" s="6">
        <f>IF($F114=0,"",IF(ISNUMBER(INDEX(Data!J$1:J$373,$F114)),INDEX(Data!J$1:J$373,$F114),""))</f>
        <v>169.7</v>
      </c>
      <c r="N114" s="6">
        <f>IF($F114=0,"",IF(ISNUMBER(INDEX(Data!K$1:K$373,$F114)),INDEX(Data!K$1:K$373,$F114),""))</f>
        <v>163.7</v>
      </c>
      <c r="O114" s="6">
        <f>IF($F114=0,"",IF(ISNUMBER(INDEX(Data!L$1:L$373,$F114)),INDEX(Data!L$1:L$373,$F114),""))</f>
        <v>118.9</v>
      </c>
      <c r="P114" s="6">
        <f>IF($F114=0,"",IF(ISNUMBER(INDEX(Data!M$1:M$373,$F114)),INDEX(Data!M$1:M$373,$F114),""))</f>
        <v>174.3</v>
      </c>
      <c r="Q114" s="6">
        <f>IF($F114=0,"",IF(ISNUMBER(INDEX(Data!N$1:N$373,$F114)),INDEX(Data!N$1:N$373,$F114),""))</f>
        <v>164.7</v>
      </c>
      <c r="R114" s="6">
        <f>IF($F114=0,"",IF(ISNUMBER(INDEX(Data!O$1:O$373,$F114)),INDEX(Data!O$1:O$373,$F114),""))</f>
        <v>178</v>
      </c>
      <c r="S114" s="6">
        <f>IF($F114=0,"",IF(ISNUMBER(INDEX(Data!P$1:P$373,$F114)),INDEX(Data!P$1:P$373,$F114),""))</f>
        <v>166.2</v>
      </c>
      <c r="T114" s="6">
        <f>IF($F114=0,"",IF(ISNUMBER(INDEX(Data!Q$1:Q$373,$F114)),INDEX(Data!Q$1:Q$373,$F114),""))</f>
        <v>192.8</v>
      </c>
      <c r="U114" s="6">
        <f>IF($F114=0,"",IF(ISNUMBER(INDEX(Data!R$1:R$373,$F114)),INDEX(Data!R$1:R$373,$F114),""))</f>
        <v>170.8</v>
      </c>
      <c r="V114" s="6">
        <f>IF($F114=0,"",IF(ISNUMBER(INDEX(Data!S$1:S$373,$F114)),INDEX(Data!S$1:S$373,$F114),""))</f>
        <v>162.4</v>
      </c>
      <c r="W114" s="6">
        <f>IF($F114=0,"",IF(ISNUMBER(INDEX(Data!T$1:T$373,$F114)),INDEX(Data!T$1:T$373,$F114),""))</f>
        <v>169.6</v>
      </c>
      <c r="X114" s="6">
        <f>IF($F114=0,"",IF(ISNUMBER(INDEX(Data!U$1:U$373,$F114)),INDEX(Data!U$1:U$373,$F114),""))</f>
        <v>165.5</v>
      </c>
      <c r="Y114" s="6">
        <f>IF($F114=0,"",IF(ISNUMBER(INDEX(Data!V$1:V$373,$F114)),INDEX(Data!V$1:V$373,$F114),""))</f>
        <v>165.7</v>
      </c>
      <c r="Z114" s="6">
        <f>IF($F114=0,"",IF(ISNUMBER(INDEX(Data!W$1:W$373,$F114)),INDEX(Data!W$1:W$373,$F114),""))</f>
        <v>161.8</v>
      </c>
      <c r="AA114" s="6">
        <f>IF($F114=0,"",IF(ISNUMBER(INDEX(Data!X$1:X$373,$F114)),INDEX(Data!X$1:X$373,$F114),""))</f>
        <v>172.2</v>
      </c>
      <c r="AB114" s="6">
        <f>IF($F114=0,"",IF(ISNUMBER(INDEX(Data!Y$1:Y$373,$F114)),INDEX(Data!Y$1:Y$373,$F114),""))</f>
        <v>156.9</v>
      </c>
      <c r="AC114" s="6">
        <f>IF($F114=0,"",IF(ISNUMBER(INDEX(Data!Z$1:Z$373,$F114)),INDEX(Data!Z$1:Z$373,$F114),""))</f>
        <v>162.1</v>
      </c>
      <c r="AD114" s="6">
        <f>IF($F114=0,"",IF(ISNUMBER(INDEX(Data!AA$1:AA$373,$F114)),INDEX(Data!AA$1:AA$373,$F114),""))</f>
        <v>165.4</v>
      </c>
      <c r="AE114" s="6">
        <f>IF($F114=0,"",IF(ISNUMBER(INDEX(Data!AB$1:AB$373,$F114)),INDEX(Data!AB$1:AB$373,$F114),""))</f>
        <v>164.4</v>
      </c>
      <c r="AF114" s="6">
        <f>IF($F114=0,"",IF(ISNUMBER(INDEX(Data!AC$1:AC$373,$F114)),INDEX(Data!AC$1:AC$373,$F114),""))</f>
        <v>163.5</v>
      </c>
      <c r="AG114" s="6">
        <f>IF($F114=0,"",IF(ISNUMBER(INDEX(Data!AD$1:AD$373,$F114)),INDEX(Data!AD$1:AD$373,$F114),""))</f>
        <v>166.1</v>
      </c>
    </row>
    <row r="115" spans="1:33">
      <c r="A115" s="6">
        <v>2022</v>
      </c>
      <c r="B115" s="6">
        <v>3</v>
      </c>
      <c r="C115" s="6" t="s">
        <v>54</v>
      </c>
      <c r="D115" s="9">
        <f t="shared" si="2"/>
        <v>44621</v>
      </c>
      <c r="E115" s="6" t="str">
        <f t="shared" si="3"/>
        <v>Rural+Urban|2022|March</v>
      </c>
      <c r="F115" s="6">
        <f>IFERROR(MATCH(E115,Data!$AE$1:$AE$373,0),0)</f>
        <v>331</v>
      </c>
      <c r="G115" s="6">
        <f>IF($F115=0,"",IF(ISNUMBER(INDEX(Data!D$1:D$373,$F115)),INDEX(Data!D$1:D$373,$F115),""))</f>
        <v>151.3</v>
      </c>
      <c r="H115" s="6">
        <f>IF($F115=0,"",IF(ISNUMBER(INDEX(Data!E$1:E$373,$F115)),INDEX(Data!E$1:E$373,$F115),""))</f>
        <v>210.7</v>
      </c>
      <c r="I115" s="6">
        <f>IF($F115=0,"",IF(ISNUMBER(INDEX(Data!F$1:F$373,$F115)),INDEX(Data!F$1:F$373,$F115),""))</f>
        <v>167.8</v>
      </c>
      <c r="J115" s="6">
        <f>IF($F115=0,"",IF(ISNUMBER(INDEX(Data!G$1:G$373,$F115)),INDEX(Data!G$1:G$373,$F115),""))</f>
        <v>162.2</v>
      </c>
      <c r="K115" s="6">
        <f>IF($F115=0,"",IF(ISNUMBER(INDEX(Data!H$1:H$373,$F115)),INDEX(Data!H$1:H$373,$F115),""))</f>
        <v>194.6</v>
      </c>
      <c r="L115" s="6">
        <f>IF($F115=0,"",IF(ISNUMBER(INDEX(Data!I$1:I$373,$F115)),INDEX(Data!I$1:I$373,$F115),""))</f>
        <v>157.6</v>
      </c>
      <c r="M115" s="6">
        <f>IF($F115=0,"",IF(ISNUMBER(INDEX(Data!J$1:J$373,$F115)),INDEX(Data!J$1:J$373,$F115),""))</f>
        <v>166.9</v>
      </c>
      <c r="N115" s="6">
        <f>IF($F115=0,"",IF(ISNUMBER(INDEX(Data!K$1:K$373,$F115)),INDEX(Data!K$1:K$373,$F115),""))</f>
        <v>163.9</v>
      </c>
      <c r="O115" s="6">
        <f>IF($F115=0,"",IF(ISNUMBER(INDEX(Data!L$1:L$373,$F115)),INDEX(Data!L$1:L$373,$F115),""))</f>
        <v>118.8</v>
      </c>
      <c r="P115" s="6">
        <f>IF($F115=0,"",IF(ISNUMBER(INDEX(Data!M$1:M$373,$F115)),INDEX(Data!M$1:M$373,$F115),""))</f>
        <v>177.4</v>
      </c>
      <c r="Q115" s="6">
        <f>IF($F115=0,"",IF(ISNUMBER(INDEX(Data!N$1:N$373,$F115)),INDEX(Data!N$1:N$373,$F115),""))</f>
        <v>165.3</v>
      </c>
      <c r="R115" s="6">
        <f>IF($F115=0,"",IF(ISNUMBER(INDEX(Data!O$1:O$373,$F115)),INDEX(Data!O$1:O$373,$F115),""))</f>
        <v>179.3</v>
      </c>
      <c r="S115" s="6">
        <f>IF($F115=0,"",IF(ISNUMBER(INDEX(Data!P$1:P$373,$F115)),INDEX(Data!P$1:P$373,$F115),""))</f>
        <v>168.4</v>
      </c>
      <c r="T115" s="6">
        <f>IF($F115=0,"",IF(ISNUMBER(INDEX(Data!Q$1:Q$373,$F115)),INDEX(Data!Q$1:Q$373,$F115),""))</f>
        <v>193.7</v>
      </c>
      <c r="U115" s="6">
        <f>IF($F115=0,"",IF(ISNUMBER(INDEX(Data!R$1:R$373,$F115)),INDEX(Data!R$1:R$373,$F115),""))</f>
        <v>172.1</v>
      </c>
      <c r="V115" s="6">
        <f>IF($F115=0,"",IF(ISNUMBER(INDEX(Data!S$1:S$373,$F115)),INDEX(Data!S$1:S$373,$F115),""))</f>
        <v>164.6</v>
      </c>
      <c r="W115" s="6">
        <f>IF($F115=0,"",IF(ISNUMBER(INDEX(Data!T$1:T$373,$F115)),INDEX(Data!T$1:T$373,$F115),""))</f>
        <v>171.1</v>
      </c>
      <c r="X115" s="6">
        <f>IF($F115=0,"",IF(ISNUMBER(INDEX(Data!U$1:U$373,$F115)),INDEX(Data!U$1:U$373,$F115),""))</f>
        <v>165.3</v>
      </c>
      <c r="Y115" s="6">
        <f>IF($F115=0,"",IF(ISNUMBER(INDEX(Data!V$1:V$373,$F115)),INDEX(Data!V$1:V$373,$F115),""))</f>
        <v>167.2</v>
      </c>
      <c r="Z115" s="6">
        <f>IF($F115=0,"",IF(ISNUMBER(INDEX(Data!W$1:W$373,$F115)),INDEX(Data!W$1:W$373,$F115),""))</f>
        <v>162.8</v>
      </c>
      <c r="AA115" s="6">
        <f>IF($F115=0,"",IF(ISNUMBER(INDEX(Data!X$1:X$373,$F115)),INDEX(Data!X$1:X$373,$F115),""))</f>
        <v>173</v>
      </c>
      <c r="AB115" s="6">
        <f>IF($F115=0,"",IF(ISNUMBER(INDEX(Data!Y$1:Y$373,$F115)),INDEX(Data!Y$1:Y$373,$F115),""))</f>
        <v>157.9</v>
      </c>
      <c r="AC115" s="6">
        <f>IF($F115=0,"",IF(ISNUMBER(INDEX(Data!Z$1:Z$373,$F115)),INDEX(Data!Z$1:Z$373,$F115),""))</f>
        <v>163.3</v>
      </c>
      <c r="AD115" s="6">
        <f>IF($F115=0,"",IF(ISNUMBER(INDEX(Data!AA$1:AA$373,$F115)),INDEX(Data!AA$1:AA$373,$F115),""))</f>
        <v>166</v>
      </c>
      <c r="AE115" s="6">
        <f>IF($F115=0,"",IF(ISNUMBER(INDEX(Data!AB$1:AB$373,$F115)),INDEX(Data!AB$1:AB$373,$F115),""))</f>
        <v>167.2</v>
      </c>
      <c r="AF115" s="6">
        <f>IF($F115=0,"",IF(ISNUMBER(INDEX(Data!AC$1:AC$373,$F115)),INDEX(Data!AC$1:AC$373,$F115),""))</f>
        <v>164.6</v>
      </c>
      <c r="AG115" s="6">
        <f>IF($F115=0,"",IF(ISNUMBER(INDEX(Data!AD$1:AD$373,$F115)),INDEX(Data!AD$1:AD$373,$F115),""))</f>
        <v>167.7</v>
      </c>
    </row>
    <row r="116" spans="1:33">
      <c r="A116" s="6">
        <v>2022</v>
      </c>
      <c r="B116" s="6">
        <v>4</v>
      </c>
      <c r="C116" s="6" t="s">
        <v>55</v>
      </c>
      <c r="D116" s="9">
        <f t="shared" si="2"/>
        <v>44652</v>
      </c>
      <c r="E116" s="6" t="str">
        <f t="shared" si="3"/>
        <v>Rural+Urban|2022|April</v>
      </c>
      <c r="F116" s="6">
        <f>IFERROR(MATCH(E116,Data!$AE$1:$AE$373,0),0)</f>
        <v>334</v>
      </c>
      <c r="G116" s="6">
        <f>IF($F116=0,"",IF(ISNUMBER(INDEX(Data!D$1:D$373,$F116)),INDEX(Data!D$1:D$373,$F116),""))</f>
        <v>152.9</v>
      </c>
      <c r="H116" s="6">
        <f>IF($F116=0,"",IF(ISNUMBER(INDEX(Data!E$1:E$373,$F116)),INDEX(Data!E$1:E$373,$F116),""))</f>
        <v>211.8</v>
      </c>
      <c r="I116" s="6">
        <f>IF($F116=0,"",IF(ISNUMBER(INDEX(Data!F$1:F$373,$F116)),INDEX(Data!F$1:F$373,$F116),""))</f>
        <v>164.5</v>
      </c>
      <c r="J116" s="6">
        <f>IF($F116=0,"",IF(ISNUMBER(INDEX(Data!G$1:G$373,$F116)),INDEX(Data!G$1:G$373,$F116),""))</f>
        <v>163.9</v>
      </c>
      <c r="K116" s="6">
        <f>IF($F116=0,"",IF(ISNUMBER(INDEX(Data!H$1:H$373,$F116)),INDEX(Data!H$1:H$373,$F116),""))</f>
        <v>199.5</v>
      </c>
      <c r="L116" s="6">
        <f>IF($F116=0,"",IF(ISNUMBER(INDEX(Data!I$1:I$373,$F116)),INDEX(Data!I$1:I$373,$F116),""))</f>
        <v>172.6</v>
      </c>
      <c r="M116" s="6">
        <f>IF($F116=0,"",IF(ISNUMBER(INDEX(Data!J$1:J$373,$F116)),INDEX(Data!J$1:J$373,$F116),""))</f>
        <v>166.2</v>
      </c>
      <c r="N116" s="6">
        <f>IF($F116=0,"",IF(ISNUMBER(INDEX(Data!K$1:K$373,$F116)),INDEX(Data!K$1:K$373,$F116),""))</f>
        <v>164.7</v>
      </c>
      <c r="O116" s="6">
        <f>IF($F116=0,"",IF(ISNUMBER(INDEX(Data!L$1:L$373,$F116)),INDEX(Data!L$1:L$373,$F116),""))</f>
        <v>119</v>
      </c>
      <c r="P116" s="6">
        <f>IF($F116=0,"",IF(ISNUMBER(INDEX(Data!M$1:M$373,$F116)),INDEX(Data!M$1:M$373,$F116),""))</f>
        <v>181.3</v>
      </c>
      <c r="Q116" s="6">
        <f>IF($F116=0,"",IF(ISNUMBER(INDEX(Data!N$1:N$373,$F116)),INDEX(Data!N$1:N$373,$F116),""))</f>
        <v>166.2</v>
      </c>
      <c r="R116" s="6">
        <f>IF($F116=0,"",IF(ISNUMBER(INDEX(Data!O$1:O$373,$F116)),INDEX(Data!O$1:O$373,$F116),""))</f>
        <v>180.9</v>
      </c>
      <c r="S116" s="6">
        <f>IF($F116=0,"",IF(ISNUMBER(INDEX(Data!P$1:P$373,$F116)),INDEX(Data!P$1:P$373,$F116),""))</f>
        <v>170.8</v>
      </c>
      <c r="T116" s="6">
        <f>IF($F116=0,"",IF(ISNUMBER(INDEX(Data!Q$1:Q$373,$F116)),INDEX(Data!Q$1:Q$373,$F116),""))</f>
        <v>193.9</v>
      </c>
      <c r="U116" s="6">
        <f>IF($F116=0,"",IF(ISNUMBER(INDEX(Data!R$1:R$373,$F116)),INDEX(Data!R$1:R$373,$F116),""))</f>
        <v>173.9</v>
      </c>
      <c r="V116" s="6">
        <f>IF($F116=0,"",IF(ISNUMBER(INDEX(Data!S$1:S$373,$F116)),INDEX(Data!S$1:S$373,$F116),""))</f>
        <v>166.5</v>
      </c>
      <c r="W116" s="6">
        <f>IF($F116=0,"",IF(ISNUMBER(INDEX(Data!T$1:T$373,$F116)),INDEX(Data!T$1:T$373,$F116),""))</f>
        <v>172.8</v>
      </c>
      <c r="X116" s="6">
        <f>IF($F116=0,"",IF(ISNUMBER(INDEX(Data!U$1:U$373,$F116)),INDEX(Data!U$1:U$373,$F116),""))</f>
        <v>167</v>
      </c>
      <c r="Y116" s="6">
        <f>IF($F116=0,"",IF(ISNUMBER(INDEX(Data!V$1:V$373,$F116)),INDEX(Data!V$1:V$373,$F116),""))</f>
        <v>172.2</v>
      </c>
      <c r="Z116" s="6">
        <f>IF($F116=0,"",IF(ISNUMBER(INDEX(Data!W$1:W$373,$F116)),INDEX(Data!W$1:W$373,$F116),""))</f>
        <v>164</v>
      </c>
      <c r="AA116" s="6">
        <f>IF($F116=0,"",IF(ISNUMBER(INDEX(Data!X$1:X$373,$F116)),INDEX(Data!X$1:X$373,$F116),""))</f>
        <v>174</v>
      </c>
      <c r="AB116" s="6">
        <f>IF($F116=0,"",IF(ISNUMBER(INDEX(Data!Y$1:Y$373,$F116)),INDEX(Data!Y$1:Y$373,$F116),""))</f>
        <v>162.6</v>
      </c>
      <c r="AC116" s="6">
        <f>IF($F116=0,"",IF(ISNUMBER(INDEX(Data!Z$1:Z$373,$F116)),INDEX(Data!Z$1:Z$373,$F116),""))</f>
        <v>164.4</v>
      </c>
      <c r="AD116" s="6">
        <f>IF($F116=0,"",IF(ISNUMBER(INDEX(Data!AA$1:AA$373,$F116)),INDEX(Data!AA$1:AA$373,$F116),""))</f>
        <v>166.9</v>
      </c>
      <c r="AE116" s="6">
        <f>IF($F116=0,"",IF(ISNUMBER(INDEX(Data!AB$1:AB$373,$F116)),INDEX(Data!AB$1:AB$373,$F116),""))</f>
        <v>168.8</v>
      </c>
      <c r="AF116" s="6">
        <f>IF($F116=0,"",IF(ISNUMBER(INDEX(Data!AC$1:AC$373,$F116)),INDEX(Data!AC$1:AC$373,$F116),""))</f>
        <v>166.8</v>
      </c>
      <c r="AG116" s="6">
        <f>IF($F116=0,"",IF(ISNUMBER(INDEX(Data!AD$1:AD$373,$F116)),INDEX(Data!AD$1:AD$373,$F116),""))</f>
        <v>170.1</v>
      </c>
    </row>
    <row r="117" spans="1:33">
      <c r="A117" s="6">
        <v>2022</v>
      </c>
      <c r="B117" s="6">
        <v>5</v>
      </c>
      <c r="C117" s="6" t="s">
        <v>56</v>
      </c>
      <c r="D117" s="9">
        <f t="shared" si="2"/>
        <v>44682</v>
      </c>
      <c r="E117" s="6" t="str">
        <f t="shared" si="3"/>
        <v>Rural+Urban|2022|May</v>
      </c>
      <c r="F117" s="6">
        <f>IFERROR(MATCH(E117,Data!$AE$1:$AE$373,0),0)</f>
        <v>337</v>
      </c>
      <c r="G117" s="6">
        <f>IF($F117=0,"",IF(ISNUMBER(INDEX(Data!D$1:D$373,$F117)),INDEX(Data!D$1:D$373,$F117),""))</f>
        <v>154.1</v>
      </c>
      <c r="H117" s="6">
        <f>IF($F117=0,"",IF(ISNUMBER(INDEX(Data!E$1:E$373,$F117)),INDEX(Data!E$1:E$373,$F117),""))</f>
        <v>217</v>
      </c>
      <c r="I117" s="6">
        <f>IF($F117=0,"",IF(ISNUMBER(INDEX(Data!F$1:F$373,$F117)),INDEX(Data!F$1:F$373,$F117),""))</f>
        <v>162.4</v>
      </c>
      <c r="J117" s="6">
        <f>IF($F117=0,"",IF(ISNUMBER(INDEX(Data!G$1:G$373,$F117)),INDEX(Data!G$1:G$373,$F117),""))</f>
        <v>164.9</v>
      </c>
      <c r="K117" s="6">
        <f>IF($F117=0,"",IF(ISNUMBER(INDEX(Data!H$1:H$373,$F117)),INDEX(Data!H$1:H$373,$F117),""))</f>
        <v>202.4</v>
      </c>
      <c r="L117" s="6">
        <f>IF($F117=0,"",IF(ISNUMBER(INDEX(Data!I$1:I$373,$F117)),INDEX(Data!I$1:I$373,$F117),""))</f>
        <v>171</v>
      </c>
      <c r="M117" s="6">
        <f>IF($F117=0,"",IF(ISNUMBER(INDEX(Data!J$1:J$373,$F117)),INDEX(Data!J$1:J$373,$F117),""))</f>
        <v>174.9</v>
      </c>
      <c r="N117" s="6">
        <f>IF($F117=0,"",IF(ISNUMBER(INDEX(Data!K$1:K$373,$F117)),INDEX(Data!K$1:K$373,$F117),""))</f>
        <v>164.7</v>
      </c>
      <c r="O117" s="6">
        <f>IF($F117=0,"",IF(ISNUMBER(INDEX(Data!L$1:L$373,$F117)),INDEX(Data!L$1:L$373,$F117),""))</f>
        <v>119.7</v>
      </c>
      <c r="P117" s="6">
        <f>IF($F117=0,"",IF(ISNUMBER(INDEX(Data!M$1:M$373,$F117)),INDEX(Data!M$1:M$373,$F117),""))</f>
        <v>184.9</v>
      </c>
      <c r="Q117" s="6">
        <f>IF($F117=0,"",IF(ISNUMBER(INDEX(Data!N$1:N$373,$F117)),INDEX(Data!N$1:N$373,$F117),""))</f>
        <v>167.1</v>
      </c>
      <c r="R117" s="6">
        <f>IF($F117=0,"",IF(ISNUMBER(INDEX(Data!O$1:O$373,$F117)),INDEX(Data!O$1:O$373,$F117),""))</f>
        <v>182.5</v>
      </c>
      <c r="S117" s="6">
        <f>IF($F117=0,"",IF(ISNUMBER(INDEX(Data!P$1:P$373,$F117)),INDEX(Data!P$1:P$373,$F117),""))</f>
        <v>173.3</v>
      </c>
      <c r="T117" s="6">
        <f>IF($F117=0,"",IF(ISNUMBER(INDEX(Data!Q$1:Q$373,$F117)),INDEX(Data!Q$1:Q$373,$F117),""))</f>
        <v>194.1</v>
      </c>
      <c r="U117" s="6">
        <f>IF($F117=0,"",IF(ISNUMBER(INDEX(Data!R$1:R$373,$F117)),INDEX(Data!R$1:R$373,$F117),""))</f>
        <v>175.6</v>
      </c>
      <c r="V117" s="6">
        <f>IF($F117=0,"",IF(ISNUMBER(INDEX(Data!S$1:S$373,$F117)),INDEX(Data!S$1:S$373,$F117),""))</f>
        <v>168.4</v>
      </c>
      <c r="W117" s="6">
        <f>IF($F117=0,"",IF(ISNUMBER(INDEX(Data!T$1:T$373,$F117)),INDEX(Data!T$1:T$373,$F117),""))</f>
        <v>174.6</v>
      </c>
      <c r="X117" s="6">
        <f>IF($F117=0,"",IF(ISNUMBER(INDEX(Data!U$1:U$373,$F117)),INDEX(Data!U$1:U$373,$F117),""))</f>
        <v>167.5</v>
      </c>
      <c r="Y117" s="6">
        <f>IF($F117=0,"",IF(ISNUMBER(INDEX(Data!V$1:V$373,$F117)),INDEX(Data!V$1:V$373,$F117),""))</f>
        <v>174.6</v>
      </c>
      <c r="Z117" s="6">
        <f>IF($F117=0,"",IF(ISNUMBER(INDEX(Data!W$1:W$373,$F117)),INDEX(Data!W$1:W$373,$F117),""))</f>
        <v>165.2</v>
      </c>
      <c r="AA117" s="6">
        <f>IF($F117=0,"",IF(ISNUMBER(INDEX(Data!X$1:X$373,$F117)),INDEX(Data!X$1:X$373,$F117),""))</f>
        <v>174.8</v>
      </c>
      <c r="AB117" s="6">
        <f>IF($F117=0,"",IF(ISNUMBER(INDEX(Data!Y$1:Y$373,$F117)),INDEX(Data!Y$1:Y$373,$F117),""))</f>
        <v>163</v>
      </c>
      <c r="AC117" s="6">
        <f>IF($F117=0,"",IF(ISNUMBER(INDEX(Data!Z$1:Z$373,$F117)),INDEX(Data!Z$1:Z$373,$F117),""))</f>
        <v>165.1</v>
      </c>
      <c r="AD117" s="6">
        <f>IF($F117=0,"",IF(ISNUMBER(INDEX(Data!AA$1:AA$373,$F117)),INDEX(Data!AA$1:AA$373,$F117),""))</f>
        <v>167.9</v>
      </c>
      <c r="AE117" s="6">
        <f>IF($F117=0,"",IF(ISNUMBER(INDEX(Data!AB$1:AB$373,$F117)),INDEX(Data!AB$1:AB$373,$F117),""))</f>
        <v>168.4</v>
      </c>
      <c r="AF117" s="6">
        <f>IF($F117=0,"",IF(ISNUMBER(INDEX(Data!AC$1:AC$373,$F117)),INDEX(Data!AC$1:AC$373,$F117),""))</f>
        <v>167.5</v>
      </c>
      <c r="AG117" s="6">
        <f>IF($F117=0,"",IF(ISNUMBER(INDEX(Data!AD$1:AD$373,$F117)),INDEX(Data!AD$1:AD$373,$F117),""))</f>
        <v>171.7</v>
      </c>
    </row>
    <row r="118" spans="1:33">
      <c r="A118" s="6">
        <v>2022</v>
      </c>
      <c r="B118" s="6">
        <v>6</v>
      </c>
      <c r="C118" s="6" t="s">
        <v>57</v>
      </c>
      <c r="D118" s="9">
        <f t="shared" si="2"/>
        <v>44713</v>
      </c>
      <c r="E118" s="6" t="str">
        <f t="shared" si="3"/>
        <v>Rural+Urban|2022|June</v>
      </c>
      <c r="F118" s="6">
        <f>IFERROR(MATCH(E118,Data!$AE$1:$AE$373,0),0)</f>
        <v>340</v>
      </c>
      <c r="G118" s="6">
        <f>IF($F118=0,"",IF(ISNUMBER(INDEX(Data!D$1:D$373,$F118)),INDEX(Data!D$1:D$373,$F118),""))</f>
        <v>155</v>
      </c>
      <c r="H118" s="6">
        <f>IF($F118=0,"",IF(ISNUMBER(INDEX(Data!E$1:E$373,$F118)),INDEX(Data!E$1:E$373,$F118),""))</f>
        <v>219.4</v>
      </c>
      <c r="I118" s="6">
        <f>IF($F118=0,"",IF(ISNUMBER(INDEX(Data!F$1:F$373,$F118)),INDEX(Data!F$1:F$373,$F118),""))</f>
        <v>170.8</v>
      </c>
      <c r="J118" s="6">
        <f>IF($F118=0,"",IF(ISNUMBER(INDEX(Data!G$1:G$373,$F118)),INDEX(Data!G$1:G$373,$F118),""))</f>
        <v>165.8</v>
      </c>
      <c r="K118" s="6">
        <f>IF($F118=0,"",IF(ISNUMBER(INDEX(Data!H$1:H$373,$F118)),INDEX(Data!H$1:H$373,$F118),""))</f>
        <v>200.9</v>
      </c>
      <c r="L118" s="6">
        <f>IF($F118=0,"",IF(ISNUMBER(INDEX(Data!I$1:I$373,$F118)),INDEX(Data!I$1:I$373,$F118),""))</f>
        <v>169.7</v>
      </c>
      <c r="M118" s="6">
        <f>IF($F118=0,"",IF(ISNUMBER(INDEX(Data!J$1:J$373,$F118)),INDEX(Data!J$1:J$373,$F118),""))</f>
        <v>182.3</v>
      </c>
      <c r="N118" s="6">
        <f>IF($F118=0,"",IF(ISNUMBER(INDEX(Data!K$1:K$373,$F118)),INDEX(Data!K$1:K$373,$F118),""))</f>
        <v>164.3</v>
      </c>
      <c r="O118" s="6">
        <f>IF($F118=0,"",IF(ISNUMBER(INDEX(Data!L$1:L$373,$F118)),INDEX(Data!L$1:L$373,$F118),""))</f>
        <v>119.9</v>
      </c>
      <c r="P118" s="6">
        <f>IF($F118=0,"",IF(ISNUMBER(INDEX(Data!M$1:M$373,$F118)),INDEX(Data!M$1:M$373,$F118),""))</f>
        <v>187.1</v>
      </c>
      <c r="Q118" s="6">
        <f>IF($F118=0,"",IF(ISNUMBER(INDEX(Data!N$1:N$373,$F118)),INDEX(Data!N$1:N$373,$F118),""))</f>
        <v>167.9</v>
      </c>
      <c r="R118" s="6">
        <f>IF($F118=0,"",IF(ISNUMBER(INDEX(Data!O$1:O$373,$F118)),INDEX(Data!O$1:O$373,$F118),""))</f>
        <v>183.9</v>
      </c>
      <c r="S118" s="6">
        <f>IF($F118=0,"",IF(ISNUMBER(INDEX(Data!P$1:P$373,$F118)),INDEX(Data!P$1:P$373,$F118),""))</f>
        <v>174.9</v>
      </c>
      <c r="T118" s="6">
        <f>IF($F118=0,"",IF(ISNUMBER(INDEX(Data!Q$1:Q$373,$F118)),INDEX(Data!Q$1:Q$373,$F118),""))</f>
        <v>194.3</v>
      </c>
      <c r="U118" s="6">
        <f>IF($F118=0,"",IF(ISNUMBER(INDEX(Data!R$1:R$373,$F118)),INDEX(Data!R$1:R$373,$F118),""))</f>
        <v>177.1</v>
      </c>
      <c r="V118" s="6">
        <f>IF($F118=0,"",IF(ISNUMBER(INDEX(Data!S$1:S$373,$F118)),INDEX(Data!S$1:S$373,$F118),""))</f>
        <v>169.9</v>
      </c>
      <c r="W118" s="6">
        <f>IF($F118=0,"",IF(ISNUMBER(INDEX(Data!T$1:T$373,$F118)),INDEX(Data!T$1:T$373,$F118),""))</f>
        <v>176</v>
      </c>
      <c r="X118" s="6">
        <f>IF($F118=0,"",IF(ISNUMBER(INDEX(Data!U$1:U$373,$F118)),INDEX(Data!U$1:U$373,$F118),""))</f>
        <v>166.8</v>
      </c>
      <c r="Y118" s="6">
        <f>IF($F118=0,"",IF(ISNUMBER(INDEX(Data!V$1:V$373,$F118)),INDEX(Data!V$1:V$373,$F118),""))</f>
        <v>176</v>
      </c>
      <c r="Z118" s="6">
        <f>IF($F118=0,"",IF(ISNUMBER(INDEX(Data!W$1:W$373,$F118)),INDEX(Data!W$1:W$373,$F118),""))</f>
        <v>166.4</v>
      </c>
      <c r="AA118" s="6">
        <f>IF($F118=0,"",IF(ISNUMBER(INDEX(Data!X$1:X$373,$F118)),INDEX(Data!X$1:X$373,$F118),""))</f>
        <v>175.4</v>
      </c>
      <c r="AB118" s="6">
        <f>IF($F118=0,"",IF(ISNUMBER(INDEX(Data!Y$1:Y$373,$F118)),INDEX(Data!Y$1:Y$373,$F118),""))</f>
        <v>161.1</v>
      </c>
      <c r="AC118" s="6">
        <f>IF($F118=0,"",IF(ISNUMBER(INDEX(Data!Z$1:Z$373,$F118)),INDEX(Data!Z$1:Z$373,$F118),""))</f>
        <v>165.8</v>
      </c>
      <c r="AD118" s="6">
        <f>IF($F118=0,"",IF(ISNUMBER(INDEX(Data!AA$1:AA$373,$F118)),INDEX(Data!AA$1:AA$373,$F118),""))</f>
        <v>169</v>
      </c>
      <c r="AE118" s="6">
        <f>IF($F118=0,"",IF(ISNUMBER(INDEX(Data!AB$1:AB$373,$F118)),INDEX(Data!AB$1:AB$373,$F118),""))</f>
        <v>169.4</v>
      </c>
      <c r="AF118" s="6">
        <f>IF($F118=0,"",IF(ISNUMBER(INDEX(Data!AC$1:AC$373,$F118)),INDEX(Data!AC$1:AC$373,$F118),""))</f>
        <v>167.5</v>
      </c>
      <c r="AG118" s="6">
        <f>IF($F118=0,"",IF(ISNUMBER(INDEX(Data!AD$1:AD$373,$F118)),INDEX(Data!AD$1:AD$373,$F118),""))</f>
        <v>172.6</v>
      </c>
    </row>
    <row r="119" spans="1:33">
      <c r="A119" s="6">
        <v>2022</v>
      </c>
      <c r="B119" s="6">
        <v>7</v>
      </c>
      <c r="C119" s="6" t="s">
        <v>58</v>
      </c>
      <c r="D119" s="9">
        <f t="shared" si="2"/>
        <v>44743</v>
      </c>
      <c r="E119" s="6" t="str">
        <f t="shared" si="3"/>
        <v>Rural+Urban|2022|July</v>
      </c>
      <c r="F119" s="6">
        <f>IFERROR(MATCH(E119,Data!$AE$1:$AE$373,0),0)</f>
        <v>343</v>
      </c>
      <c r="G119" s="6">
        <f>IF($F119=0,"",IF(ISNUMBER(INDEX(Data!D$1:D$373,$F119)),INDEX(Data!D$1:D$373,$F119),""))</f>
        <v>156.5</v>
      </c>
      <c r="H119" s="6">
        <f>IF($F119=0,"",IF(ISNUMBER(INDEX(Data!E$1:E$373,$F119)),INDEX(Data!E$1:E$373,$F119),""))</f>
        <v>213</v>
      </c>
      <c r="I119" s="6">
        <f>IF($F119=0,"",IF(ISNUMBER(INDEX(Data!F$1:F$373,$F119)),INDEX(Data!F$1:F$373,$F119),""))</f>
        <v>175.2</v>
      </c>
      <c r="J119" s="6">
        <f>IF($F119=0,"",IF(ISNUMBER(INDEX(Data!G$1:G$373,$F119)),INDEX(Data!G$1:G$373,$F119),""))</f>
        <v>166.6</v>
      </c>
      <c r="K119" s="6">
        <f>IF($F119=0,"",IF(ISNUMBER(INDEX(Data!H$1:H$373,$F119)),INDEX(Data!H$1:H$373,$F119),""))</f>
        <v>195.8</v>
      </c>
      <c r="L119" s="6">
        <f>IF($F119=0,"",IF(ISNUMBER(INDEX(Data!I$1:I$373,$F119)),INDEX(Data!I$1:I$373,$F119),""))</f>
        <v>174.2</v>
      </c>
      <c r="M119" s="6">
        <f>IF($F119=0,"",IF(ISNUMBER(INDEX(Data!J$1:J$373,$F119)),INDEX(Data!J$1:J$373,$F119),""))</f>
        <v>182.1</v>
      </c>
      <c r="N119" s="6">
        <f>IF($F119=0,"",IF(ISNUMBER(INDEX(Data!K$1:K$373,$F119)),INDEX(Data!K$1:K$373,$F119),""))</f>
        <v>164.3</v>
      </c>
      <c r="O119" s="6">
        <f>IF($F119=0,"",IF(ISNUMBER(INDEX(Data!L$1:L$373,$F119)),INDEX(Data!L$1:L$373,$F119),""))</f>
        <v>120</v>
      </c>
      <c r="P119" s="6">
        <f>IF($F119=0,"",IF(ISNUMBER(INDEX(Data!M$1:M$373,$F119)),INDEX(Data!M$1:M$373,$F119),""))</f>
        <v>190</v>
      </c>
      <c r="Q119" s="6">
        <f>IF($F119=0,"",IF(ISNUMBER(INDEX(Data!N$1:N$373,$F119)),INDEX(Data!N$1:N$373,$F119),""))</f>
        <v>168.4</v>
      </c>
      <c r="R119" s="6">
        <f>IF($F119=0,"",IF(ISNUMBER(INDEX(Data!O$1:O$373,$F119)),INDEX(Data!O$1:O$373,$F119),""))</f>
        <v>185.2</v>
      </c>
      <c r="S119" s="6">
        <f>IF($F119=0,"",IF(ISNUMBER(INDEX(Data!P$1:P$373,$F119)),INDEX(Data!P$1:P$373,$F119),""))</f>
        <v>175</v>
      </c>
      <c r="T119" s="6">
        <f>IF($F119=0,"",IF(ISNUMBER(INDEX(Data!Q$1:Q$373,$F119)),INDEX(Data!Q$1:Q$373,$F119),""))</f>
        <v>194.6</v>
      </c>
      <c r="U119" s="6">
        <f>IF($F119=0,"",IF(ISNUMBER(INDEX(Data!R$1:R$373,$F119)),INDEX(Data!R$1:R$373,$F119),""))</f>
        <v>178.3</v>
      </c>
      <c r="V119" s="6">
        <f>IF($F119=0,"",IF(ISNUMBER(INDEX(Data!S$1:S$373,$F119)),INDEX(Data!S$1:S$373,$F119),""))</f>
        <v>171.3</v>
      </c>
      <c r="W119" s="6">
        <f>IF($F119=0,"",IF(ISNUMBER(INDEX(Data!T$1:T$373,$F119)),INDEX(Data!T$1:T$373,$F119),""))</f>
        <v>177.3</v>
      </c>
      <c r="X119" s="6">
        <f>IF($F119=0,"",IF(ISNUMBER(INDEX(Data!U$1:U$373,$F119)),INDEX(Data!U$1:U$373,$F119),""))</f>
        <v>167.8</v>
      </c>
      <c r="Y119" s="6">
        <f>IF($F119=0,"",IF(ISNUMBER(INDEX(Data!V$1:V$373,$F119)),INDEX(Data!V$1:V$373,$F119),""))</f>
        <v>179.6</v>
      </c>
      <c r="Z119" s="6">
        <f>IF($F119=0,"",IF(ISNUMBER(INDEX(Data!W$1:W$373,$F119)),INDEX(Data!W$1:W$373,$F119),""))</f>
        <v>167.4</v>
      </c>
      <c r="AA119" s="6">
        <f>IF($F119=0,"",IF(ISNUMBER(INDEX(Data!X$1:X$373,$F119)),INDEX(Data!X$1:X$373,$F119),""))</f>
        <v>176.1</v>
      </c>
      <c r="AB119" s="6">
        <f>IF($F119=0,"",IF(ISNUMBER(INDEX(Data!Y$1:Y$373,$F119)),INDEX(Data!Y$1:Y$373,$F119),""))</f>
        <v>161.6</v>
      </c>
      <c r="AC119" s="6">
        <f>IF($F119=0,"",IF(ISNUMBER(INDEX(Data!Z$1:Z$373,$F119)),INDEX(Data!Z$1:Z$373,$F119),""))</f>
        <v>166.3</v>
      </c>
      <c r="AD119" s="6">
        <f>IF($F119=0,"",IF(ISNUMBER(INDEX(Data!AA$1:AA$373,$F119)),INDEX(Data!AA$1:AA$373,$F119),""))</f>
        <v>171.4</v>
      </c>
      <c r="AE119" s="6">
        <f>IF($F119=0,"",IF(ISNUMBER(INDEX(Data!AB$1:AB$373,$F119)),INDEX(Data!AB$1:AB$373,$F119),""))</f>
        <v>169.7</v>
      </c>
      <c r="AF119" s="6">
        <f>IF($F119=0,"",IF(ISNUMBER(INDEX(Data!AC$1:AC$373,$F119)),INDEX(Data!AC$1:AC$373,$F119),""))</f>
        <v>168.4</v>
      </c>
      <c r="AG119" s="6">
        <f>IF($F119=0,"",IF(ISNUMBER(INDEX(Data!AD$1:AD$373,$F119)),INDEX(Data!AD$1:AD$373,$F119),""))</f>
        <v>173.4</v>
      </c>
    </row>
    <row r="120" spans="1:33">
      <c r="A120" s="6">
        <v>2022</v>
      </c>
      <c r="B120" s="6">
        <v>8</v>
      </c>
      <c r="C120" s="6" t="s">
        <v>59</v>
      </c>
      <c r="D120" s="9">
        <f t="shared" si="2"/>
        <v>44774</v>
      </c>
      <c r="E120" s="6" t="str">
        <f t="shared" si="3"/>
        <v>Rural+Urban|2022|August</v>
      </c>
      <c r="F120" s="6">
        <f>IFERROR(MATCH(E120,Data!$AE$1:$AE$373,0),0)</f>
        <v>346</v>
      </c>
      <c r="G120" s="6">
        <f>IF($F120=0,"",IF(ISNUMBER(INDEX(Data!D$1:D$373,$F120)),INDEX(Data!D$1:D$373,$F120),""))</f>
        <v>160.3</v>
      </c>
      <c r="H120" s="6">
        <f>IF($F120=0,"",IF(ISNUMBER(INDEX(Data!E$1:E$373,$F120)),INDEX(Data!E$1:E$373,$F120),""))</f>
        <v>206.5</v>
      </c>
      <c r="I120" s="6">
        <f>IF($F120=0,"",IF(ISNUMBER(INDEX(Data!F$1:F$373,$F120)),INDEX(Data!F$1:F$373,$F120),""))</f>
        <v>169.2</v>
      </c>
      <c r="J120" s="6">
        <f>IF($F120=0,"",IF(ISNUMBER(INDEX(Data!G$1:G$373,$F120)),INDEX(Data!G$1:G$373,$F120),""))</f>
        <v>168.1</v>
      </c>
      <c r="K120" s="6">
        <f>IF($F120=0,"",IF(ISNUMBER(INDEX(Data!H$1:H$373,$F120)),INDEX(Data!H$1:H$373,$F120),""))</f>
        <v>192.4</v>
      </c>
      <c r="L120" s="6">
        <f>IF($F120=0,"",IF(ISNUMBER(INDEX(Data!I$1:I$373,$F120)),INDEX(Data!I$1:I$373,$F120),""))</f>
        <v>172.9</v>
      </c>
      <c r="M120" s="6">
        <f>IF($F120=0,"",IF(ISNUMBER(INDEX(Data!J$1:J$373,$F120)),INDEX(Data!J$1:J$373,$F120),""))</f>
        <v>186.7</v>
      </c>
      <c r="N120" s="6">
        <f>IF($F120=0,"",IF(ISNUMBER(INDEX(Data!K$1:K$373,$F120)),INDEX(Data!K$1:K$373,$F120),""))</f>
        <v>167.2</v>
      </c>
      <c r="O120" s="6">
        <f>IF($F120=0,"",IF(ISNUMBER(INDEX(Data!L$1:L$373,$F120)),INDEX(Data!L$1:L$373,$F120),""))</f>
        <v>120.9</v>
      </c>
      <c r="P120" s="6">
        <f>IF($F120=0,"",IF(ISNUMBER(INDEX(Data!M$1:M$373,$F120)),INDEX(Data!M$1:M$373,$F120),""))</f>
        <v>193.6</v>
      </c>
      <c r="Q120" s="6">
        <f>IF($F120=0,"",IF(ISNUMBER(INDEX(Data!N$1:N$373,$F120)),INDEX(Data!N$1:N$373,$F120),""))</f>
        <v>168.8</v>
      </c>
      <c r="R120" s="6">
        <f>IF($F120=0,"",IF(ISNUMBER(INDEX(Data!O$1:O$373,$F120)),INDEX(Data!O$1:O$373,$F120),""))</f>
        <v>186.3</v>
      </c>
      <c r="S120" s="6">
        <f>IF($F120=0,"",IF(ISNUMBER(INDEX(Data!P$1:P$373,$F120)),INDEX(Data!P$1:P$373,$F120),""))</f>
        <v>176.3</v>
      </c>
      <c r="T120" s="6">
        <f>IF($F120=0,"",IF(ISNUMBER(INDEX(Data!Q$1:Q$373,$F120)),INDEX(Data!Q$1:Q$373,$F120),""))</f>
        <v>195</v>
      </c>
      <c r="U120" s="6">
        <f>IF($F120=0,"",IF(ISNUMBER(INDEX(Data!R$1:R$373,$F120)),INDEX(Data!R$1:R$373,$F120),""))</f>
        <v>179.5</v>
      </c>
      <c r="V120" s="6">
        <f>IF($F120=0,"",IF(ISNUMBER(INDEX(Data!S$1:S$373,$F120)),INDEX(Data!S$1:S$373,$F120),""))</f>
        <v>172.7</v>
      </c>
      <c r="W120" s="6">
        <f>IF($F120=0,"",IF(ISNUMBER(INDEX(Data!T$1:T$373,$F120)),INDEX(Data!T$1:T$373,$F120),""))</f>
        <v>178.5</v>
      </c>
      <c r="X120" s="6">
        <f>IF($F120=0,"",IF(ISNUMBER(INDEX(Data!U$1:U$373,$F120)),INDEX(Data!U$1:U$373,$F120),""))</f>
        <v>169</v>
      </c>
      <c r="Y120" s="6">
        <f>IF($F120=0,"",IF(ISNUMBER(INDEX(Data!V$1:V$373,$F120)),INDEX(Data!V$1:V$373,$F120),""))</f>
        <v>178.8</v>
      </c>
      <c r="Z120" s="6">
        <f>IF($F120=0,"",IF(ISNUMBER(INDEX(Data!W$1:W$373,$F120)),INDEX(Data!W$1:W$373,$F120),""))</f>
        <v>168.5</v>
      </c>
      <c r="AA120" s="6">
        <f>IF($F120=0,"",IF(ISNUMBER(INDEX(Data!X$1:X$373,$F120)),INDEX(Data!X$1:X$373,$F120),""))</f>
        <v>176.8</v>
      </c>
      <c r="AB120" s="6">
        <f>IF($F120=0,"",IF(ISNUMBER(INDEX(Data!Y$1:Y$373,$F120)),INDEX(Data!Y$1:Y$373,$F120),""))</f>
        <v>161.9</v>
      </c>
      <c r="AC120" s="6">
        <f>IF($F120=0,"",IF(ISNUMBER(INDEX(Data!Z$1:Z$373,$F120)),INDEX(Data!Z$1:Z$373,$F120),""))</f>
        <v>166.9</v>
      </c>
      <c r="AD120" s="6">
        <f>IF($F120=0,"",IF(ISNUMBER(INDEX(Data!AA$1:AA$373,$F120)),INDEX(Data!AA$1:AA$373,$F120),""))</f>
        <v>172.3</v>
      </c>
      <c r="AE120" s="6">
        <f>IF($F120=0,"",IF(ISNUMBER(INDEX(Data!AB$1:AB$373,$F120)),INDEX(Data!AB$1:AB$373,$F120),""))</f>
        <v>171.2</v>
      </c>
      <c r="AF120" s="6">
        <f>IF($F120=0,"",IF(ISNUMBER(INDEX(Data!AC$1:AC$373,$F120)),INDEX(Data!AC$1:AC$373,$F120),""))</f>
        <v>169.1</v>
      </c>
      <c r="AG120" s="6">
        <f>IF($F120=0,"",IF(ISNUMBER(INDEX(Data!AD$1:AD$373,$F120)),INDEX(Data!AD$1:AD$373,$F120),""))</f>
        <v>174.3</v>
      </c>
    </row>
    <row r="121" spans="1:33">
      <c r="A121" s="6">
        <v>2022</v>
      </c>
      <c r="B121" s="6">
        <v>9</v>
      </c>
      <c r="C121" s="6" t="s">
        <v>60</v>
      </c>
      <c r="D121" s="9">
        <f t="shared" si="2"/>
        <v>44805</v>
      </c>
      <c r="E121" s="6" t="str">
        <f t="shared" si="3"/>
        <v>Rural+Urban|2022|September</v>
      </c>
      <c r="F121" s="6">
        <f>IFERROR(MATCH(E121,Data!$AE$1:$AE$373,0),0)</f>
        <v>349</v>
      </c>
      <c r="G121" s="6">
        <f>IF($F121=0,"",IF(ISNUMBER(INDEX(Data!D$1:D$373,$F121)),INDEX(Data!D$1:D$373,$F121),""))</f>
        <v>163.5</v>
      </c>
      <c r="H121" s="6">
        <f>IF($F121=0,"",IF(ISNUMBER(INDEX(Data!E$1:E$373,$F121)),INDEX(Data!E$1:E$373,$F121),""))</f>
        <v>209.2</v>
      </c>
      <c r="I121" s="6">
        <f>IF($F121=0,"",IF(ISNUMBER(INDEX(Data!F$1:F$373,$F121)),INDEX(Data!F$1:F$373,$F121),""))</f>
        <v>169.7</v>
      </c>
      <c r="J121" s="6">
        <f>IF($F121=0,"",IF(ISNUMBER(INDEX(Data!G$1:G$373,$F121)),INDEX(Data!G$1:G$373,$F121),""))</f>
        <v>169.7</v>
      </c>
      <c r="K121" s="6">
        <f>IF($F121=0,"",IF(ISNUMBER(INDEX(Data!H$1:H$373,$F121)),INDEX(Data!H$1:H$373,$F121),""))</f>
        <v>188.7</v>
      </c>
      <c r="L121" s="6">
        <f>IF($F121=0,"",IF(ISNUMBER(INDEX(Data!I$1:I$373,$F121)),INDEX(Data!I$1:I$373,$F121),""))</f>
        <v>165.7</v>
      </c>
      <c r="M121" s="6">
        <f>IF($F121=0,"",IF(ISNUMBER(INDEX(Data!J$1:J$373,$F121)),INDEX(Data!J$1:J$373,$F121),""))</f>
        <v>191.8</v>
      </c>
      <c r="N121" s="6">
        <f>IF($F121=0,"",IF(ISNUMBER(INDEX(Data!K$1:K$373,$F121)),INDEX(Data!K$1:K$373,$F121),""))</f>
        <v>169.1</v>
      </c>
      <c r="O121" s="6">
        <f>IF($F121=0,"",IF(ISNUMBER(INDEX(Data!L$1:L$373,$F121)),INDEX(Data!L$1:L$373,$F121),""))</f>
        <v>121.6</v>
      </c>
      <c r="P121" s="6">
        <f>IF($F121=0,"",IF(ISNUMBER(INDEX(Data!M$1:M$373,$F121)),INDEX(Data!M$1:M$373,$F121),""))</f>
        <v>197.3</v>
      </c>
      <c r="Q121" s="6">
        <f>IF($F121=0,"",IF(ISNUMBER(INDEX(Data!N$1:N$373,$F121)),INDEX(Data!N$1:N$373,$F121),""))</f>
        <v>169.4</v>
      </c>
      <c r="R121" s="6">
        <f>IF($F121=0,"",IF(ISNUMBER(INDEX(Data!O$1:O$373,$F121)),INDEX(Data!O$1:O$373,$F121),""))</f>
        <v>187.4</v>
      </c>
      <c r="S121" s="6">
        <f>IF($F121=0,"",IF(ISNUMBER(INDEX(Data!P$1:P$373,$F121)),INDEX(Data!P$1:P$373,$F121),""))</f>
        <v>177.8</v>
      </c>
      <c r="T121" s="6">
        <f>IF($F121=0,"",IF(ISNUMBER(INDEX(Data!Q$1:Q$373,$F121)),INDEX(Data!Q$1:Q$373,$F121),""))</f>
        <v>195.9</v>
      </c>
      <c r="U121" s="6">
        <f>IF($F121=0,"",IF(ISNUMBER(INDEX(Data!R$1:R$373,$F121)),INDEX(Data!R$1:R$373,$F121),""))</f>
        <v>180.9</v>
      </c>
      <c r="V121" s="6">
        <f>IF($F121=0,"",IF(ISNUMBER(INDEX(Data!S$1:S$373,$F121)),INDEX(Data!S$1:S$373,$F121),""))</f>
        <v>174.3</v>
      </c>
      <c r="W121" s="6">
        <f>IF($F121=0,"",IF(ISNUMBER(INDEX(Data!T$1:T$373,$F121)),INDEX(Data!T$1:T$373,$F121),""))</f>
        <v>179.9</v>
      </c>
      <c r="X121" s="6">
        <f>IF($F121=0,"",IF(ISNUMBER(INDEX(Data!U$1:U$373,$F121)),INDEX(Data!U$1:U$373,$F121),""))</f>
        <v>169.5</v>
      </c>
      <c r="Y121" s="6">
        <f>IF($F121=0,"",IF(ISNUMBER(INDEX(Data!V$1:V$373,$F121)),INDEX(Data!V$1:V$373,$F121),""))</f>
        <v>179.5</v>
      </c>
      <c r="Z121" s="6">
        <f>IF($F121=0,"",IF(ISNUMBER(INDEX(Data!W$1:W$373,$F121)),INDEX(Data!W$1:W$373,$F121),""))</f>
        <v>169.5</v>
      </c>
      <c r="AA121" s="6">
        <f>IF($F121=0,"",IF(ISNUMBER(INDEX(Data!X$1:X$373,$F121)),INDEX(Data!X$1:X$373,$F121),""))</f>
        <v>177.8</v>
      </c>
      <c r="AB121" s="6">
        <f>IF($F121=0,"",IF(ISNUMBER(INDEX(Data!Y$1:Y$373,$F121)),INDEX(Data!Y$1:Y$373,$F121),""))</f>
        <v>162.3</v>
      </c>
      <c r="AC121" s="6">
        <f>IF($F121=0,"",IF(ISNUMBER(INDEX(Data!Z$1:Z$373,$F121)),INDEX(Data!Z$1:Z$373,$F121),""))</f>
        <v>167.6</v>
      </c>
      <c r="AD121" s="6">
        <f>IF($F121=0,"",IF(ISNUMBER(INDEX(Data!AA$1:AA$373,$F121)),INDEX(Data!AA$1:AA$373,$F121),""))</f>
        <v>173.1</v>
      </c>
      <c r="AE121" s="6">
        <f>IF($F121=0,"",IF(ISNUMBER(INDEX(Data!AB$1:AB$373,$F121)),INDEX(Data!AB$1:AB$373,$F121),""))</f>
        <v>170.9</v>
      </c>
      <c r="AF121" s="6">
        <f>IF($F121=0,"",IF(ISNUMBER(INDEX(Data!AC$1:AC$373,$F121)),INDEX(Data!AC$1:AC$373,$F121),""))</f>
        <v>169.7</v>
      </c>
      <c r="AG121" s="6">
        <f>IF($F121=0,"",IF(ISNUMBER(INDEX(Data!AD$1:AD$373,$F121)),INDEX(Data!AD$1:AD$373,$F121),""))</f>
        <v>175.3</v>
      </c>
    </row>
    <row r="122" spans="1:33">
      <c r="A122" s="6">
        <v>2022</v>
      </c>
      <c r="B122" s="6">
        <v>10</v>
      </c>
      <c r="C122" s="6" t="s">
        <v>61</v>
      </c>
      <c r="D122" s="9">
        <f t="shared" si="2"/>
        <v>44835</v>
      </c>
      <c r="E122" s="6" t="str">
        <f t="shared" si="3"/>
        <v>Rural+Urban|2022|October</v>
      </c>
      <c r="F122" s="6">
        <f>IFERROR(MATCH(E122,Data!$AE$1:$AE$373,0),0)</f>
        <v>352</v>
      </c>
      <c r="G122" s="6">
        <f>IF($F122=0,"",IF(ISNUMBER(INDEX(Data!D$1:D$373,$F122)),INDEX(Data!D$1:D$373,$F122),""))</f>
        <v>165.2</v>
      </c>
      <c r="H122" s="6">
        <f>IF($F122=0,"",IF(ISNUMBER(INDEX(Data!E$1:E$373,$F122)),INDEX(Data!E$1:E$373,$F122),""))</f>
        <v>210.9</v>
      </c>
      <c r="I122" s="6">
        <f>IF($F122=0,"",IF(ISNUMBER(INDEX(Data!F$1:F$373,$F122)),INDEX(Data!F$1:F$373,$F122),""))</f>
        <v>170.9</v>
      </c>
      <c r="J122" s="6">
        <f>IF($F122=0,"",IF(ISNUMBER(INDEX(Data!G$1:G$373,$F122)),INDEX(Data!G$1:G$373,$F122),""))</f>
        <v>170.9</v>
      </c>
      <c r="K122" s="6">
        <f>IF($F122=0,"",IF(ISNUMBER(INDEX(Data!H$1:H$373,$F122)),INDEX(Data!H$1:H$373,$F122),""))</f>
        <v>186.5</v>
      </c>
      <c r="L122" s="6">
        <f>IF($F122=0,"",IF(ISNUMBER(INDEX(Data!I$1:I$373,$F122)),INDEX(Data!I$1:I$373,$F122),""))</f>
        <v>163.8</v>
      </c>
      <c r="M122" s="6">
        <f>IF($F122=0,"",IF(ISNUMBER(INDEX(Data!J$1:J$373,$F122)),INDEX(Data!J$1:J$373,$F122),""))</f>
        <v>199.7</v>
      </c>
      <c r="N122" s="6">
        <f>IF($F122=0,"",IF(ISNUMBER(INDEX(Data!K$1:K$373,$F122)),INDEX(Data!K$1:K$373,$F122),""))</f>
        <v>169.8</v>
      </c>
      <c r="O122" s="6">
        <f>IF($F122=0,"",IF(ISNUMBER(INDEX(Data!L$1:L$373,$F122)),INDEX(Data!L$1:L$373,$F122),""))</f>
        <v>121.9</v>
      </c>
      <c r="P122" s="6">
        <f>IF($F122=0,"",IF(ISNUMBER(INDEX(Data!M$1:M$373,$F122)),INDEX(Data!M$1:M$373,$F122),""))</f>
        <v>199.9</v>
      </c>
      <c r="Q122" s="6">
        <f>IF($F122=0,"",IF(ISNUMBER(INDEX(Data!N$1:N$373,$F122)),INDEX(Data!N$1:N$373,$F122),""))</f>
        <v>169.9</v>
      </c>
      <c r="R122" s="6">
        <f>IF($F122=0,"",IF(ISNUMBER(INDEX(Data!O$1:O$373,$F122)),INDEX(Data!O$1:O$373,$F122),""))</f>
        <v>188.3</v>
      </c>
      <c r="S122" s="6">
        <f>IF($F122=0,"",IF(ISNUMBER(INDEX(Data!P$1:P$373,$F122)),INDEX(Data!P$1:P$373,$F122),""))</f>
        <v>179.6</v>
      </c>
      <c r="T122" s="6">
        <f>IF($F122=0,"",IF(ISNUMBER(INDEX(Data!Q$1:Q$373,$F122)),INDEX(Data!Q$1:Q$373,$F122),""))</f>
        <v>196.3</v>
      </c>
      <c r="U122" s="6">
        <f>IF($F122=0,"",IF(ISNUMBER(INDEX(Data!R$1:R$373,$F122)),INDEX(Data!R$1:R$373,$F122),""))</f>
        <v>181.9</v>
      </c>
      <c r="V122" s="6">
        <f>IF($F122=0,"",IF(ISNUMBER(INDEX(Data!S$1:S$373,$F122)),INDEX(Data!S$1:S$373,$F122),""))</f>
        <v>175.3</v>
      </c>
      <c r="W122" s="6">
        <f>IF($F122=0,"",IF(ISNUMBER(INDEX(Data!T$1:T$373,$F122)),INDEX(Data!T$1:T$373,$F122),""))</f>
        <v>181</v>
      </c>
      <c r="X122" s="6">
        <f>IF($F122=0,"",IF(ISNUMBER(INDEX(Data!U$1:U$373,$F122)),INDEX(Data!U$1:U$373,$F122),""))</f>
        <v>171.2</v>
      </c>
      <c r="Y122" s="6">
        <f>IF($F122=0,"",IF(ISNUMBER(INDEX(Data!V$1:V$373,$F122)),INDEX(Data!V$1:V$373,$F122),""))</f>
        <v>180.5</v>
      </c>
      <c r="Z122" s="6">
        <f>IF($F122=0,"",IF(ISNUMBER(INDEX(Data!W$1:W$373,$F122)),INDEX(Data!W$1:W$373,$F122),""))</f>
        <v>170.4</v>
      </c>
      <c r="AA122" s="6">
        <f>IF($F122=0,"",IF(ISNUMBER(INDEX(Data!X$1:X$373,$F122)),INDEX(Data!X$1:X$373,$F122),""))</f>
        <v>178.7</v>
      </c>
      <c r="AB122" s="6">
        <f>IF($F122=0,"",IF(ISNUMBER(INDEX(Data!Y$1:Y$373,$F122)),INDEX(Data!Y$1:Y$373,$F122),""))</f>
        <v>162.9</v>
      </c>
      <c r="AC122" s="6">
        <f>IF($F122=0,"",IF(ISNUMBER(INDEX(Data!Z$1:Z$373,$F122)),INDEX(Data!Z$1:Z$373,$F122),""))</f>
        <v>168.2</v>
      </c>
      <c r="AD122" s="6">
        <f>IF($F122=0,"",IF(ISNUMBER(INDEX(Data!AA$1:AA$373,$F122)),INDEX(Data!AA$1:AA$373,$F122),""))</f>
        <v>173.4</v>
      </c>
      <c r="AE122" s="6">
        <f>IF($F122=0,"",IF(ISNUMBER(INDEX(Data!AB$1:AB$373,$F122)),INDEX(Data!AB$1:AB$373,$F122),""))</f>
        <v>172.1</v>
      </c>
      <c r="AF122" s="6">
        <f>IF($F122=0,"",IF(ISNUMBER(INDEX(Data!AC$1:AC$373,$F122)),INDEX(Data!AC$1:AC$373,$F122),""))</f>
        <v>170.5</v>
      </c>
      <c r="AG122" s="6">
        <f>IF($F122=0,"",IF(ISNUMBER(INDEX(Data!AD$1:AD$373,$F122)),INDEX(Data!AD$1:AD$373,$F122),""))</f>
        <v>176.7</v>
      </c>
    </row>
    <row r="123" spans="1:33">
      <c r="A123" s="6">
        <v>2022</v>
      </c>
      <c r="B123" s="6">
        <v>11</v>
      </c>
      <c r="C123" s="6" t="s">
        <v>62</v>
      </c>
      <c r="D123" s="9">
        <f t="shared" si="2"/>
        <v>44866</v>
      </c>
      <c r="E123" s="6" t="str">
        <f t="shared" si="3"/>
        <v>Rural+Urban|2022|November</v>
      </c>
      <c r="F123" s="6">
        <f>IFERROR(MATCH(E123,Data!$AE$1:$AE$373,0),0)</f>
        <v>355</v>
      </c>
      <c r="G123" s="6">
        <f>IF($F123=0,"",IF(ISNUMBER(INDEX(Data!D$1:D$373,$F123)),INDEX(Data!D$1:D$373,$F123),""))</f>
        <v>167.4</v>
      </c>
      <c r="H123" s="6">
        <f>IF($F123=0,"",IF(ISNUMBER(INDEX(Data!E$1:E$373,$F123)),INDEX(Data!E$1:E$373,$F123),""))</f>
        <v>209.4</v>
      </c>
      <c r="I123" s="6">
        <f>IF($F123=0,"",IF(ISNUMBER(INDEX(Data!F$1:F$373,$F123)),INDEX(Data!F$1:F$373,$F123),""))</f>
        <v>181.4</v>
      </c>
      <c r="J123" s="6">
        <f>IF($F123=0,"",IF(ISNUMBER(INDEX(Data!G$1:G$373,$F123)),INDEX(Data!G$1:G$373,$F123),""))</f>
        <v>172.3</v>
      </c>
      <c r="K123" s="6">
        <f>IF($F123=0,"",IF(ISNUMBER(INDEX(Data!H$1:H$373,$F123)),INDEX(Data!H$1:H$373,$F123),""))</f>
        <v>188.9</v>
      </c>
      <c r="L123" s="6">
        <f>IF($F123=0,"",IF(ISNUMBER(INDEX(Data!I$1:I$373,$F123)),INDEX(Data!I$1:I$373,$F123),""))</f>
        <v>160.7</v>
      </c>
      <c r="M123" s="6">
        <f>IF($F123=0,"",IF(ISNUMBER(INDEX(Data!J$1:J$373,$F123)),INDEX(Data!J$1:J$373,$F123),""))</f>
        <v>183.1</v>
      </c>
      <c r="N123" s="6">
        <f>IF($F123=0,"",IF(ISNUMBER(INDEX(Data!K$1:K$373,$F123)),INDEX(Data!K$1:K$373,$F123),""))</f>
        <v>170.5</v>
      </c>
      <c r="O123" s="6">
        <f>IF($F123=0,"",IF(ISNUMBER(INDEX(Data!L$1:L$373,$F123)),INDEX(Data!L$1:L$373,$F123),""))</f>
        <v>122.1</v>
      </c>
      <c r="P123" s="6">
        <f>IF($F123=0,"",IF(ISNUMBER(INDEX(Data!M$1:M$373,$F123)),INDEX(Data!M$1:M$373,$F123),""))</f>
        <v>202.8</v>
      </c>
      <c r="Q123" s="6">
        <f>IF($F123=0,"",IF(ISNUMBER(INDEX(Data!N$1:N$373,$F123)),INDEX(Data!N$1:N$373,$F123),""))</f>
        <v>170.4</v>
      </c>
      <c r="R123" s="6">
        <f>IF($F123=0,"",IF(ISNUMBER(INDEX(Data!O$1:O$373,$F123)),INDEX(Data!O$1:O$373,$F123),""))</f>
        <v>189.5</v>
      </c>
      <c r="S123" s="6">
        <f>IF($F123=0,"",IF(ISNUMBER(INDEX(Data!P$1:P$373,$F123)),INDEX(Data!P$1:P$373,$F123),""))</f>
        <v>178.3</v>
      </c>
      <c r="T123" s="6">
        <f>IF($F123=0,"",IF(ISNUMBER(INDEX(Data!Q$1:Q$373,$F123)),INDEX(Data!Q$1:Q$373,$F123),""))</f>
        <v>196.9</v>
      </c>
      <c r="U123" s="6">
        <f>IF($F123=0,"",IF(ISNUMBER(INDEX(Data!R$1:R$373,$F123)),INDEX(Data!R$1:R$373,$F123),""))</f>
        <v>183.1</v>
      </c>
      <c r="V123" s="6">
        <f>IF($F123=0,"",IF(ISNUMBER(INDEX(Data!S$1:S$373,$F123)),INDEX(Data!S$1:S$373,$F123),""))</f>
        <v>176.2</v>
      </c>
      <c r="W123" s="6">
        <f>IF($F123=0,"",IF(ISNUMBER(INDEX(Data!T$1:T$373,$F123)),INDEX(Data!T$1:T$373,$F123),""))</f>
        <v>182.1</v>
      </c>
      <c r="X123" s="6">
        <f>IF($F123=0,"",IF(ISNUMBER(INDEX(Data!U$1:U$373,$F123)),INDEX(Data!U$1:U$373,$F123),""))</f>
        <v>171.8</v>
      </c>
      <c r="Y123" s="6">
        <f>IF($F123=0,"",IF(ISNUMBER(INDEX(Data!V$1:V$373,$F123)),INDEX(Data!V$1:V$373,$F123),""))</f>
        <v>181.3</v>
      </c>
      <c r="Z123" s="6">
        <f>IF($F123=0,"",IF(ISNUMBER(INDEX(Data!W$1:W$373,$F123)),INDEX(Data!W$1:W$373,$F123),""))</f>
        <v>171.4</v>
      </c>
      <c r="AA123" s="6">
        <f>IF($F123=0,"",IF(ISNUMBER(INDEX(Data!X$1:X$373,$F123)),INDEX(Data!X$1:X$373,$F123),""))</f>
        <v>179.8</v>
      </c>
      <c r="AB123" s="6">
        <f>IF($F123=0,"",IF(ISNUMBER(INDEX(Data!Y$1:Y$373,$F123)),INDEX(Data!Y$1:Y$373,$F123),""))</f>
        <v>163</v>
      </c>
      <c r="AC123" s="6">
        <f>IF($F123=0,"",IF(ISNUMBER(INDEX(Data!Z$1:Z$373,$F123)),INDEX(Data!Z$1:Z$373,$F123),""))</f>
        <v>168.5</v>
      </c>
      <c r="AD123" s="6">
        <f>IF($F123=0,"",IF(ISNUMBER(INDEX(Data!AA$1:AA$373,$F123)),INDEX(Data!AA$1:AA$373,$F123),""))</f>
        <v>173.7</v>
      </c>
      <c r="AE123" s="6">
        <f>IF($F123=0,"",IF(ISNUMBER(INDEX(Data!AB$1:AB$373,$F123)),INDEX(Data!AB$1:AB$373,$F123),""))</f>
        <v>173.6</v>
      </c>
      <c r="AF123" s="6">
        <f>IF($F123=0,"",IF(ISNUMBER(INDEX(Data!AC$1:AC$373,$F123)),INDEX(Data!AC$1:AC$373,$F123),""))</f>
        <v>171.1</v>
      </c>
      <c r="AG123" s="6">
        <f>IF($F123=0,"",IF(ISNUMBER(INDEX(Data!AD$1:AD$373,$F123)),INDEX(Data!AD$1:AD$373,$F123),""))</f>
        <v>176.5</v>
      </c>
    </row>
    <row r="124" spans="1:33">
      <c r="A124" s="6">
        <v>2022</v>
      </c>
      <c r="B124" s="6">
        <v>12</v>
      </c>
      <c r="C124" s="6" t="s">
        <v>63</v>
      </c>
      <c r="D124" s="9">
        <f t="shared" si="2"/>
        <v>44896</v>
      </c>
      <c r="E124" s="6" t="str">
        <f t="shared" si="3"/>
        <v>Rural+Urban|2022|December</v>
      </c>
      <c r="F124" s="6">
        <f>IFERROR(MATCH(E124,Data!$AE$1:$AE$373,0),0)</f>
        <v>358</v>
      </c>
      <c r="G124" s="6">
        <f>IF($F124=0,"",IF(ISNUMBER(INDEX(Data!D$1:D$373,$F124)),INDEX(Data!D$1:D$373,$F124),""))</f>
        <v>169.2</v>
      </c>
      <c r="H124" s="6">
        <f>IF($F124=0,"",IF(ISNUMBER(INDEX(Data!E$1:E$373,$F124)),INDEX(Data!E$1:E$373,$F124),""))</f>
        <v>209</v>
      </c>
      <c r="I124" s="6">
        <f>IF($F124=0,"",IF(ISNUMBER(INDEX(Data!F$1:F$373,$F124)),INDEX(Data!F$1:F$373,$F124),""))</f>
        <v>190.2</v>
      </c>
      <c r="J124" s="6">
        <f>IF($F124=0,"",IF(ISNUMBER(INDEX(Data!G$1:G$373,$F124)),INDEX(Data!G$1:G$373,$F124),""))</f>
        <v>173.6</v>
      </c>
      <c r="K124" s="6">
        <f>IF($F124=0,"",IF(ISNUMBER(INDEX(Data!H$1:H$373,$F124)),INDEX(Data!H$1:H$373,$F124),""))</f>
        <v>188.5</v>
      </c>
      <c r="L124" s="6">
        <f>IF($F124=0,"",IF(ISNUMBER(INDEX(Data!I$1:I$373,$F124)),INDEX(Data!I$1:I$373,$F124),""))</f>
        <v>158</v>
      </c>
      <c r="M124" s="6">
        <f>IF($F124=0,"",IF(ISNUMBER(INDEX(Data!J$1:J$373,$F124)),INDEX(Data!J$1:J$373,$F124),""))</f>
        <v>159.9</v>
      </c>
      <c r="N124" s="6">
        <f>IF($F124=0,"",IF(ISNUMBER(INDEX(Data!K$1:K$373,$F124)),INDEX(Data!K$1:K$373,$F124),""))</f>
        <v>170.8</v>
      </c>
      <c r="O124" s="6">
        <f>IF($F124=0,"",IF(ISNUMBER(INDEX(Data!L$1:L$373,$F124)),INDEX(Data!L$1:L$373,$F124),""))</f>
        <v>121.8</v>
      </c>
      <c r="P124" s="6">
        <f>IF($F124=0,"",IF(ISNUMBER(INDEX(Data!M$1:M$373,$F124)),INDEX(Data!M$1:M$373,$F124),""))</f>
        <v>205.2</v>
      </c>
      <c r="Q124" s="6">
        <f>IF($F124=0,"",IF(ISNUMBER(INDEX(Data!N$1:N$373,$F124)),INDEX(Data!N$1:N$373,$F124),""))</f>
        <v>171</v>
      </c>
      <c r="R124" s="6">
        <f>IF($F124=0,"",IF(ISNUMBER(INDEX(Data!O$1:O$373,$F124)),INDEX(Data!O$1:O$373,$F124),""))</f>
        <v>190.3</v>
      </c>
      <c r="S124" s="6">
        <f>IF($F124=0,"",IF(ISNUMBER(INDEX(Data!P$1:P$373,$F124)),INDEX(Data!P$1:P$373,$F124),""))</f>
        <v>175.9</v>
      </c>
      <c r="T124" s="6">
        <f>IF($F124=0,"",IF(ISNUMBER(INDEX(Data!Q$1:Q$373,$F124)),INDEX(Data!Q$1:Q$373,$F124),""))</f>
        <v>197.3</v>
      </c>
      <c r="U124" s="6">
        <f>IF($F124=0,"",IF(ISNUMBER(INDEX(Data!R$1:R$373,$F124)),INDEX(Data!R$1:R$373,$F124),""))</f>
        <v>184</v>
      </c>
      <c r="V124" s="6">
        <f>IF($F124=0,"",IF(ISNUMBER(INDEX(Data!S$1:S$373,$F124)),INDEX(Data!S$1:S$373,$F124),""))</f>
        <v>177</v>
      </c>
      <c r="W124" s="6">
        <f>IF($F124=0,"",IF(ISNUMBER(INDEX(Data!T$1:T$373,$F124)),INDEX(Data!T$1:T$373,$F124),""))</f>
        <v>183</v>
      </c>
      <c r="X124" s="6">
        <f>IF($F124=0,"",IF(ISNUMBER(INDEX(Data!U$1:U$373,$F124)),INDEX(Data!U$1:U$373,$F124),""))</f>
        <v>170.7</v>
      </c>
      <c r="Y124" s="6">
        <f>IF($F124=0,"",IF(ISNUMBER(INDEX(Data!V$1:V$373,$F124)),INDEX(Data!V$1:V$373,$F124),""))</f>
        <v>182</v>
      </c>
      <c r="Z124" s="6">
        <f>IF($F124=0,"",IF(ISNUMBER(INDEX(Data!W$1:W$373,$F124)),INDEX(Data!W$1:W$373,$F124),""))</f>
        <v>172.1</v>
      </c>
      <c r="AA124" s="6">
        <f>IF($F124=0,"",IF(ISNUMBER(INDEX(Data!X$1:X$373,$F124)),INDEX(Data!X$1:X$373,$F124),""))</f>
        <v>181.1</v>
      </c>
      <c r="AB124" s="6">
        <f>IF($F124=0,"",IF(ISNUMBER(INDEX(Data!Y$1:Y$373,$F124)),INDEX(Data!Y$1:Y$373,$F124),""))</f>
        <v>163.4</v>
      </c>
      <c r="AC124" s="6">
        <f>IF($F124=0,"",IF(ISNUMBER(INDEX(Data!Z$1:Z$373,$F124)),INDEX(Data!Z$1:Z$373,$F124),""))</f>
        <v>168.9</v>
      </c>
      <c r="AD124" s="6">
        <f>IF($F124=0,"",IF(ISNUMBER(INDEX(Data!AA$1:AA$373,$F124)),INDEX(Data!AA$1:AA$373,$F124),""))</f>
        <v>174.1</v>
      </c>
      <c r="AE124" s="6">
        <f>IF($F124=0,"",IF(ISNUMBER(INDEX(Data!AB$1:AB$373,$F124)),INDEX(Data!AB$1:AB$373,$F124),""))</f>
        <v>175.8</v>
      </c>
      <c r="AF124" s="6">
        <f>IF($F124=0,"",IF(ISNUMBER(INDEX(Data!AC$1:AC$373,$F124)),INDEX(Data!AC$1:AC$373,$F124),""))</f>
        <v>172</v>
      </c>
      <c r="AG124" s="6">
        <f>IF($F124=0,"",IF(ISNUMBER(INDEX(Data!AD$1:AD$373,$F124)),INDEX(Data!AD$1:AD$373,$F124),""))</f>
        <v>175.7</v>
      </c>
    </row>
    <row r="125" spans="1:33">
      <c r="A125" s="6">
        <v>2023</v>
      </c>
      <c r="B125" s="6">
        <v>1</v>
      </c>
      <c r="C125" s="6" t="s">
        <v>50</v>
      </c>
      <c r="D125" s="9">
        <f t="shared" si="2"/>
        <v>44927</v>
      </c>
      <c r="E125" s="6" t="str">
        <f t="shared" si="3"/>
        <v>Rural+Urban|2023|January</v>
      </c>
      <c r="F125" s="6">
        <f>IFERROR(MATCH(E125,Data!$AE$1:$AE$373,0),0)</f>
        <v>361</v>
      </c>
      <c r="G125" s="6">
        <f>IF($F125=0,"",IF(ISNUMBER(INDEX(Data!D$1:D$373,$F125)),INDEX(Data!D$1:D$373,$F125),""))</f>
        <v>173.8</v>
      </c>
      <c r="H125" s="6">
        <f>IF($F125=0,"",IF(ISNUMBER(INDEX(Data!E$1:E$373,$F125)),INDEX(Data!E$1:E$373,$F125),""))</f>
        <v>210.7</v>
      </c>
      <c r="I125" s="6">
        <f>IF($F125=0,"",IF(ISNUMBER(INDEX(Data!F$1:F$373,$F125)),INDEX(Data!F$1:F$373,$F125),""))</f>
        <v>194.5</v>
      </c>
      <c r="J125" s="6">
        <f>IF($F125=0,"",IF(ISNUMBER(INDEX(Data!G$1:G$373,$F125)),INDEX(Data!G$1:G$373,$F125),""))</f>
        <v>174.6</v>
      </c>
      <c r="K125" s="6">
        <f>IF($F125=0,"",IF(ISNUMBER(INDEX(Data!H$1:H$373,$F125)),INDEX(Data!H$1:H$373,$F125),""))</f>
        <v>187.2</v>
      </c>
      <c r="L125" s="6">
        <f>IF($F125=0,"",IF(ISNUMBER(INDEX(Data!I$1:I$373,$F125)),INDEX(Data!I$1:I$373,$F125),""))</f>
        <v>158.3</v>
      </c>
      <c r="M125" s="6">
        <f>IF($F125=0,"",IF(ISNUMBER(INDEX(Data!J$1:J$373,$F125)),INDEX(Data!J$1:J$373,$F125),""))</f>
        <v>153.9</v>
      </c>
      <c r="N125" s="6">
        <f>IF($F125=0,"",IF(ISNUMBER(INDEX(Data!K$1:K$373,$F125)),INDEX(Data!K$1:K$373,$F125),""))</f>
        <v>170.9</v>
      </c>
      <c r="O125" s="6">
        <f>IF($F125=0,"",IF(ISNUMBER(INDEX(Data!L$1:L$373,$F125)),INDEX(Data!L$1:L$373,$F125),""))</f>
        <v>121.1</v>
      </c>
      <c r="P125" s="6">
        <f>IF($F125=0,"",IF(ISNUMBER(INDEX(Data!M$1:M$373,$F125)),INDEX(Data!M$1:M$373,$F125),""))</f>
        <v>208.4</v>
      </c>
      <c r="Q125" s="6">
        <f>IF($F125=0,"",IF(ISNUMBER(INDEX(Data!N$1:N$373,$F125)),INDEX(Data!N$1:N$373,$F125),""))</f>
        <v>171.4</v>
      </c>
      <c r="R125" s="6">
        <f>IF($F125=0,"",IF(ISNUMBER(INDEX(Data!O$1:O$373,$F125)),INDEX(Data!O$1:O$373,$F125),""))</f>
        <v>191.2</v>
      </c>
      <c r="S125" s="6">
        <f>IF($F125=0,"",IF(ISNUMBER(INDEX(Data!P$1:P$373,$F125)),INDEX(Data!P$1:P$373,$F125),""))</f>
        <v>176.7</v>
      </c>
      <c r="T125" s="6">
        <f>IF($F125=0,"",IF(ISNUMBER(INDEX(Data!Q$1:Q$373,$F125)),INDEX(Data!Q$1:Q$373,$F125),""))</f>
        <v>198.2</v>
      </c>
      <c r="U125" s="6">
        <f>IF($F125=0,"",IF(ISNUMBER(INDEX(Data!R$1:R$373,$F125)),INDEX(Data!R$1:R$373,$F125),""))</f>
        <v>184.9</v>
      </c>
      <c r="V125" s="6">
        <f>IF($F125=0,"",IF(ISNUMBER(INDEX(Data!S$1:S$373,$F125)),INDEX(Data!S$1:S$373,$F125),""))</f>
        <v>177.6</v>
      </c>
      <c r="W125" s="6">
        <f>IF($F125=0,"",IF(ISNUMBER(INDEX(Data!T$1:T$373,$F125)),INDEX(Data!T$1:T$373,$F125),""))</f>
        <v>183.8</v>
      </c>
      <c r="X125" s="6">
        <f>IF($F125=0,"",IF(ISNUMBER(INDEX(Data!U$1:U$373,$F125)),INDEX(Data!U$1:U$373,$F125),""))</f>
        <v>172.1</v>
      </c>
      <c r="Y125" s="6">
        <f>IF($F125=0,"",IF(ISNUMBER(INDEX(Data!V$1:V$373,$F125)),INDEX(Data!V$1:V$373,$F125),""))</f>
        <v>182</v>
      </c>
      <c r="Z125" s="6">
        <f>IF($F125=0,"",IF(ISNUMBER(INDEX(Data!W$1:W$373,$F125)),INDEX(Data!W$1:W$373,$F125),""))</f>
        <v>172.9</v>
      </c>
      <c r="AA125" s="6">
        <f>IF($F125=0,"",IF(ISNUMBER(INDEX(Data!X$1:X$373,$F125)),INDEX(Data!X$1:X$373,$F125),""))</f>
        <v>182.3</v>
      </c>
      <c r="AB125" s="6">
        <f>IF($F125=0,"",IF(ISNUMBER(INDEX(Data!Y$1:Y$373,$F125)),INDEX(Data!Y$1:Y$373,$F125),""))</f>
        <v>163.6</v>
      </c>
      <c r="AC125" s="6">
        <f>IF($F125=0,"",IF(ISNUMBER(INDEX(Data!Z$1:Z$373,$F125)),INDEX(Data!Z$1:Z$373,$F125),""))</f>
        <v>169.5</v>
      </c>
      <c r="AD125" s="6">
        <f>IF($F125=0,"",IF(ISNUMBER(INDEX(Data!AA$1:AA$373,$F125)),INDEX(Data!AA$1:AA$373,$F125),""))</f>
        <v>174.3</v>
      </c>
      <c r="AE125" s="6">
        <f>IF($F125=0,"",IF(ISNUMBER(INDEX(Data!AB$1:AB$373,$F125)),INDEX(Data!AB$1:AB$373,$F125),""))</f>
        <v>178.6</v>
      </c>
      <c r="AF125" s="6">
        <f>IF($F125=0,"",IF(ISNUMBER(INDEX(Data!AC$1:AC$373,$F125)),INDEX(Data!AC$1:AC$373,$F125),""))</f>
        <v>172.8</v>
      </c>
      <c r="AG125" s="6">
        <f>IF($F125=0,"",IF(ISNUMBER(INDEX(Data!AD$1:AD$373,$F125)),INDEX(Data!AD$1:AD$373,$F125),""))</f>
        <v>176.5</v>
      </c>
    </row>
    <row r="126" spans="1:33">
      <c r="A126" s="6">
        <v>2023</v>
      </c>
      <c r="B126" s="6">
        <v>2</v>
      </c>
      <c r="C126" s="6" t="s">
        <v>53</v>
      </c>
      <c r="D126" s="9">
        <f t="shared" si="2"/>
        <v>44958</v>
      </c>
      <c r="E126" s="6" t="str">
        <f t="shared" si="3"/>
        <v>Rural+Urban|2023|February</v>
      </c>
      <c r="F126" s="6">
        <f>IFERROR(MATCH(E126,Data!$AE$1:$AE$373,0),0)</f>
        <v>364</v>
      </c>
      <c r="G126" s="6">
        <f>IF($F126=0,"",IF(ISNUMBER(INDEX(Data!D$1:D$373,$F126)),INDEX(Data!D$1:D$373,$F126),""))</f>
        <v>174.4</v>
      </c>
      <c r="H126" s="6">
        <f>IF($F126=0,"",IF(ISNUMBER(INDEX(Data!E$1:E$373,$F126)),INDEX(Data!E$1:E$373,$F126),""))</f>
        <v>207.7</v>
      </c>
      <c r="I126" s="6">
        <f>IF($F126=0,"",IF(ISNUMBER(INDEX(Data!F$1:F$373,$F126)),INDEX(Data!F$1:F$373,$F126),""))</f>
        <v>175.2</v>
      </c>
      <c r="J126" s="6">
        <f>IF($F126=0,"",IF(ISNUMBER(INDEX(Data!G$1:G$373,$F126)),INDEX(Data!G$1:G$373,$F126),""))</f>
        <v>177.3</v>
      </c>
      <c r="K126" s="6">
        <f>IF($F126=0,"",IF(ISNUMBER(INDEX(Data!H$1:H$373,$F126)),INDEX(Data!H$1:H$373,$F126),""))</f>
        <v>179.3</v>
      </c>
      <c r="L126" s="6">
        <f>IF($F126=0,"",IF(ISNUMBER(INDEX(Data!I$1:I$373,$F126)),INDEX(Data!I$1:I$373,$F126),""))</f>
        <v>169.5</v>
      </c>
      <c r="M126" s="6">
        <f>IF($F126=0,"",IF(ISNUMBER(INDEX(Data!J$1:J$373,$F126)),INDEX(Data!J$1:J$373,$F126),""))</f>
        <v>152.7</v>
      </c>
      <c r="N126" s="6">
        <f>IF($F126=0,"",IF(ISNUMBER(INDEX(Data!K$1:K$373,$F126)),INDEX(Data!K$1:K$373,$F126),""))</f>
        <v>171</v>
      </c>
      <c r="O126" s="6">
        <f>IF($F126=0,"",IF(ISNUMBER(INDEX(Data!L$1:L$373,$F126)),INDEX(Data!L$1:L$373,$F126),""))</f>
        <v>120</v>
      </c>
      <c r="P126" s="6">
        <f>IF($F126=0,"",IF(ISNUMBER(INDEX(Data!M$1:M$373,$F126)),INDEX(Data!M$1:M$373,$F126),""))</f>
        <v>209.7</v>
      </c>
      <c r="Q126" s="6">
        <f>IF($F126=0,"",IF(ISNUMBER(INDEX(Data!N$1:N$373,$F126)),INDEX(Data!N$1:N$373,$F126),""))</f>
        <v>172.3</v>
      </c>
      <c r="R126" s="6">
        <f>IF($F126=0,"",IF(ISNUMBER(INDEX(Data!O$1:O$373,$F126)),INDEX(Data!O$1:O$373,$F126),""))</f>
        <v>193</v>
      </c>
      <c r="S126" s="6">
        <f>IF($F126=0,"",IF(ISNUMBER(INDEX(Data!P$1:P$373,$F126)),INDEX(Data!P$1:P$373,$F126),""))</f>
        <v>177</v>
      </c>
      <c r="T126" s="6">
        <f>IF($F126=0,"",IF(ISNUMBER(INDEX(Data!Q$1:Q$373,$F126)),INDEX(Data!Q$1:Q$373,$F126),""))</f>
        <v>199.5</v>
      </c>
      <c r="U126" s="6">
        <f>IF($F126=0,"",IF(ISNUMBER(INDEX(Data!R$1:R$373,$F126)),INDEX(Data!R$1:R$373,$F126),""))</f>
        <v>186.2</v>
      </c>
      <c r="V126" s="6">
        <f>IF($F126=0,"",IF(ISNUMBER(INDEX(Data!S$1:S$373,$F126)),INDEX(Data!S$1:S$373,$F126),""))</f>
        <v>178.7</v>
      </c>
      <c r="W126" s="6">
        <f>IF($F126=0,"",IF(ISNUMBER(INDEX(Data!T$1:T$373,$F126)),INDEX(Data!T$1:T$373,$F126),""))</f>
        <v>185.1</v>
      </c>
      <c r="X126" s="6">
        <f>IF($F126=0,"",IF(ISNUMBER(INDEX(Data!U$1:U$373,$F126)),INDEX(Data!U$1:U$373,$F126),""))</f>
        <v>173.5</v>
      </c>
      <c r="Y126" s="6">
        <f>IF($F126=0,"",IF(ISNUMBER(INDEX(Data!V$1:V$373,$F126)),INDEX(Data!V$1:V$373,$F126),""))</f>
        <v>182.1</v>
      </c>
      <c r="Z126" s="6">
        <f>IF($F126=0,"",IF(ISNUMBER(INDEX(Data!W$1:W$373,$F126)),INDEX(Data!W$1:W$373,$F126),""))</f>
        <v>174.2</v>
      </c>
      <c r="AA126" s="6">
        <f>IF($F126=0,"",IF(ISNUMBER(INDEX(Data!X$1:X$373,$F126)),INDEX(Data!X$1:X$373,$F126),""))</f>
        <v>184.4</v>
      </c>
      <c r="AB126" s="6">
        <f>IF($F126=0,"",IF(ISNUMBER(INDEX(Data!Y$1:Y$373,$F126)),INDEX(Data!Y$1:Y$373,$F126),""))</f>
        <v>164.2</v>
      </c>
      <c r="AC126" s="6">
        <f>IF($F126=0,"",IF(ISNUMBER(INDEX(Data!Z$1:Z$373,$F126)),INDEX(Data!Z$1:Z$373,$F126),""))</f>
        <v>170.3</v>
      </c>
      <c r="AD126" s="6">
        <f>IF($F126=0,"",IF(ISNUMBER(INDEX(Data!AA$1:AA$373,$F126)),INDEX(Data!AA$1:AA$373,$F126),""))</f>
        <v>175</v>
      </c>
      <c r="AE126" s="6">
        <f>IF($F126=0,"",IF(ISNUMBER(INDEX(Data!AB$1:AB$373,$F126)),INDEX(Data!AB$1:AB$373,$F126),""))</f>
        <v>181</v>
      </c>
      <c r="AF126" s="6">
        <f>IF($F126=0,"",IF(ISNUMBER(INDEX(Data!AC$1:AC$373,$F126)),INDEX(Data!AC$1:AC$373,$F126),""))</f>
        <v>174.1</v>
      </c>
      <c r="AG126" s="6">
        <f>IF($F126=0,"",IF(ISNUMBER(INDEX(Data!AD$1:AD$373,$F126)),INDEX(Data!AD$1:AD$373,$F126),""))</f>
        <v>177.2</v>
      </c>
    </row>
    <row r="127" spans="1:33">
      <c r="A127" s="6">
        <v>2023</v>
      </c>
      <c r="B127" s="6">
        <v>3</v>
      </c>
      <c r="C127" s="6" t="s">
        <v>54</v>
      </c>
      <c r="D127" s="9">
        <f t="shared" si="2"/>
        <v>44986</v>
      </c>
      <c r="E127" s="6" t="str">
        <f t="shared" si="3"/>
        <v>Rural+Urban|2023|March</v>
      </c>
      <c r="F127" s="6">
        <f>IFERROR(MATCH(E127,Data!$AE$1:$AE$373,0),0)</f>
        <v>367</v>
      </c>
      <c r="G127" s="6">
        <f>IF($F127=0,"",IF(ISNUMBER(INDEX(Data!D$1:D$373,$F127)),INDEX(Data!D$1:D$373,$F127),""))</f>
        <v>174.4</v>
      </c>
      <c r="H127" s="6">
        <f>IF($F127=0,"",IF(ISNUMBER(INDEX(Data!E$1:E$373,$F127)),INDEX(Data!E$1:E$373,$F127),""))</f>
        <v>207.7</v>
      </c>
      <c r="I127" s="6">
        <f>IF($F127=0,"",IF(ISNUMBER(INDEX(Data!F$1:F$373,$F127)),INDEX(Data!F$1:F$373,$F127),""))</f>
        <v>175.2</v>
      </c>
      <c r="J127" s="6">
        <f>IF($F127=0,"",IF(ISNUMBER(INDEX(Data!G$1:G$373,$F127)),INDEX(Data!G$1:G$373,$F127),""))</f>
        <v>177.3</v>
      </c>
      <c r="K127" s="6">
        <f>IF($F127=0,"",IF(ISNUMBER(INDEX(Data!H$1:H$373,$F127)),INDEX(Data!H$1:H$373,$F127),""))</f>
        <v>179.2</v>
      </c>
      <c r="L127" s="6">
        <f>IF($F127=0,"",IF(ISNUMBER(INDEX(Data!I$1:I$373,$F127)),INDEX(Data!I$1:I$373,$F127),""))</f>
        <v>169.5</v>
      </c>
      <c r="M127" s="6">
        <f>IF($F127=0,"",IF(ISNUMBER(INDEX(Data!J$1:J$373,$F127)),INDEX(Data!J$1:J$373,$F127),""))</f>
        <v>152.8</v>
      </c>
      <c r="N127" s="6">
        <f>IF($F127=0,"",IF(ISNUMBER(INDEX(Data!K$1:K$373,$F127)),INDEX(Data!K$1:K$373,$F127),""))</f>
        <v>171.1</v>
      </c>
      <c r="O127" s="6">
        <f>IF($F127=0,"",IF(ISNUMBER(INDEX(Data!L$1:L$373,$F127)),INDEX(Data!L$1:L$373,$F127),""))</f>
        <v>120</v>
      </c>
      <c r="P127" s="6">
        <f>IF($F127=0,"",IF(ISNUMBER(INDEX(Data!M$1:M$373,$F127)),INDEX(Data!M$1:M$373,$F127),""))</f>
        <v>209.7</v>
      </c>
      <c r="Q127" s="6">
        <f>IF($F127=0,"",IF(ISNUMBER(INDEX(Data!N$1:N$373,$F127)),INDEX(Data!N$1:N$373,$F127),""))</f>
        <v>172.3</v>
      </c>
      <c r="R127" s="6">
        <f>IF($F127=0,"",IF(ISNUMBER(INDEX(Data!O$1:O$373,$F127)),INDEX(Data!O$1:O$373,$F127),""))</f>
        <v>193</v>
      </c>
      <c r="S127" s="6">
        <f>IF($F127=0,"",IF(ISNUMBER(INDEX(Data!P$1:P$373,$F127)),INDEX(Data!P$1:P$373,$F127),""))</f>
        <v>177</v>
      </c>
      <c r="T127" s="6">
        <f>IF($F127=0,"",IF(ISNUMBER(INDEX(Data!Q$1:Q$373,$F127)),INDEX(Data!Q$1:Q$373,$F127),""))</f>
        <v>199.5</v>
      </c>
      <c r="U127" s="6">
        <f>IF($F127=0,"",IF(ISNUMBER(INDEX(Data!R$1:R$373,$F127)),INDEX(Data!R$1:R$373,$F127),""))</f>
        <v>186.1</v>
      </c>
      <c r="V127" s="6">
        <f>IF($F127=0,"",IF(ISNUMBER(INDEX(Data!S$1:S$373,$F127)),INDEX(Data!S$1:S$373,$F127),""))</f>
        <v>178.7</v>
      </c>
      <c r="W127" s="6">
        <f>IF($F127=0,"",IF(ISNUMBER(INDEX(Data!T$1:T$373,$F127)),INDEX(Data!T$1:T$373,$F127),""))</f>
        <v>185.1</v>
      </c>
      <c r="X127" s="6">
        <f>IF($F127=0,"",IF(ISNUMBER(INDEX(Data!U$1:U$373,$F127)),INDEX(Data!U$1:U$373,$F127),""))</f>
        <v>173.5</v>
      </c>
      <c r="Y127" s="6">
        <f>IF($F127=0,"",IF(ISNUMBER(INDEX(Data!V$1:V$373,$F127)),INDEX(Data!V$1:V$373,$F127),""))</f>
        <v>181.9</v>
      </c>
      <c r="Z127" s="6">
        <f>IF($F127=0,"",IF(ISNUMBER(INDEX(Data!W$1:W$373,$F127)),INDEX(Data!W$1:W$373,$F127),""))</f>
        <v>174.2</v>
      </c>
      <c r="AA127" s="6">
        <f>IF($F127=0,"",IF(ISNUMBER(INDEX(Data!X$1:X$373,$F127)),INDEX(Data!X$1:X$373,$F127),""))</f>
        <v>184.4</v>
      </c>
      <c r="AB127" s="6">
        <f>IF($F127=0,"",IF(ISNUMBER(INDEX(Data!Y$1:Y$373,$F127)),INDEX(Data!Y$1:Y$373,$F127),""))</f>
        <v>164.2</v>
      </c>
      <c r="AC127" s="6">
        <f>IF($F127=0,"",IF(ISNUMBER(INDEX(Data!Z$1:Z$373,$F127)),INDEX(Data!Z$1:Z$373,$F127),""))</f>
        <v>170.3</v>
      </c>
      <c r="AD127" s="6">
        <f>IF($F127=0,"",IF(ISNUMBER(INDEX(Data!AA$1:AA$373,$F127)),INDEX(Data!AA$1:AA$373,$F127),""))</f>
        <v>175</v>
      </c>
      <c r="AE127" s="6">
        <f>IF($F127=0,"",IF(ISNUMBER(INDEX(Data!AB$1:AB$373,$F127)),INDEX(Data!AB$1:AB$373,$F127),""))</f>
        <v>181</v>
      </c>
      <c r="AF127" s="6">
        <f>IF($F127=0,"",IF(ISNUMBER(INDEX(Data!AC$1:AC$373,$F127)),INDEX(Data!AC$1:AC$373,$F127),""))</f>
        <v>174.1</v>
      </c>
      <c r="AG127" s="6">
        <f>IF($F127=0,"",IF(ISNUMBER(INDEX(Data!AD$1:AD$373,$F127)),INDEX(Data!AD$1:AD$373,$F127),""))</f>
        <v>177.2</v>
      </c>
    </row>
    <row r="128" spans="1:33">
      <c r="A128" s="6">
        <v>2023</v>
      </c>
      <c r="B128" s="6">
        <v>4</v>
      </c>
      <c r="C128" s="6" t="s">
        <v>55</v>
      </c>
      <c r="D128" s="9">
        <f t="shared" si="2"/>
        <v>45017</v>
      </c>
      <c r="E128" s="6" t="str">
        <f t="shared" si="3"/>
        <v>Rural+Urban|2023|April</v>
      </c>
      <c r="F128" s="6">
        <f>IFERROR(MATCH(E128,Data!$AE$1:$AE$373,0),0)</f>
        <v>370</v>
      </c>
      <c r="G128" s="6">
        <f>IF($F128=0,"",IF(ISNUMBER(INDEX(Data!D$1:D$373,$F128)),INDEX(Data!D$1:D$373,$F128),""))</f>
        <v>173.8</v>
      </c>
      <c r="H128" s="6">
        <f>IF($F128=0,"",IF(ISNUMBER(INDEX(Data!E$1:E$373,$F128)),INDEX(Data!E$1:E$373,$F128),""))</f>
        <v>209.3</v>
      </c>
      <c r="I128" s="6">
        <f>IF($F128=0,"",IF(ISNUMBER(INDEX(Data!F$1:F$373,$F128)),INDEX(Data!F$1:F$373,$F128),""))</f>
        <v>169.6</v>
      </c>
      <c r="J128" s="6">
        <f>IF($F128=0,"",IF(ISNUMBER(INDEX(Data!G$1:G$373,$F128)),INDEX(Data!G$1:G$373,$F128),""))</f>
        <v>178.4</v>
      </c>
      <c r="K128" s="6">
        <f>IF($F128=0,"",IF(ISNUMBER(INDEX(Data!H$1:H$373,$F128)),INDEX(Data!H$1:H$373,$F128),""))</f>
        <v>174.9</v>
      </c>
      <c r="L128" s="6">
        <f>IF($F128=0,"",IF(ISNUMBER(INDEX(Data!I$1:I$373,$F128)),INDEX(Data!I$1:I$373,$F128),""))</f>
        <v>176.3</v>
      </c>
      <c r="M128" s="6">
        <f>IF($F128=0,"",IF(ISNUMBER(INDEX(Data!J$1:J$373,$F128)),INDEX(Data!J$1:J$373,$F128),""))</f>
        <v>155.4</v>
      </c>
      <c r="N128" s="6">
        <f>IF($F128=0,"",IF(ISNUMBER(INDEX(Data!K$1:K$373,$F128)),INDEX(Data!K$1:K$373,$F128),""))</f>
        <v>173.4</v>
      </c>
      <c r="O128" s="6">
        <f>IF($F128=0,"",IF(ISNUMBER(INDEX(Data!L$1:L$373,$F128)),INDEX(Data!L$1:L$373,$F128),""))</f>
        <v>121.3</v>
      </c>
      <c r="P128" s="6">
        <f>IF($F128=0,"",IF(ISNUMBER(INDEX(Data!M$1:M$373,$F128)),INDEX(Data!M$1:M$373,$F128),""))</f>
        <v>212.9</v>
      </c>
      <c r="Q128" s="6">
        <f>IF($F128=0,"",IF(ISNUMBER(INDEX(Data!N$1:N$373,$F128)),INDEX(Data!N$1:N$373,$F128),""))</f>
        <v>172.9</v>
      </c>
      <c r="R128" s="6">
        <f>IF($F128=0,"",IF(ISNUMBER(INDEX(Data!O$1:O$373,$F128)),INDEX(Data!O$1:O$373,$F128),""))</f>
        <v>193.5</v>
      </c>
      <c r="S128" s="6">
        <f>IF($F128=0,"",IF(ISNUMBER(INDEX(Data!P$1:P$373,$F128)),INDEX(Data!P$1:P$373,$F128),""))</f>
        <v>177.9</v>
      </c>
      <c r="T128" s="6">
        <f>IF($F128=0,"",IF(ISNUMBER(INDEX(Data!Q$1:Q$373,$F128)),INDEX(Data!Q$1:Q$373,$F128),""))</f>
        <v>200.6</v>
      </c>
      <c r="U128" s="6">
        <f>IF($F128=0,"",IF(ISNUMBER(INDEX(Data!R$1:R$373,$F128)),INDEX(Data!R$1:R$373,$F128),""))</f>
        <v>186.9</v>
      </c>
      <c r="V128" s="6">
        <f>IF($F128=0,"",IF(ISNUMBER(INDEX(Data!S$1:S$373,$F128)),INDEX(Data!S$1:S$373,$F128),""))</f>
        <v>179.2</v>
      </c>
      <c r="W128" s="6">
        <f>IF($F128=0,"",IF(ISNUMBER(INDEX(Data!T$1:T$373,$F128)),INDEX(Data!T$1:T$373,$F128),""))</f>
        <v>185.7</v>
      </c>
      <c r="X128" s="6">
        <f>IF($F128=0,"",IF(ISNUMBER(INDEX(Data!U$1:U$373,$F128)),INDEX(Data!U$1:U$373,$F128),""))</f>
        <v>175.2</v>
      </c>
      <c r="Y128" s="6">
        <f>IF($F128=0,"",IF(ISNUMBER(INDEX(Data!V$1:V$373,$F128)),INDEX(Data!V$1:V$373,$F128),""))</f>
        <v>181.7</v>
      </c>
      <c r="Z128" s="6">
        <f>IF($F128=0,"",IF(ISNUMBER(INDEX(Data!W$1:W$373,$F128)),INDEX(Data!W$1:W$373,$F128),""))</f>
        <v>174.6</v>
      </c>
      <c r="AA128" s="6">
        <f>IF($F128=0,"",IF(ISNUMBER(INDEX(Data!X$1:X$373,$F128)),INDEX(Data!X$1:X$373,$F128),""))</f>
        <v>185</v>
      </c>
      <c r="AB128" s="6">
        <f>IF($F128=0,"",IF(ISNUMBER(INDEX(Data!Y$1:Y$373,$F128)),INDEX(Data!Y$1:Y$373,$F128),""))</f>
        <v>164.5</v>
      </c>
      <c r="AC128" s="6">
        <f>IF($F128=0,"",IF(ISNUMBER(INDEX(Data!Z$1:Z$373,$F128)),INDEX(Data!Z$1:Z$373,$F128),""))</f>
        <v>170.7</v>
      </c>
      <c r="AD128" s="6">
        <f>IF($F128=0,"",IF(ISNUMBER(INDEX(Data!AA$1:AA$373,$F128)),INDEX(Data!AA$1:AA$373,$F128),""))</f>
        <v>176.4</v>
      </c>
      <c r="AE128" s="6">
        <f>IF($F128=0,"",IF(ISNUMBER(INDEX(Data!AB$1:AB$373,$F128)),INDEX(Data!AB$1:AB$373,$F128),""))</f>
        <v>184</v>
      </c>
      <c r="AF128" s="6">
        <f>IF($F128=0,"",IF(ISNUMBER(INDEX(Data!AC$1:AC$373,$F128)),INDEX(Data!AC$1:AC$373,$F128),""))</f>
        <v>175</v>
      </c>
      <c r="AG128" s="6">
        <f>IF($F128=0,"",IF(ISNUMBER(INDEX(Data!AD$1:AD$373,$F128)),INDEX(Data!AD$1:AD$373,$F128),""))</f>
        <v>178.1</v>
      </c>
    </row>
    <row r="129" spans="1:33">
      <c r="A129" s="6">
        <v>2023</v>
      </c>
      <c r="B129" s="6">
        <v>5</v>
      </c>
      <c r="C129" s="6" t="s">
        <v>56</v>
      </c>
      <c r="D129" s="9">
        <f t="shared" si="2"/>
        <v>45047</v>
      </c>
      <c r="E129" s="6" t="str">
        <f t="shared" si="3"/>
        <v>Rural+Urban|2023|May</v>
      </c>
      <c r="F129" s="6">
        <f>IFERROR(MATCH(E129,Data!$AE$1:$AE$373,0),0)</f>
        <v>373</v>
      </c>
      <c r="G129" s="6">
        <f>IF($F129=0,"",IF(ISNUMBER(INDEX(Data!D$1:D$373,$F129)),INDEX(Data!D$1:D$373,$F129),""))</f>
        <v>173.7</v>
      </c>
      <c r="H129" s="6">
        <f>IF($F129=0,"",IF(ISNUMBER(INDEX(Data!E$1:E$373,$F129)),INDEX(Data!E$1:E$373,$F129),""))</f>
        <v>214.3</v>
      </c>
      <c r="I129" s="6">
        <f>IF($F129=0,"",IF(ISNUMBER(INDEX(Data!F$1:F$373,$F129)),INDEX(Data!F$1:F$373,$F129),""))</f>
        <v>173.2</v>
      </c>
      <c r="J129" s="6">
        <f>IF($F129=0,"",IF(ISNUMBER(INDEX(Data!G$1:G$373,$F129)),INDEX(Data!G$1:G$373,$F129),""))</f>
        <v>179.5</v>
      </c>
      <c r="K129" s="6">
        <f>IF($F129=0,"",IF(ISNUMBER(INDEX(Data!H$1:H$373,$F129)),INDEX(Data!H$1:H$373,$F129),""))</f>
        <v>170</v>
      </c>
      <c r="L129" s="6">
        <f>IF($F129=0,"",IF(ISNUMBER(INDEX(Data!I$1:I$373,$F129)),INDEX(Data!I$1:I$373,$F129),""))</f>
        <v>172.2</v>
      </c>
      <c r="M129" s="6">
        <f>IF($F129=0,"",IF(ISNUMBER(INDEX(Data!J$1:J$373,$F129)),INDEX(Data!J$1:J$373,$F129),""))</f>
        <v>161</v>
      </c>
      <c r="N129" s="6">
        <f>IF($F129=0,"",IF(ISNUMBER(INDEX(Data!K$1:K$373,$F129)),INDEX(Data!K$1:K$373,$F129),""))</f>
        <v>175.6</v>
      </c>
      <c r="O129" s="6">
        <f>IF($F129=0,"",IF(ISNUMBER(INDEX(Data!L$1:L$373,$F129)),INDEX(Data!L$1:L$373,$F129),""))</f>
        <v>122.7</v>
      </c>
      <c r="P129" s="6">
        <f>IF($F129=0,"",IF(ISNUMBER(INDEX(Data!M$1:M$373,$F129)),INDEX(Data!M$1:M$373,$F129),""))</f>
        <v>218</v>
      </c>
      <c r="Q129" s="6">
        <f>IF($F129=0,"",IF(ISNUMBER(INDEX(Data!N$1:N$373,$F129)),INDEX(Data!N$1:N$373,$F129),""))</f>
        <v>173.4</v>
      </c>
      <c r="R129" s="6">
        <f>IF($F129=0,"",IF(ISNUMBER(INDEX(Data!O$1:O$373,$F129)),INDEX(Data!O$1:O$373,$F129),""))</f>
        <v>194.2</v>
      </c>
      <c r="S129" s="6">
        <f>IF($F129=0,"",IF(ISNUMBER(INDEX(Data!P$1:P$373,$F129)),INDEX(Data!P$1:P$373,$F129),""))</f>
        <v>179.1</v>
      </c>
      <c r="T129" s="6">
        <f>IF($F129=0,"",IF(ISNUMBER(INDEX(Data!Q$1:Q$373,$F129)),INDEX(Data!Q$1:Q$373,$F129),""))</f>
        <v>201</v>
      </c>
      <c r="U129" s="6">
        <f>IF($F129=0,"",IF(ISNUMBER(INDEX(Data!R$1:R$373,$F129)),INDEX(Data!R$1:R$373,$F129),""))</f>
        <v>187.3</v>
      </c>
      <c r="V129" s="6">
        <f>IF($F129=0,"",IF(ISNUMBER(INDEX(Data!S$1:S$373,$F129)),INDEX(Data!S$1:S$373,$F129),""))</f>
        <v>179.7</v>
      </c>
      <c r="W129" s="6">
        <f>IF($F129=0,"",IF(ISNUMBER(INDEX(Data!T$1:T$373,$F129)),INDEX(Data!T$1:T$373,$F129),""))</f>
        <v>186.2</v>
      </c>
      <c r="X129" s="6">
        <f>IF($F129=0,"",IF(ISNUMBER(INDEX(Data!U$1:U$373,$F129)),INDEX(Data!U$1:U$373,$F129),""))</f>
        <v>175.6</v>
      </c>
      <c r="Y129" s="6">
        <f>IF($F129=0,"",IF(ISNUMBER(INDEX(Data!V$1:V$373,$F129)),INDEX(Data!V$1:V$373,$F129),""))</f>
        <v>182.8</v>
      </c>
      <c r="Z129" s="6">
        <f>IF($F129=0,"",IF(ISNUMBER(INDEX(Data!W$1:W$373,$F129)),INDEX(Data!W$1:W$373,$F129),""))</f>
        <v>175.2</v>
      </c>
      <c r="AA129" s="6">
        <f>IF($F129=0,"",IF(ISNUMBER(INDEX(Data!X$1:X$373,$F129)),INDEX(Data!X$1:X$373,$F129),""))</f>
        <v>185.7</v>
      </c>
      <c r="AB129" s="6">
        <f>IF($F129=0,"",IF(ISNUMBER(INDEX(Data!Y$1:Y$373,$F129)),INDEX(Data!Y$1:Y$373,$F129),""))</f>
        <v>164.8</v>
      </c>
      <c r="AC129" s="6">
        <f>IF($F129=0,"",IF(ISNUMBER(INDEX(Data!Z$1:Z$373,$F129)),INDEX(Data!Z$1:Z$373,$F129),""))</f>
        <v>171.2</v>
      </c>
      <c r="AD129" s="6">
        <f>IF($F129=0,"",IF(ISNUMBER(INDEX(Data!AA$1:AA$373,$F129)),INDEX(Data!AA$1:AA$373,$F129),""))</f>
        <v>177.1</v>
      </c>
      <c r="AE129" s="6">
        <f>IF($F129=0,"",IF(ISNUMBER(INDEX(Data!AB$1:AB$373,$F129)),INDEX(Data!AB$1:AB$373,$F129),""))</f>
        <v>185.2</v>
      </c>
      <c r="AF129" s="6">
        <f>IF($F129=0,"",IF(ISNUMBER(INDEX(Data!AC$1:AC$373,$F129)),INDEX(Data!AC$1:AC$373,$F129),""))</f>
        <v>175.7</v>
      </c>
      <c r="AG129" s="6">
        <f>IF($F129=0,"",IF(ISNUMBER(INDEX(Data!AD$1:AD$373,$F129)),INDEX(Data!AD$1:AD$373,$F129),""))</f>
        <v>179.1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9"/>
  <sheetViews>
    <sheetView workbookViewId="0">
      <pane xSplit="6" ySplit="4" topLeftCell="G5" activePane="bottomRight" state="frozen"/>
      <selection/>
      <selection pane="topRight"/>
      <selection pane="bottomLeft"/>
      <selection pane="bottomRight" activeCell="G53" sqref="G53"/>
    </sheetView>
  </sheetViews>
  <sheetFormatPr defaultColWidth="8.67592592592593" defaultRowHeight="14.4"/>
  <cols>
    <col min="1" max="34" width="12" customWidth="1"/>
  </cols>
  <sheetData>
    <row r="1" ht="17.4" spans="1:34">
      <c r="A1" s="1" t="s">
        <v>69</v>
      </c>
    </row>
    <row r="2" spans="1:34">
      <c r="A2" s="2" t="s">
        <v>70</v>
      </c>
    </row>
    <row r="4" ht="54.75" customHeight="1" spans="1:34">
      <c r="A4" s="8" t="s">
        <v>19</v>
      </c>
      <c r="B4" s="8" t="s">
        <v>66</v>
      </c>
      <c r="C4" s="8" t="s">
        <v>20</v>
      </c>
      <c r="D4" s="8" t="s">
        <v>67</v>
      </c>
      <c r="E4" s="8" t="s">
        <v>71</v>
      </c>
      <c r="F4" s="8" t="s">
        <v>72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44</v>
      </c>
      <c r="AE4" s="8" t="s">
        <v>45</v>
      </c>
      <c r="AF4" s="8" t="s">
        <v>46</v>
      </c>
      <c r="AG4" s="8" t="s">
        <v>47</v>
      </c>
      <c r="AH4" s="8" t="s">
        <v>73</v>
      </c>
    </row>
    <row r="5" spans="1:34">
      <c r="A5" s="6">
        <f>RU_Raw!A5</f>
        <v>2013</v>
      </c>
      <c r="B5" s="6">
        <f>RU_Raw!B5</f>
        <v>1</v>
      </c>
      <c r="C5" s="6" t="str">
        <f>RU_Raw!C5</f>
        <v>January</v>
      </c>
      <c r="D5" s="9">
        <f>RU_Raw!D5</f>
        <v>41275</v>
      </c>
      <c r="E5" s="6">
        <f>COUNTBLANK(RU_Raw!G5:AG5)</f>
        <v>0</v>
      </c>
      <c r="F5" s="6" t="str">
        <f t="shared" ref="F5:F68" si="0">IF(E5&gt;0,"Imputed","")</f>
        <v/>
      </c>
      <c r="G5" s="19">
        <f>IF(ISNUMBER(RU_Raw!G5),RU_Raw!G5,IF(ISNUMBER(RU_Raw!G6),(G4+RU_Raw!G6)/2,IF(ISNUMBER(RU_Raw!G7),G4+(RU_Raw!G7-G4)/3,"")))</f>
        <v>108.4</v>
      </c>
      <c r="H5" s="19">
        <f>IF(ISNUMBER(RU_Raw!H5),RU_Raw!H5,IF(ISNUMBER(RU_Raw!H6),(H4+RU_Raw!H6)/2,IF(ISNUMBER(RU_Raw!H7),H4+(RU_Raw!H7-H4)/3,"")))</f>
        <v>107.3</v>
      </c>
      <c r="I5" s="19">
        <f>IF(ISNUMBER(RU_Raw!I5),RU_Raw!I5,IF(ISNUMBER(RU_Raw!I6),(I4+RU_Raw!I6)/2,IF(ISNUMBER(RU_Raw!I7),I4+(RU_Raw!I7-I4)/3,"")))</f>
        <v>110</v>
      </c>
      <c r="J5" s="19">
        <f>IF(ISNUMBER(RU_Raw!J5),RU_Raw!J5,IF(ISNUMBER(RU_Raw!J6),(J4+RU_Raw!J6)/2,IF(ISNUMBER(RU_Raw!J7),J4+(RU_Raw!J7-J4)/3,"")))</f>
        <v>104.4</v>
      </c>
      <c r="K5" s="19">
        <f>IF(ISNUMBER(RU_Raw!K5),RU_Raw!K5,IF(ISNUMBER(RU_Raw!K6),(K4+RU_Raw!K6)/2,IF(ISNUMBER(RU_Raw!K7),K4+(RU_Raw!K7-K4)/3,"")))</f>
        <v>105.1</v>
      </c>
      <c r="L5" s="19">
        <f>IF(ISNUMBER(RU_Raw!L5),RU_Raw!L5,IF(ISNUMBER(RU_Raw!L6),(L4+RU_Raw!L6)/2,IF(ISNUMBER(RU_Raw!L7),L4+(RU_Raw!L7-L4)/3,"")))</f>
        <v>103.2</v>
      </c>
      <c r="M5" s="19">
        <f>IF(ISNUMBER(RU_Raw!M5),RU_Raw!M5,IF(ISNUMBER(RU_Raw!M6),(M4+RU_Raw!M6)/2,IF(ISNUMBER(RU_Raw!M7),M4+(RU_Raw!M7-M4)/3,"")))</f>
        <v>102.2</v>
      </c>
      <c r="N5" s="19">
        <f>IF(ISNUMBER(RU_Raw!N5),RU_Raw!N5,IF(ISNUMBER(RU_Raw!N6),(N4+RU_Raw!N6)/2,IF(ISNUMBER(RU_Raw!N7),N4+(RU_Raw!N7-N4)/3,"")))</f>
        <v>106</v>
      </c>
      <c r="O5" s="19">
        <f>IF(ISNUMBER(RU_Raw!O5),RU_Raw!O5,IF(ISNUMBER(RU_Raw!O6),(O4+RU_Raw!O6)/2,IF(ISNUMBER(RU_Raw!O7),O4+(RU_Raw!O7-O4)/3,"")))</f>
        <v>106.2</v>
      </c>
      <c r="P5" s="19">
        <f>IF(ISNUMBER(RU_Raw!P5),RU_Raw!P5,IF(ISNUMBER(RU_Raw!P6),(P4+RU_Raw!P6)/2,IF(ISNUMBER(RU_Raw!P7),P4+(RU_Raw!P7-P4)/3,"")))</f>
        <v>102.7</v>
      </c>
      <c r="Q5" s="19">
        <f>IF(ISNUMBER(RU_Raw!Q5),RU_Raw!Q5,IF(ISNUMBER(RU_Raw!Q6),(Q4+RU_Raw!Q6)/2,IF(ISNUMBER(RU_Raw!Q7),Q4+(RU_Raw!Q7-Q4)/3,"")))</f>
        <v>104.9</v>
      </c>
      <c r="R5" s="19">
        <f>IF(ISNUMBER(RU_Raw!R5),RU_Raw!R5,IF(ISNUMBER(RU_Raw!R6),(R4+RU_Raw!R6)/2,IF(ISNUMBER(RU_Raw!R7),R4+(RU_Raw!R7-R4)/3,"")))</f>
        <v>107.3</v>
      </c>
      <c r="S5" s="19">
        <f>IF(ISNUMBER(RU_Raw!S5),RU_Raw!S5,IF(ISNUMBER(RU_Raw!S6),(S4+RU_Raw!S6)/2,IF(ISNUMBER(RU_Raw!S7),S4+(RU_Raw!S7-S4)/3,"")))</f>
        <v>105.6</v>
      </c>
      <c r="T5" s="19">
        <f>IF(ISNUMBER(RU_Raw!T5),RU_Raw!T5,IF(ISNUMBER(RU_Raw!T6),(T4+RU_Raw!T6)/2,IF(ISNUMBER(RU_Raw!T7),T4+(RU_Raw!T7-T4)/3,"")))</f>
        <v>105.1</v>
      </c>
      <c r="U5" s="19">
        <f>IF(ISNUMBER(RU_Raw!U5),RU_Raw!U5,IF(ISNUMBER(RU_Raw!U6),(U4+RU_Raw!U6)/2,IF(ISNUMBER(RU_Raw!U7),U4+(RU_Raw!U7-U4)/3,"")))</f>
        <v>106.3</v>
      </c>
      <c r="V5" s="19">
        <f>IF(ISNUMBER(RU_Raw!V5),RU_Raw!V5,IF(ISNUMBER(RU_Raw!V6),(V4+RU_Raw!V6)/2,IF(ISNUMBER(RU_Raw!V7),V4+(RU_Raw!V7-V4)/3,"")))</f>
        <v>105.5</v>
      </c>
      <c r="W5" s="19">
        <f>IF(ISNUMBER(RU_Raw!W5),RU_Raw!W5,IF(ISNUMBER(RU_Raw!W6),(W4+RU_Raw!W6)/2,IF(ISNUMBER(RU_Raw!W7),W4+(RU_Raw!W7-W4)/3,"")))</f>
        <v>106.2</v>
      </c>
      <c r="X5" s="19">
        <f>IF(ISNUMBER(RU_Raw!X5),RU_Raw!X5,IF(ISNUMBER(RU_Raw!X6),(X4+RU_Raw!X6)/2,IF(ISNUMBER(RU_Raw!X7),X4+(RU_Raw!X7-X4)/3,"")))</f>
        <v>100.3</v>
      </c>
      <c r="Y5" s="19">
        <f>IF(ISNUMBER(RU_Raw!Y5),RU_Raw!Y5,IF(ISNUMBER(RU_Raw!Y6),(Y4+RU_Raw!Y6)/2,IF(ISNUMBER(RU_Raw!Y7),Y4+(RU_Raw!Y7-Y4)/3,"")))</f>
        <v>105.5</v>
      </c>
      <c r="Z5" s="19">
        <f>IF(ISNUMBER(RU_Raw!Z5),RU_Raw!Z5,IF(ISNUMBER(RU_Raw!Z6),(Z4+RU_Raw!Z6)/2,IF(ISNUMBER(RU_Raw!Z7),Z4+(RU_Raw!Z7-Z4)/3,"")))</f>
        <v>104.8</v>
      </c>
      <c r="AA5" s="19">
        <f>IF(ISNUMBER(RU_Raw!AA5),RU_Raw!AA5,IF(ISNUMBER(RU_Raw!AA6),(AA4+RU_Raw!AA6)/2,IF(ISNUMBER(RU_Raw!AA7),AA4+(RU_Raw!AA7-AA4)/3,"")))</f>
        <v>104</v>
      </c>
      <c r="AB5" s="19">
        <f>IF(ISNUMBER(RU_Raw!AB5),RU_Raw!AB5,IF(ISNUMBER(RU_Raw!AB6),(AB4+RU_Raw!AB6)/2,IF(ISNUMBER(RU_Raw!AB7),AB4+(RU_Raw!AB7-AB4)/3,"")))</f>
        <v>103.2</v>
      </c>
      <c r="AC5" s="19">
        <f>IF(ISNUMBER(RU_Raw!AC5),RU_Raw!AC5,IF(ISNUMBER(RU_Raw!AC6),(AC4+RU_Raw!AC6)/2,IF(ISNUMBER(RU_Raw!AC7),AC4+(RU_Raw!AC7-AC4)/3,"")))</f>
        <v>103.1</v>
      </c>
      <c r="AD5" s="19">
        <f>IF(ISNUMBER(RU_Raw!AD5),RU_Raw!AD5,IF(ISNUMBER(RU_Raw!AD6),(AD4+RU_Raw!AD6)/2,IF(ISNUMBER(RU_Raw!AD7),AD4+(RU_Raw!AD7-AD4)/3,"")))</f>
        <v>103.6</v>
      </c>
      <c r="AE5" s="19">
        <f>IF(ISNUMBER(RU_Raw!AE5),RU_Raw!AE5,IF(ISNUMBER(RU_Raw!AE6),(AE4+RU_Raw!AE6)/2,IF(ISNUMBER(RU_Raw!AE7),AE4+(RU_Raw!AE7-AE4)/3,"")))</f>
        <v>104.5</v>
      </c>
      <c r="AF5" s="19">
        <f>IF(ISNUMBER(RU_Raw!AF5),RU_Raw!AF5,IF(ISNUMBER(RU_Raw!AF6),(AF4+RU_Raw!AF6)/2,IF(ISNUMBER(RU_Raw!AF7),AF4+(RU_Raw!AF7-AF4)/3,"")))</f>
        <v>103.9</v>
      </c>
      <c r="AG5" s="19">
        <f>IF(ISNUMBER(RU_Raw!AG5),RU_Raw!AG5,IF(ISNUMBER(RU_Raw!AG6),(AG4+RU_Raw!AG6)/2,IF(ISNUMBER(RU_Raw!AG7),AG4+(RU_Raw!AG7-AG4)/3,"")))</f>
        <v>104.6</v>
      </c>
      <c r="AH5" s="19">
        <f t="shared" ref="AH5:AH68" si="1">SUM(G5:R5)</f>
        <v>1267.7</v>
      </c>
    </row>
    <row r="6" spans="1:34">
      <c r="A6" s="6">
        <f>RU_Raw!A6</f>
        <v>2013</v>
      </c>
      <c r="B6" s="6">
        <f>RU_Raw!B6</f>
        <v>2</v>
      </c>
      <c r="C6" s="6" t="str">
        <f>RU_Raw!C6</f>
        <v>February</v>
      </c>
      <c r="D6" s="9">
        <f>RU_Raw!D6</f>
        <v>41306</v>
      </c>
      <c r="E6" s="6">
        <f>COUNTBLANK(RU_Raw!G6:AG6)</f>
        <v>0</v>
      </c>
      <c r="F6" s="6" t="str">
        <f t="shared" si="0"/>
        <v/>
      </c>
      <c r="G6" s="19">
        <f>IF(ISNUMBER(RU_Raw!G6),RU_Raw!G6,IF(ISNUMBER(RU_Raw!G7),(G5+RU_Raw!G7)/2,IF(ISNUMBER(RU_Raw!G8),G5+(RU_Raw!G8-G5)/3,"")))</f>
        <v>110.4</v>
      </c>
      <c r="H6" s="19">
        <f>IF(ISNUMBER(RU_Raw!H6),RU_Raw!H6,IF(ISNUMBER(RU_Raw!H7),(H5+RU_Raw!H7)/2,IF(ISNUMBER(RU_Raw!H8),H5+(RU_Raw!H8-H5)/3,"")))</f>
        <v>110.2</v>
      </c>
      <c r="I6" s="19">
        <f>IF(ISNUMBER(RU_Raw!I6),RU_Raw!I6,IF(ISNUMBER(RU_Raw!I7),(I5+RU_Raw!I7)/2,IF(ISNUMBER(RU_Raw!I8),I5+(RU_Raw!I8-I5)/3,"")))</f>
        <v>112.8</v>
      </c>
      <c r="J6" s="19">
        <f>IF(ISNUMBER(RU_Raw!J6),RU_Raw!J6,IF(ISNUMBER(RU_Raw!J7),(J5+RU_Raw!J7)/2,IF(ISNUMBER(RU_Raw!J8),J5+(RU_Raw!J8-J5)/3,"")))</f>
        <v>104.9</v>
      </c>
      <c r="K6" s="19">
        <f>IF(ISNUMBER(RU_Raw!K6),RU_Raw!K6,IF(ISNUMBER(RU_Raw!K7),(K5+RU_Raw!K7)/2,IF(ISNUMBER(RU_Raw!K8),K5+(RU_Raw!K8-K5)/3,"")))</f>
        <v>105.5</v>
      </c>
      <c r="L6" s="19">
        <f>IF(ISNUMBER(RU_Raw!L6),RU_Raw!L6,IF(ISNUMBER(RU_Raw!L7),(L5+RU_Raw!L7)/2,IF(ISNUMBER(RU_Raw!L8),L5+(RU_Raw!L8-L5)/3,"")))</f>
        <v>103.6</v>
      </c>
      <c r="M6" s="19">
        <f>IF(ISNUMBER(RU_Raw!M6),RU_Raw!M6,IF(ISNUMBER(RU_Raw!M7),(M5+RU_Raw!M7)/2,IF(ISNUMBER(RU_Raw!M8),M5+(RU_Raw!M8-M5)/3,"")))</f>
        <v>103.2</v>
      </c>
      <c r="N6" s="19">
        <f>IF(ISNUMBER(RU_Raw!N6),RU_Raw!N6,IF(ISNUMBER(RU_Raw!N7),(N5+RU_Raw!N7)/2,IF(ISNUMBER(RU_Raw!N8),N5+(RU_Raw!N8-N5)/3,"")))</f>
        <v>105.3</v>
      </c>
      <c r="O6" s="19">
        <f>IF(ISNUMBER(RU_Raw!O6),RU_Raw!O6,IF(ISNUMBER(RU_Raw!O7),(O5+RU_Raw!O7)/2,IF(ISNUMBER(RU_Raw!O8),O5+(RU_Raw!O8-O5)/3,"")))</f>
        <v>105.1</v>
      </c>
      <c r="P6" s="19">
        <f>IF(ISNUMBER(RU_Raw!P6),RU_Raw!P6,IF(ISNUMBER(RU_Raw!P7),(P5+RU_Raw!P7)/2,IF(ISNUMBER(RU_Raw!P8),P5+(RU_Raw!P8-P5)/3,"")))</f>
        <v>102.8</v>
      </c>
      <c r="Q6" s="19">
        <f>IF(ISNUMBER(RU_Raw!Q6),RU_Raw!Q6,IF(ISNUMBER(RU_Raw!Q7),(Q5+RU_Raw!Q7)/2,IF(ISNUMBER(RU_Raw!Q8),Q5+(RU_Raw!Q8-Q5)/3,"")))</f>
        <v>105.5</v>
      </c>
      <c r="R6" s="19">
        <f>IF(ISNUMBER(RU_Raw!R6),RU_Raw!R6,IF(ISNUMBER(RU_Raw!R7),(R5+RU_Raw!R7)/2,IF(ISNUMBER(RU_Raw!R8),R5+(RU_Raw!R8-R5)/3,"")))</f>
        <v>108.3</v>
      </c>
      <c r="S6" s="19">
        <f>IF(ISNUMBER(RU_Raw!S6),RU_Raw!S6,IF(ISNUMBER(RU_Raw!S7),(S5+RU_Raw!S7)/2,IF(ISNUMBER(RU_Raw!S8),S5+(RU_Raw!S8-S5)/3,"")))</f>
        <v>106.6</v>
      </c>
      <c r="T6" s="19">
        <f>IF(ISNUMBER(RU_Raw!T6),RU_Raw!T6,IF(ISNUMBER(RU_Raw!T7),(T5+RU_Raw!T7)/2,IF(ISNUMBER(RU_Raw!T8),T5+(RU_Raw!T8-T5)/3,"")))</f>
        <v>105.7</v>
      </c>
      <c r="U6" s="19">
        <f>IF(ISNUMBER(RU_Raw!U6),RU_Raw!U6,IF(ISNUMBER(RU_Raw!U7),(U5+RU_Raw!U7)/2,IF(ISNUMBER(RU_Raw!U8),U5+(RU_Raw!U8-U5)/3,"")))</f>
        <v>106.9</v>
      </c>
      <c r="V6" s="19">
        <f>IF(ISNUMBER(RU_Raw!V6),RU_Raw!V6,IF(ISNUMBER(RU_Raw!V7),(V5+RU_Raw!V7)/2,IF(ISNUMBER(RU_Raw!V8),V5+(RU_Raw!V8-V5)/3,"")))</f>
        <v>106</v>
      </c>
      <c r="W6" s="19">
        <f>IF(ISNUMBER(RU_Raw!W6),RU_Raw!W6,IF(ISNUMBER(RU_Raw!W7),(W5+RU_Raw!W7)/2,IF(ISNUMBER(RU_Raw!W8),W5+(RU_Raw!W8-W5)/3,"")))</f>
        <v>106.8</v>
      </c>
      <c r="X6" s="19">
        <f>IF(ISNUMBER(RU_Raw!X6),RU_Raw!X6,IF(ISNUMBER(RU_Raw!X7),(X5+RU_Raw!X7)/2,IF(ISNUMBER(RU_Raw!X8),X5+(RU_Raw!X8-X5)/3,"")))</f>
        <v>100.4</v>
      </c>
      <c r="Y6" s="19">
        <f>IF(ISNUMBER(RU_Raw!Y6),RU_Raw!Y6,IF(ISNUMBER(RU_Raw!Y7),(Y5+RU_Raw!Y7)/2,IF(ISNUMBER(RU_Raw!Y8),Y5+(RU_Raw!Y8-Y5)/3,"")))</f>
        <v>106</v>
      </c>
      <c r="Z6" s="19">
        <f>IF(ISNUMBER(RU_Raw!Z6),RU_Raw!Z6,IF(ISNUMBER(RU_Raw!Z7),(Z5+RU_Raw!Z7)/2,IF(ISNUMBER(RU_Raw!Z8),Z5+(RU_Raw!Z8-Z5)/3,"")))</f>
        <v>105.2</v>
      </c>
      <c r="AA6" s="19">
        <f>IF(ISNUMBER(RU_Raw!AA6),RU_Raw!AA6,IF(ISNUMBER(RU_Raw!AA7),(AA5+RU_Raw!AA7)/2,IF(ISNUMBER(RU_Raw!AA8),AA5+(RU_Raw!AA8-AA5)/3,"")))</f>
        <v>104.5</v>
      </c>
      <c r="AB6" s="19">
        <f>IF(ISNUMBER(RU_Raw!AB6),RU_Raw!AB6,IF(ISNUMBER(RU_Raw!AB7),(AB5+RU_Raw!AB7)/2,IF(ISNUMBER(RU_Raw!AB8),AB5+(RU_Raw!AB8-AB5)/3,"")))</f>
        <v>104.2</v>
      </c>
      <c r="AC6" s="19">
        <f>IF(ISNUMBER(RU_Raw!AC6),RU_Raw!AC6,IF(ISNUMBER(RU_Raw!AC7),(AC5+RU_Raw!AC7)/2,IF(ISNUMBER(RU_Raw!AC8),AC5+(RU_Raw!AC8-AC5)/3,"")))</f>
        <v>103.6</v>
      </c>
      <c r="AD6" s="19">
        <f>IF(ISNUMBER(RU_Raw!AD6),RU_Raw!AD6,IF(ISNUMBER(RU_Raw!AD7),(AD5+RU_Raw!AD7)/2,IF(ISNUMBER(RU_Raw!AD8),AD5+(RU_Raw!AD8-AD5)/3,"")))</f>
        <v>103.9</v>
      </c>
      <c r="AE6" s="19">
        <f>IF(ISNUMBER(RU_Raw!AE6),RU_Raw!AE6,IF(ISNUMBER(RU_Raw!AE7),(AE5+RU_Raw!AE7)/2,IF(ISNUMBER(RU_Raw!AE8),AE5+(RU_Raw!AE8-AE5)/3,"")))</f>
        <v>104.5</v>
      </c>
      <c r="AF6" s="19">
        <f>IF(ISNUMBER(RU_Raw!AF6),RU_Raw!AF6,IF(ISNUMBER(RU_Raw!AF7),(AF5+RU_Raw!AF7)/2,IF(ISNUMBER(RU_Raw!AF8),AF5+(RU_Raw!AF8-AF5)/3,"")))</f>
        <v>104.4</v>
      </c>
      <c r="AG6" s="19">
        <f>IF(ISNUMBER(RU_Raw!AG6),RU_Raw!AG6,IF(ISNUMBER(RU_Raw!AG7),(AG5+RU_Raw!AG7)/2,IF(ISNUMBER(RU_Raw!AG8),AG5+(RU_Raw!AG8-AG5)/3,"")))</f>
        <v>105.3</v>
      </c>
      <c r="AH6" s="19">
        <f t="shared" si="1"/>
        <v>1277.6</v>
      </c>
    </row>
    <row r="7" spans="1:34">
      <c r="A7" s="6">
        <f>RU_Raw!A7</f>
        <v>2013</v>
      </c>
      <c r="B7" s="6">
        <f>RU_Raw!B7</f>
        <v>3</v>
      </c>
      <c r="C7" s="6" t="str">
        <f>RU_Raw!C7</f>
        <v>March</v>
      </c>
      <c r="D7" s="9">
        <f>RU_Raw!D7</f>
        <v>41334</v>
      </c>
      <c r="E7" s="6">
        <f>COUNTBLANK(RU_Raw!G7:AG7)</f>
        <v>0</v>
      </c>
      <c r="F7" s="6" t="str">
        <f t="shared" si="0"/>
        <v/>
      </c>
      <c r="G7" s="19">
        <f>IF(ISNUMBER(RU_Raw!G7),RU_Raw!G7,IF(ISNUMBER(RU_Raw!G8),(G6+RU_Raw!G8)/2,IF(ISNUMBER(RU_Raw!G9),G6+(RU_Raw!G9-G6)/3,"")))</f>
        <v>111.4</v>
      </c>
      <c r="H7" s="19">
        <f>IF(ISNUMBER(RU_Raw!H7),RU_Raw!H7,IF(ISNUMBER(RU_Raw!H8),(H6+RU_Raw!H8)/2,IF(ISNUMBER(RU_Raw!H9),H6+(RU_Raw!H9-H6)/3,"")))</f>
        <v>109.7</v>
      </c>
      <c r="I7" s="19">
        <f>IF(ISNUMBER(RU_Raw!I7),RU_Raw!I7,IF(ISNUMBER(RU_Raw!I8),(I6+RU_Raw!I8)/2,IF(ISNUMBER(RU_Raw!I9),I6+(RU_Raw!I9-I6)/3,"")))</f>
        <v>111.2</v>
      </c>
      <c r="J7" s="19">
        <f>IF(ISNUMBER(RU_Raw!J7),RU_Raw!J7,IF(ISNUMBER(RU_Raw!J8),(J6+RU_Raw!J8)/2,IF(ISNUMBER(RU_Raw!J9),J6+(RU_Raw!J9-J6)/3,"")))</f>
        <v>105.1</v>
      </c>
      <c r="K7" s="19">
        <f>IF(ISNUMBER(RU_Raw!K7),RU_Raw!K7,IF(ISNUMBER(RU_Raw!K8),(K6+RU_Raw!K8)/2,IF(ISNUMBER(RU_Raw!K9),K6+(RU_Raw!K9-K6)/3,"")))</f>
        <v>104.9</v>
      </c>
      <c r="L7" s="19">
        <f>IF(ISNUMBER(RU_Raw!L7),RU_Raw!L7,IF(ISNUMBER(RU_Raw!L8),(L6+RU_Raw!L8)/2,IF(ISNUMBER(RU_Raw!L9),L6+(RU_Raw!L9-L6)/3,"")))</f>
        <v>105.3</v>
      </c>
      <c r="M7" s="19">
        <f>IF(ISNUMBER(RU_Raw!M7),RU_Raw!M7,IF(ISNUMBER(RU_Raw!M8),(M6+RU_Raw!M8)/2,IF(ISNUMBER(RU_Raw!M9),M6+(RU_Raw!M9-M6)/3,"")))</f>
        <v>102.2</v>
      </c>
      <c r="N7" s="19">
        <f>IF(ISNUMBER(RU_Raw!N7),RU_Raw!N7,IF(ISNUMBER(RU_Raw!N8),(N6+RU_Raw!N8)/2,IF(ISNUMBER(RU_Raw!N9),N6+(RU_Raw!N9-N6)/3,"")))</f>
        <v>105</v>
      </c>
      <c r="O7" s="19">
        <f>IF(ISNUMBER(RU_Raw!O7),RU_Raw!O7,IF(ISNUMBER(RU_Raw!O8),(O6+RU_Raw!O8)/2,IF(ISNUMBER(RU_Raw!O9),O6+(RU_Raw!O9-O6)/3,"")))</f>
        <v>104.2</v>
      </c>
      <c r="P7" s="19">
        <f>IF(ISNUMBER(RU_Raw!P7),RU_Raw!P7,IF(ISNUMBER(RU_Raw!P8),(P6+RU_Raw!P8)/2,IF(ISNUMBER(RU_Raw!P9),P6+(RU_Raw!P9-P6)/3,"")))</f>
        <v>103</v>
      </c>
      <c r="Q7" s="19">
        <f>IF(ISNUMBER(RU_Raw!Q7),RU_Raw!Q7,IF(ISNUMBER(RU_Raw!Q8),(Q6+RU_Raw!Q8)/2,IF(ISNUMBER(RU_Raw!Q9),Q6+(RU_Raw!Q9-Q6)/3,"")))</f>
        <v>106.2</v>
      </c>
      <c r="R7" s="19">
        <f>IF(ISNUMBER(RU_Raw!R7),RU_Raw!R7,IF(ISNUMBER(RU_Raw!R8),(R6+RU_Raw!R8)/2,IF(ISNUMBER(RU_Raw!R9),R6+(RU_Raw!R9-R6)/3,"")))</f>
        <v>108.9</v>
      </c>
      <c r="S7" s="19">
        <f>IF(ISNUMBER(RU_Raw!S7),RU_Raw!S7,IF(ISNUMBER(RU_Raw!S8),(S6+RU_Raw!S8)/2,IF(ISNUMBER(RU_Raw!S9),S6+(RU_Raw!S9-S6)/3,"")))</f>
        <v>106.9</v>
      </c>
      <c r="T7" s="19">
        <f>IF(ISNUMBER(RU_Raw!T7),RU_Raw!T7,IF(ISNUMBER(RU_Raw!T8),(T6+RU_Raw!T8)/2,IF(ISNUMBER(RU_Raw!T9),T6+(RU_Raw!T9-T6)/3,"")))</f>
        <v>106.6</v>
      </c>
      <c r="U7" s="19">
        <f>IF(ISNUMBER(RU_Raw!U7),RU_Raw!U7,IF(ISNUMBER(RU_Raw!U8),(U6+RU_Raw!U8)/2,IF(ISNUMBER(RU_Raw!U9),U6+(RU_Raw!U9-U6)/3,"")))</f>
        <v>107.4</v>
      </c>
      <c r="V7" s="19">
        <f>IF(ISNUMBER(RU_Raw!V7),RU_Raw!V7,IF(ISNUMBER(RU_Raw!V8),(V6+RU_Raw!V8)/2,IF(ISNUMBER(RU_Raw!V9),V6+(RU_Raw!V9-V6)/3,"")))</f>
        <v>106.5</v>
      </c>
      <c r="W7" s="19">
        <f>IF(ISNUMBER(RU_Raw!W7),RU_Raw!W7,IF(ISNUMBER(RU_Raw!W8),(W6+RU_Raw!W8)/2,IF(ISNUMBER(RU_Raw!W9),W6+(RU_Raw!W9-W6)/3,"")))</f>
        <v>107.3</v>
      </c>
      <c r="X7" s="19">
        <f>IF(ISNUMBER(RU_Raw!X7),RU_Raw!X7,IF(ISNUMBER(RU_Raw!X8),(X6+RU_Raw!X8)/2,IF(ISNUMBER(RU_Raw!X9),X6+(RU_Raw!X9-X6)/3,"")))</f>
        <v>100.4</v>
      </c>
      <c r="Y7" s="19">
        <f>IF(ISNUMBER(RU_Raw!Y7),RU_Raw!Y7,IF(ISNUMBER(RU_Raw!Y8),(Y6+RU_Raw!Y8)/2,IF(ISNUMBER(RU_Raw!Y9),Y6+(RU_Raw!Y9-Y6)/3,"")))</f>
        <v>106.1</v>
      </c>
      <c r="Z7" s="19">
        <f>IF(ISNUMBER(RU_Raw!Z7),RU_Raw!Z7,IF(ISNUMBER(RU_Raw!Z8),(Z6+RU_Raw!Z8)/2,IF(ISNUMBER(RU_Raw!Z9),Z6+(RU_Raw!Z9-Z6)/3,"")))</f>
        <v>105.6</v>
      </c>
      <c r="AA7" s="19">
        <f>IF(ISNUMBER(RU_Raw!AA7),RU_Raw!AA7,IF(ISNUMBER(RU_Raw!AA8),(AA6+RU_Raw!AA8)/2,IF(ISNUMBER(RU_Raw!AA9),AA6+(RU_Raw!AA9-AA6)/3,"")))</f>
        <v>104.9</v>
      </c>
      <c r="AB7" s="19">
        <f>IF(ISNUMBER(RU_Raw!AB7),RU_Raw!AB7,IF(ISNUMBER(RU_Raw!AB8),(AB6+RU_Raw!AB8)/2,IF(ISNUMBER(RU_Raw!AB9),AB6+(RU_Raw!AB9-AB6)/3,"")))</f>
        <v>105.1</v>
      </c>
      <c r="AC7" s="19">
        <f>IF(ISNUMBER(RU_Raw!AC7),RU_Raw!AC7,IF(ISNUMBER(RU_Raw!AC8),(AC6+RU_Raw!AC8)/2,IF(ISNUMBER(RU_Raw!AC9),AC6+(RU_Raw!AC9-AC6)/3,"")))</f>
        <v>103.7</v>
      </c>
      <c r="AD7" s="19">
        <f>IF(ISNUMBER(RU_Raw!AD7),RU_Raw!AD7,IF(ISNUMBER(RU_Raw!AD8),(AD6+RU_Raw!AD8)/2,IF(ISNUMBER(RU_Raw!AD9),AD6+(RU_Raw!AD9-AD6)/3,"")))</f>
        <v>104</v>
      </c>
      <c r="AE7" s="19">
        <f>IF(ISNUMBER(RU_Raw!AE7),RU_Raw!AE7,IF(ISNUMBER(RU_Raw!AE8),(AE6+RU_Raw!AE8)/2,IF(ISNUMBER(RU_Raw!AE9),AE6+(RU_Raw!AE9-AE6)/3,"")))</f>
        <v>104.3</v>
      </c>
      <c r="AF7" s="19">
        <f>IF(ISNUMBER(RU_Raw!AF7),RU_Raw!AF7,IF(ISNUMBER(RU_Raw!AF8),(AF6+RU_Raw!AF8)/2,IF(ISNUMBER(RU_Raw!AF9),AF6+(RU_Raw!AF9-AF6)/3,"")))</f>
        <v>104.7</v>
      </c>
      <c r="AG7" s="19">
        <f>IF(ISNUMBER(RU_Raw!AG7),RU_Raw!AG7,IF(ISNUMBER(RU_Raw!AG8),(AG6+RU_Raw!AG8)/2,IF(ISNUMBER(RU_Raw!AG9),AG6+(RU_Raw!AG9-AG6)/3,"")))</f>
        <v>105.5</v>
      </c>
      <c r="AH7" s="19">
        <f t="shared" si="1"/>
        <v>1277.1</v>
      </c>
    </row>
    <row r="8" spans="1:34">
      <c r="A8" s="6">
        <f>RU_Raw!A8</f>
        <v>2013</v>
      </c>
      <c r="B8" s="6">
        <f>RU_Raw!B8</f>
        <v>4</v>
      </c>
      <c r="C8" s="6" t="str">
        <f>RU_Raw!C8</f>
        <v>April</v>
      </c>
      <c r="D8" s="9">
        <f>RU_Raw!D8</f>
        <v>41365</v>
      </c>
      <c r="E8" s="6">
        <f>COUNTBLANK(RU_Raw!G8:AG8)</f>
        <v>0</v>
      </c>
      <c r="F8" s="6" t="str">
        <f t="shared" si="0"/>
        <v/>
      </c>
      <c r="G8" s="19">
        <f>IF(ISNUMBER(RU_Raw!G8),RU_Raw!G8,IF(ISNUMBER(RU_Raw!G9),(G7+RU_Raw!G9)/2,IF(ISNUMBER(RU_Raw!G10),G7+(RU_Raw!G10-G7)/3,"")))</f>
        <v>111.6</v>
      </c>
      <c r="H8" s="19">
        <f>IF(ISNUMBER(RU_Raw!H8),RU_Raw!H8,IF(ISNUMBER(RU_Raw!H9),(H7+RU_Raw!H9)/2,IF(ISNUMBER(RU_Raw!H10),H7+(RU_Raw!H10-H7)/3,"")))</f>
        <v>110.9</v>
      </c>
      <c r="I8" s="19">
        <f>IF(ISNUMBER(RU_Raw!I8),RU_Raw!I8,IF(ISNUMBER(RU_Raw!I9),(I7+RU_Raw!I9)/2,IF(ISNUMBER(RU_Raw!I10),I7+(RU_Raw!I10-I7)/3,"")))</f>
        <v>106.6</v>
      </c>
      <c r="J8" s="19">
        <f>IF(ISNUMBER(RU_Raw!J8),RU_Raw!J8,IF(ISNUMBER(RU_Raw!J9),(J7+RU_Raw!J9)/2,IF(ISNUMBER(RU_Raw!J10),J7+(RU_Raw!J10-J7)/3,"")))</f>
        <v>105.7</v>
      </c>
      <c r="K8" s="19">
        <f>IF(ISNUMBER(RU_Raw!K8),RU_Raw!K8,IF(ISNUMBER(RU_Raw!K9),(K7+RU_Raw!K9)/2,IF(ISNUMBER(RU_Raw!K10),K7+(RU_Raw!K10-K7)/3,"")))</f>
        <v>104.4</v>
      </c>
      <c r="L8" s="19">
        <f>IF(ISNUMBER(RU_Raw!L8),RU_Raw!L8,IF(ISNUMBER(RU_Raw!L9),(L7+RU_Raw!L9)/2,IF(ISNUMBER(RU_Raw!L10),L7+(RU_Raw!L10-L7)/3,"")))</f>
        <v>108.9</v>
      </c>
      <c r="M8" s="19">
        <f>IF(ISNUMBER(RU_Raw!M8),RU_Raw!M8,IF(ISNUMBER(RU_Raw!M9),(M7+RU_Raw!M9)/2,IF(ISNUMBER(RU_Raw!M10),M7+(RU_Raw!M10-M7)/3,"")))</f>
        <v>105.5</v>
      </c>
      <c r="N8" s="19">
        <f>IF(ISNUMBER(RU_Raw!N8),RU_Raw!N8,IF(ISNUMBER(RU_Raw!N9),(N7+RU_Raw!N9)/2,IF(ISNUMBER(RU_Raw!N10),N7+(RU_Raw!N10-N7)/3,"")))</f>
        <v>105.3</v>
      </c>
      <c r="O8" s="19">
        <f>IF(ISNUMBER(RU_Raw!O8),RU_Raw!O8,IF(ISNUMBER(RU_Raw!O9),(O7+RU_Raw!O9)/2,IF(ISNUMBER(RU_Raw!O10),O7+(RU_Raw!O10-O7)/3,"")))</f>
        <v>103.5</v>
      </c>
      <c r="P8" s="19">
        <f>IF(ISNUMBER(RU_Raw!P8),RU_Raw!P8,IF(ISNUMBER(RU_Raw!P9),(P7+RU_Raw!P9)/2,IF(ISNUMBER(RU_Raw!P10),P7+(RU_Raw!P10-P7)/3,"")))</f>
        <v>103.3</v>
      </c>
      <c r="Q8" s="19">
        <f>IF(ISNUMBER(RU_Raw!Q8),RU_Raw!Q8,IF(ISNUMBER(RU_Raw!Q9),(Q7+RU_Raw!Q9)/2,IF(ISNUMBER(RU_Raw!Q10),Q7+(RU_Raw!Q10-Q7)/3,"")))</f>
        <v>107.2</v>
      </c>
      <c r="R8" s="19">
        <f>IF(ISNUMBER(RU_Raw!R8),RU_Raw!R8,IF(ISNUMBER(RU_Raw!R9),(R7+RU_Raw!R9)/2,IF(ISNUMBER(RU_Raw!R10),R7+(RU_Raw!R10-R7)/3,"")))</f>
        <v>109.6</v>
      </c>
      <c r="S8" s="19">
        <f>IF(ISNUMBER(RU_Raw!S8),RU_Raw!S8,IF(ISNUMBER(RU_Raw!S9),(S7+RU_Raw!S9)/2,IF(ISNUMBER(RU_Raw!S10),S7+(RU_Raw!S10-S7)/3,"")))</f>
        <v>107.7</v>
      </c>
      <c r="T8" s="19">
        <f>IF(ISNUMBER(RU_Raw!T8),RU_Raw!T8,IF(ISNUMBER(RU_Raw!T9),(T7+RU_Raw!T9)/2,IF(ISNUMBER(RU_Raw!T10),T7+(RU_Raw!T10-T7)/3,"")))</f>
        <v>107.5</v>
      </c>
      <c r="U8" s="19">
        <f>IF(ISNUMBER(RU_Raw!U8),RU_Raw!U8,IF(ISNUMBER(RU_Raw!U9),(U7+RU_Raw!U9)/2,IF(ISNUMBER(RU_Raw!U10),U7+(RU_Raw!U10-U7)/3,"")))</f>
        <v>108</v>
      </c>
      <c r="V8" s="19">
        <f>IF(ISNUMBER(RU_Raw!V8),RU_Raw!V8,IF(ISNUMBER(RU_Raw!V9),(V7+RU_Raw!V9)/2,IF(ISNUMBER(RU_Raw!V10),V7+(RU_Raw!V10-V7)/3,"")))</f>
        <v>107</v>
      </c>
      <c r="W8" s="19">
        <f>IF(ISNUMBER(RU_Raw!W8),RU_Raw!W8,IF(ISNUMBER(RU_Raw!W9),(W7+RU_Raw!W9)/2,IF(ISNUMBER(RU_Raw!W10),W7+(RU_Raw!W10-W7)/3,"")))</f>
        <v>107.9</v>
      </c>
      <c r="X8" s="19">
        <f>IF(ISNUMBER(RU_Raw!X8),RU_Raw!X8,IF(ISNUMBER(RU_Raw!X9),(X7+RU_Raw!X9)/2,IF(ISNUMBER(RU_Raw!X10),X7+(RU_Raw!X10-X7)/3,"")))</f>
        <v>100.5</v>
      </c>
      <c r="Y8" s="19">
        <f>IF(ISNUMBER(RU_Raw!Y8),RU_Raw!Y8,IF(ISNUMBER(RU_Raw!Y9),(Y7+RU_Raw!Y9)/2,IF(ISNUMBER(RU_Raw!Y10),Y7+(RU_Raw!Y10-Y7)/3,"")))</f>
        <v>106.5</v>
      </c>
      <c r="Z8" s="19">
        <f>IF(ISNUMBER(RU_Raw!Z8),RU_Raw!Z8,IF(ISNUMBER(RU_Raw!Z9),(Z7+RU_Raw!Z9)/2,IF(ISNUMBER(RU_Raw!Z10),Z7+(RU_Raw!Z10-Z7)/3,"")))</f>
        <v>106.3</v>
      </c>
      <c r="AA8" s="19">
        <f>IF(ISNUMBER(RU_Raw!AA8),RU_Raw!AA8,IF(ISNUMBER(RU_Raw!AA9),(AA7+RU_Raw!AA9)/2,IF(ISNUMBER(RU_Raw!AA10),AA7+(RU_Raw!AA10-AA7)/3,"")))</f>
        <v>105.3</v>
      </c>
      <c r="AB8" s="19">
        <f>IF(ISNUMBER(RU_Raw!AB8),RU_Raw!AB8,IF(ISNUMBER(RU_Raw!AB9),(AB7+RU_Raw!AB9)/2,IF(ISNUMBER(RU_Raw!AB10),AB7+(RU_Raw!AB10-AB7)/3,"")))</f>
        <v>104.7</v>
      </c>
      <c r="AC8" s="19">
        <f>IF(ISNUMBER(RU_Raw!AC8),RU_Raw!AC8,IF(ISNUMBER(RU_Raw!AC9),(AC7+RU_Raw!AC9)/2,IF(ISNUMBER(RU_Raw!AC10),AC7+(RU_Raw!AC10-AC7)/3,"")))</f>
        <v>104.2</v>
      </c>
      <c r="AD8" s="19">
        <f>IF(ISNUMBER(RU_Raw!AD8),RU_Raw!AD8,IF(ISNUMBER(RU_Raw!AD9),(AD7+RU_Raw!AD9)/2,IF(ISNUMBER(RU_Raw!AD10),AD7+(RU_Raw!AD10-AD7)/3,"")))</f>
        <v>105</v>
      </c>
      <c r="AE8" s="19">
        <f>IF(ISNUMBER(RU_Raw!AE8),RU_Raw!AE8,IF(ISNUMBER(RU_Raw!AE9),(AE7+RU_Raw!AE9)/2,IF(ISNUMBER(RU_Raw!AE10),AE7+(RU_Raw!AE10-AE7)/3,"")))</f>
        <v>102.9</v>
      </c>
      <c r="AF8" s="19">
        <f>IF(ISNUMBER(RU_Raw!AF8),RU_Raw!AF8,IF(ISNUMBER(RU_Raw!AF9),(AF7+RU_Raw!AF9)/2,IF(ISNUMBER(RU_Raw!AF10),AF7+(RU_Raw!AF10-AF7)/3,"")))</f>
        <v>104.8</v>
      </c>
      <c r="AG8" s="19">
        <f>IF(ISNUMBER(RU_Raw!AG8),RU_Raw!AG8,IF(ISNUMBER(RU_Raw!AG9),(AG7+RU_Raw!AG9)/2,IF(ISNUMBER(RU_Raw!AG10),AG7+(RU_Raw!AG10-AG7)/3,"")))</f>
        <v>106.1</v>
      </c>
      <c r="AH8" s="19">
        <f t="shared" si="1"/>
        <v>1282.5</v>
      </c>
    </row>
    <row r="9" spans="1:34">
      <c r="A9" s="6">
        <f>RU_Raw!A9</f>
        <v>2013</v>
      </c>
      <c r="B9" s="6">
        <f>RU_Raw!B9</f>
        <v>5</v>
      </c>
      <c r="C9" s="6" t="str">
        <f>RU_Raw!C9</f>
        <v>May</v>
      </c>
      <c r="D9" s="9">
        <f>RU_Raw!D9</f>
        <v>41395</v>
      </c>
      <c r="E9" s="6">
        <f>COUNTBLANK(RU_Raw!G9:AG9)</f>
        <v>0</v>
      </c>
      <c r="F9" s="6" t="str">
        <f t="shared" si="0"/>
        <v/>
      </c>
      <c r="G9" s="19">
        <f>IF(ISNUMBER(RU_Raw!G9),RU_Raw!G9,IF(ISNUMBER(RU_Raw!G10),(G8+RU_Raw!G10)/2,IF(ISNUMBER(RU_Raw!G11),G8+(RU_Raw!G11-G8)/3,"")))</f>
        <v>112.3</v>
      </c>
      <c r="H9" s="19">
        <f>IF(ISNUMBER(RU_Raw!H9),RU_Raw!H9,IF(ISNUMBER(RU_Raw!H10),(H8+RU_Raw!H10)/2,IF(ISNUMBER(RU_Raw!H11),H8+(RU_Raw!H11-H8)/3,"")))</f>
        <v>111.3</v>
      </c>
      <c r="I9" s="19">
        <f>IF(ISNUMBER(RU_Raw!I9),RU_Raw!I9,IF(ISNUMBER(RU_Raw!I10),(I8+RU_Raw!I10)/2,IF(ISNUMBER(RU_Raw!I11),I8+(RU_Raw!I11-I8)/3,"")))</f>
        <v>104.7</v>
      </c>
      <c r="J9" s="19">
        <f>IF(ISNUMBER(RU_Raw!J9),RU_Raw!J9,IF(ISNUMBER(RU_Raw!J10),(J8+RU_Raw!J10)/2,IF(ISNUMBER(RU_Raw!J11),J8+(RU_Raw!J11-J8)/3,"")))</f>
        <v>106.8</v>
      </c>
      <c r="K9" s="19">
        <f>IF(ISNUMBER(RU_Raw!K9),RU_Raw!K9,IF(ISNUMBER(RU_Raw!K10),(K8+RU_Raw!K10)/2,IF(ISNUMBER(RU_Raw!K11),K8+(RU_Raw!K11-K8)/3,"")))</f>
        <v>103.9</v>
      </c>
      <c r="L9" s="19">
        <f>IF(ISNUMBER(RU_Raw!L9),RU_Raw!L9,IF(ISNUMBER(RU_Raw!L10),(L8+RU_Raw!L10)/2,IF(ISNUMBER(RU_Raw!L11),L8+(RU_Raw!L11-L8)/3,"")))</f>
        <v>109.3</v>
      </c>
      <c r="M9" s="19">
        <f>IF(ISNUMBER(RU_Raw!M9),RU_Raw!M9,IF(ISNUMBER(RU_Raw!M10),(M8+RU_Raw!M10)/2,IF(ISNUMBER(RU_Raw!M11),M8+(RU_Raw!M11-M8)/3,"")))</f>
        <v>112.9</v>
      </c>
      <c r="N9" s="19">
        <f>IF(ISNUMBER(RU_Raw!N9),RU_Raw!N9,IF(ISNUMBER(RU_Raw!N10),(N8+RU_Raw!N10)/2,IF(ISNUMBER(RU_Raw!N11),N8+(RU_Raw!N11-N8)/3,"")))</f>
        <v>105.8</v>
      </c>
      <c r="O9" s="19">
        <f>IF(ISNUMBER(RU_Raw!O9),RU_Raw!O9,IF(ISNUMBER(RU_Raw!O10),(O8+RU_Raw!O10)/2,IF(ISNUMBER(RU_Raw!O11),O8+(RU_Raw!O11-O8)/3,"")))</f>
        <v>103.1</v>
      </c>
      <c r="P9" s="19">
        <f>IF(ISNUMBER(RU_Raw!P9),RU_Raw!P9,IF(ISNUMBER(RU_Raw!P10),(P8+RU_Raw!P10)/2,IF(ISNUMBER(RU_Raw!P11),P8+(RU_Raw!P11-P8)/3,"")))</f>
        <v>104.3</v>
      </c>
      <c r="Q9" s="19">
        <f>IF(ISNUMBER(RU_Raw!Q9),RU_Raw!Q9,IF(ISNUMBER(RU_Raw!Q10),(Q8+RU_Raw!Q10)/2,IF(ISNUMBER(RU_Raw!Q11),Q8+(RU_Raw!Q11-Q8)/3,"")))</f>
        <v>108.1</v>
      </c>
      <c r="R9" s="19">
        <f>IF(ISNUMBER(RU_Raw!R9),RU_Raw!R9,IF(ISNUMBER(RU_Raw!R10),(R8+RU_Raw!R10)/2,IF(ISNUMBER(RU_Raw!R11),R8+(RU_Raw!R11-R8)/3,"")))</f>
        <v>110.5</v>
      </c>
      <c r="S9" s="19">
        <f>IF(ISNUMBER(RU_Raw!S9),RU_Raw!S9,IF(ISNUMBER(RU_Raw!S10),(S8+RU_Raw!S10)/2,IF(ISNUMBER(RU_Raw!S11),S8+(RU_Raw!S11-S8)/3,"")))</f>
        <v>109.2</v>
      </c>
      <c r="T9" s="19">
        <f>IF(ISNUMBER(RU_Raw!T9),RU_Raw!T9,IF(ISNUMBER(RU_Raw!T10),(T8+RU_Raw!T10)/2,IF(ISNUMBER(RU_Raw!T11),T8+(RU_Raw!T11-T8)/3,"")))</f>
        <v>108.6</v>
      </c>
      <c r="U9" s="19">
        <f>IF(ISNUMBER(RU_Raw!U9),RU_Raw!U9,IF(ISNUMBER(RU_Raw!U10),(U8+RU_Raw!U10)/2,IF(ISNUMBER(RU_Raw!U11),U8+(RU_Raw!U11-U8)/3,"")))</f>
        <v>108.7</v>
      </c>
      <c r="V9" s="19">
        <f>IF(ISNUMBER(RU_Raw!V9),RU_Raw!V9,IF(ISNUMBER(RU_Raw!V10),(V8+RU_Raw!V10)/2,IF(ISNUMBER(RU_Raw!V11),V8+(RU_Raw!V11-V8)/3,"")))</f>
        <v>107.4</v>
      </c>
      <c r="W9" s="19">
        <f>IF(ISNUMBER(RU_Raw!W9),RU_Raw!W9,IF(ISNUMBER(RU_Raw!W10),(W8+RU_Raw!W10)/2,IF(ISNUMBER(RU_Raw!W11),W8+(RU_Raw!W11-W8)/3,"")))</f>
        <v>108.5</v>
      </c>
      <c r="X9" s="19">
        <f>IF(ISNUMBER(RU_Raw!X9),RU_Raw!X9,IF(ISNUMBER(RU_Raw!X10),(X8+RU_Raw!X10)/2,IF(ISNUMBER(RU_Raw!X11),X8+(RU_Raw!X11-X8)/3,"")))</f>
        <v>100.5</v>
      </c>
      <c r="Y9" s="19">
        <f>IF(ISNUMBER(RU_Raw!Y9),RU_Raw!Y9,IF(ISNUMBER(RU_Raw!Y10),(Y8+RU_Raw!Y10)/2,IF(ISNUMBER(RU_Raw!Y11),Y8+(RU_Raw!Y11-Y8)/3,"")))</f>
        <v>107.4</v>
      </c>
      <c r="Z9" s="19">
        <f>IF(ISNUMBER(RU_Raw!Z9),RU_Raw!Z9,IF(ISNUMBER(RU_Raw!Z10),(Z8+RU_Raw!Z10)/2,IF(ISNUMBER(RU_Raw!Z11),Z8+(RU_Raw!Z11-Z8)/3,"")))</f>
        <v>106.9</v>
      </c>
      <c r="AA9" s="19">
        <f>IF(ISNUMBER(RU_Raw!AA9),RU_Raw!AA9,IF(ISNUMBER(RU_Raw!AA10),(AA8+RU_Raw!AA10)/2,IF(ISNUMBER(RU_Raw!AA11),AA8+(RU_Raw!AA11-AA8)/3,"")))</f>
        <v>105.9</v>
      </c>
      <c r="AB9" s="19">
        <f>IF(ISNUMBER(RU_Raw!AB9),RU_Raw!AB9,IF(ISNUMBER(RU_Raw!AB10),(AB8+RU_Raw!AB10)/2,IF(ISNUMBER(RU_Raw!AB11),AB8+(RU_Raw!AB11-AB8)/3,"")))</f>
        <v>104</v>
      </c>
      <c r="AC9" s="19">
        <f>IF(ISNUMBER(RU_Raw!AC9),RU_Raw!AC9,IF(ISNUMBER(RU_Raw!AC10),(AC8+RU_Raw!AC10)/2,IF(ISNUMBER(RU_Raw!AC11),AC8+(RU_Raw!AC11-AC8)/3,"")))</f>
        <v>104.8</v>
      </c>
      <c r="AD9" s="19">
        <f>IF(ISNUMBER(RU_Raw!AD9),RU_Raw!AD9,IF(ISNUMBER(RU_Raw!AD10),(AD8+RU_Raw!AD10)/2,IF(ISNUMBER(RU_Raw!AD11),AD8+(RU_Raw!AD11-AD8)/3,"")))</f>
        <v>105.6</v>
      </c>
      <c r="AE9" s="19">
        <f>IF(ISNUMBER(RU_Raw!AE9),RU_Raw!AE9,IF(ISNUMBER(RU_Raw!AE10),(AE8+RU_Raw!AE10)/2,IF(ISNUMBER(RU_Raw!AE11),AE8+(RU_Raw!AE11-AE8)/3,"")))</f>
        <v>102.3</v>
      </c>
      <c r="AF9" s="19">
        <f>IF(ISNUMBER(RU_Raw!AF9),RU_Raw!AF9,IF(ISNUMBER(RU_Raw!AF10),(AF8+RU_Raw!AF10)/2,IF(ISNUMBER(RU_Raw!AF11),AF8+(RU_Raw!AF11-AF8)/3,"")))</f>
        <v>104.8</v>
      </c>
      <c r="AG9" s="19">
        <f>IF(ISNUMBER(RU_Raw!AG9),RU_Raw!AG9,IF(ISNUMBER(RU_Raw!AG10),(AG8+RU_Raw!AG10)/2,IF(ISNUMBER(RU_Raw!AG11),AG8+(RU_Raw!AG11-AG8)/3,"")))</f>
        <v>106.9</v>
      </c>
      <c r="AH9" s="19">
        <f t="shared" si="1"/>
        <v>1293</v>
      </c>
    </row>
    <row r="10" spans="1:34">
      <c r="A10" s="6">
        <f>RU_Raw!A10</f>
        <v>2013</v>
      </c>
      <c r="B10" s="6">
        <f>RU_Raw!B10</f>
        <v>6</v>
      </c>
      <c r="C10" s="6" t="str">
        <f>RU_Raw!C10</f>
        <v>June</v>
      </c>
      <c r="D10" s="9">
        <f>RU_Raw!D10</f>
        <v>41426</v>
      </c>
      <c r="E10" s="6">
        <f>COUNTBLANK(RU_Raw!G10:AG10)</f>
        <v>0</v>
      </c>
      <c r="F10" s="6" t="str">
        <f t="shared" si="0"/>
        <v/>
      </c>
      <c r="G10" s="19">
        <f>IF(ISNUMBER(RU_Raw!G10),RU_Raw!G10,IF(ISNUMBER(RU_Raw!G11),(G9+RU_Raw!G11)/2,IF(ISNUMBER(RU_Raw!G12),G9+(RU_Raw!G12-G9)/3,"")))</f>
        <v>113.8</v>
      </c>
      <c r="H10" s="19">
        <f>IF(ISNUMBER(RU_Raw!H10),RU_Raw!H10,IF(ISNUMBER(RU_Raw!H11),(H9+RU_Raw!H11)/2,IF(ISNUMBER(RU_Raw!H12),H9+(RU_Raw!H12-H9)/3,"")))</f>
        <v>114.9</v>
      </c>
      <c r="I10" s="19">
        <f>IF(ISNUMBER(RU_Raw!I10),RU_Raw!I10,IF(ISNUMBER(RU_Raw!I11),(I9+RU_Raw!I11)/2,IF(ISNUMBER(RU_Raw!I12),I9+(RU_Raw!I12-I9)/3,"")))</f>
        <v>109.8</v>
      </c>
      <c r="J10" s="19">
        <f>IF(ISNUMBER(RU_Raw!J10),RU_Raw!J10,IF(ISNUMBER(RU_Raw!J11),(J9+RU_Raw!J11)/2,IF(ISNUMBER(RU_Raw!J12),J9+(RU_Raw!J12-J9)/3,"")))</f>
        <v>107.9</v>
      </c>
      <c r="K10" s="19">
        <f>IF(ISNUMBER(RU_Raw!K10),RU_Raw!K10,IF(ISNUMBER(RU_Raw!K11),(K9+RU_Raw!K11)/2,IF(ISNUMBER(RU_Raw!K12),K9+(RU_Raw!K12-K9)/3,"")))</f>
        <v>104.2</v>
      </c>
      <c r="L10" s="19">
        <f>IF(ISNUMBER(RU_Raw!L10),RU_Raw!L10,IF(ISNUMBER(RU_Raw!L11),(L9+RU_Raw!L11)/2,IF(ISNUMBER(RU_Raw!L12),L9+(RU_Raw!L12-L9)/3,"")))</f>
        <v>110.7</v>
      </c>
      <c r="M10" s="19">
        <f>IF(ISNUMBER(RU_Raw!M10),RU_Raw!M10,IF(ISNUMBER(RU_Raw!M11),(M9+RU_Raw!M11)/2,IF(ISNUMBER(RU_Raw!M12),M9+(RU_Raw!M12-M9)/3,"")))</f>
        <v>126.7</v>
      </c>
      <c r="N10" s="19">
        <f>IF(ISNUMBER(RU_Raw!N10),RU_Raw!N10,IF(ISNUMBER(RU_Raw!N11),(N9+RU_Raw!N11)/2,IF(ISNUMBER(RU_Raw!N12),N9+(RU_Raw!N12-N9)/3,"")))</f>
        <v>106.3</v>
      </c>
      <c r="O10" s="19">
        <f>IF(ISNUMBER(RU_Raw!O10),RU_Raw!O10,IF(ISNUMBER(RU_Raw!O11),(O9+RU_Raw!O11)/2,IF(ISNUMBER(RU_Raw!O12),O9+(RU_Raw!O12-O9)/3,"")))</f>
        <v>103.2</v>
      </c>
      <c r="P10" s="19">
        <f>IF(ISNUMBER(RU_Raw!P10),RU_Raw!P10,IF(ISNUMBER(RU_Raw!P11),(P9+RU_Raw!P11)/2,IF(ISNUMBER(RU_Raw!P12),P9+(RU_Raw!P12-P9)/3,"")))</f>
        <v>105.7</v>
      </c>
      <c r="Q10" s="19">
        <f>IF(ISNUMBER(RU_Raw!Q10),RU_Raw!Q10,IF(ISNUMBER(RU_Raw!Q11),(Q9+RU_Raw!Q11)/2,IF(ISNUMBER(RU_Raw!Q12),Q9+(RU_Raw!Q12-Q9)/3,"")))</f>
        <v>109</v>
      </c>
      <c r="R10" s="19">
        <f>IF(ISNUMBER(RU_Raw!R10),RU_Raw!R10,IF(ISNUMBER(RU_Raw!R11),(R9+RU_Raw!R11)/2,IF(ISNUMBER(RU_Raw!R12),R9+(RU_Raw!R12-R9)/3,"")))</f>
        <v>111.6</v>
      </c>
      <c r="S10" s="19">
        <f>IF(ISNUMBER(RU_Raw!S10),RU_Raw!S10,IF(ISNUMBER(RU_Raw!S11),(S9+RU_Raw!S11)/2,IF(ISNUMBER(RU_Raw!S12),S9+(RU_Raw!S12-S9)/3,"")))</f>
        <v>112.2</v>
      </c>
      <c r="T10" s="19">
        <f>IF(ISNUMBER(RU_Raw!T10),RU_Raw!T10,IF(ISNUMBER(RU_Raw!T11),(T9+RU_Raw!T11)/2,IF(ISNUMBER(RU_Raw!T12),T9+(RU_Raw!T12-T9)/3,"")))</f>
        <v>109.5</v>
      </c>
      <c r="U10" s="19">
        <f>IF(ISNUMBER(RU_Raw!U10),RU_Raw!U10,IF(ISNUMBER(RU_Raw!U11),(U9+RU_Raw!U11)/2,IF(ISNUMBER(RU_Raw!U12),U9+(RU_Raw!U12-U9)/3,"")))</f>
        <v>109.5</v>
      </c>
      <c r="V10" s="19">
        <f>IF(ISNUMBER(RU_Raw!V10),RU_Raw!V10,IF(ISNUMBER(RU_Raw!V11),(V9+RU_Raw!V11)/2,IF(ISNUMBER(RU_Raw!V12),V9+(RU_Raw!V12-V9)/3,"")))</f>
        <v>108.1</v>
      </c>
      <c r="W10" s="19">
        <f>IF(ISNUMBER(RU_Raw!W10),RU_Raw!W10,IF(ISNUMBER(RU_Raw!W11),(W9+RU_Raw!W11)/2,IF(ISNUMBER(RU_Raw!W12),W9+(RU_Raw!W12-W9)/3,"")))</f>
        <v>109.3</v>
      </c>
      <c r="X10" s="19">
        <f>IF(ISNUMBER(RU_Raw!X10),RU_Raw!X10,IF(ISNUMBER(RU_Raw!X11),(X9+RU_Raw!X11)/2,IF(ISNUMBER(RU_Raw!X12),X9+(RU_Raw!X12-X9)/3,"")))</f>
        <v>106.6</v>
      </c>
      <c r="Y10" s="19">
        <f>IF(ISNUMBER(RU_Raw!Y10),RU_Raw!Y10,IF(ISNUMBER(RU_Raw!Y11),(Y9+RU_Raw!Y11)/2,IF(ISNUMBER(RU_Raw!Y12),Y9+(RU_Raw!Y12-Y9)/3,"")))</f>
        <v>108.3</v>
      </c>
      <c r="Z10" s="19">
        <f>IF(ISNUMBER(RU_Raw!Z10),RU_Raw!Z10,IF(ISNUMBER(RU_Raw!Z11),(Z9+RU_Raw!Z11)/2,IF(ISNUMBER(RU_Raw!Z12),Z9+(RU_Raw!Z12-Z9)/3,"")))</f>
        <v>107.6</v>
      </c>
      <c r="AA10" s="19">
        <f>IF(ISNUMBER(RU_Raw!AA10),RU_Raw!AA10,IF(ISNUMBER(RU_Raw!AA11),(AA9+RU_Raw!AA11)/2,IF(ISNUMBER(RU_Raw!AA12),AA9+(RU_Raw!AA12-AA9)/3,"")))</f>
        <v>106.4</v>
      </c>
      <c r="AB10" s="19">
        <f>IF(ISNUMBER(RU_Raw!AB10),RU_Raw!AB10,IF(ISNUMBER(RU_Raw!AB11),(AB9+RU_Raw!AB11)/2,IF(ISNUMBER(RU_Raw!AB12),AB9+(RU_Raw!AB12-AB9)/3,"")))</f>
        <v>105.1</v>
      </c>
      <c r="AC10" s="19">
        <f>IF(ISNUMBER(RU_Raw!AC10),RU_Raw!AC10,IF(ISNUMBER(RU_Raw!AC11),(AC9+RU_Raw!AC11)/2,IF(ISNUMBER(RU_Raw!AC12),AC9+(RU_Raw!AC12-AC9)/3,"")))</f>
        <v>105.4</v>
      </c>
      <c r="AD10" s="19">
        <f>IF(ISNUMBER(RU_Raw!AD10),RU_Raw!AD10,IF(ISNUMBER(RU_Raw!AD11),(AD9+RU_Raw!AD11)/2,IF(ISNUMBER(RU_Raw!AD12),AD9+(RU_Raw!AD12-AD9)/3,"")))</f>
        <v>107.4</v>
      </c>
      <c r="AE10" s="19">
        <f>IF(ISNUMBER(RU_Raw!AE10),RU_Raw!AE10,IF(ISNUMBER(RU_Raw!AE11),(AE9+RU_Raw!AE11)/2,IF(ISNUMBER(RU_Raw!AE12),AE9+(RU_Raw!AE12-AE9)/3,"")))</f>
        <v>102.8</v>
      </c>
      <c r="AF10" s="19">
        <f>IF(ISNUMBER(RU_Raw!AF10),RU_Raw!AF10,IF(ISNUMBER(RU_Raw!AF11),(AF9+RU_Raw!AF11)/2,IF(ISNUMBER(RU_Raw!AF12),AF9+(RU_Raw!AF12-AF9)/3,"")))</f>
        <v>105.8</v>
      </c>
      <c r="AG10" s="19">
        <f>IF(ISNUMBER(RU_Raw!AG10),RU_Raw!AG10,IF(ISNUMBER(RU_Raw!AG11),(AG9+RU_Raw!AG11)/2,IF(ISNUMBER(RU_Raw!AG12),AG9+(RU_Raw!AG12-AG9)/3,"")))</f>
        <v>109.3</v>
      </c>
      <c r="AH10" s="19">
        <f t="shared" si="1"/>
        <v>1323.8</v>
      </c>
    </row>
    <row r="11" spans="1:34">
      <c r="A11" s="6">
        <f>RU_Raw!A11</f>
        <v>2013</v>
      </c>
      <c r="B11" s="6">
        <f>RU_Raw!B11</f>
        <v>7</v>
      </c>
      <c r="C11" s="6" t="str">
        <f>RU_Raw!C11</f>
        <v>July</v>
      </c>
      <c r="D11" s="9">
        <f>RU_Raw!D11</f>
        <v>41456</v>
      </c>
      <c r="E11" s="6">
        <f>COUNTBLANK(RU_Raw!G11:AG11)</f>
        <v>0</v>
      </c>
      <c r="F11" s="6" t="str">
        <f t="shared" si="0"/>
        <v/>
      </c>
      <c r="G11" s="19">
        <f>IF(ISNUMBER(RU_Raw!G11),RU_Raw!G11,IF(ISNUMBER(RU_Raw!G12),(G10+RU_Raw!G12)/2,IF(ISNUMBER(RU_Raw!G13),G10+(RU_Raw!G13-G10)/3,"")))</f>
        <v>114.8</v>
      </c>
      <c r="H11" s="19">
        <f>IF(ISNUMBER(RU_Raw!H11),RU_Raw!H11,IF(ISNUMBER(RU_Raw!H12),(H10+RU_Raw!H12)/2,IF(ISNUMBER(RU_Raw!H13),H10+(RU_Raw!H13-H10)/3,"")))</f>
        <v>116.4</v>
      </c>
      <c r="I11" s="19">
        <f>IF(ISNUMBER(RU_Raw!I11),RU_Raw!I11,IF(ISNUMBER(RU_Raw!I12),(I10+RU_Raw!I12)/2,IF(ISNUMBER(RU_Raw!I13),I10+(RU_Raw!I13-I10)/3,"")))</f>
        <v>111.9</v>
      </c>
      <c r="J11" s="19">
        <f>IF(ISNUMBER(RU_Raw!J11),RU_Raw!J11,IF(ISNUMBER(RU_Raw!J12),(J10+RU_Raw!J12)/2,IF(ISNUMBER(RU_Raw!J13),J10+(RU_Raw!J13-J10)/3,"")))</f>
        <v>108.9</v>
      </c>
      <c r="K11" s="19">
        <f>IF(ISNUMBER(RU_Raw!K11),RU_Raw!K11,IF(ISNUMBER(RU_Raw!K12),(K10+RU_Raw!K12)/2,IF(ISNUMBER(RU_Raw!K13),K10+(RU_Raw!K13-K10)/3,"")))</f>
        <v>104.3</v>
      </c>
      <c r="L11" s="19">
        <f>IF(ISNUMBER(RU_Raw!L11),RU_Raw!L11,IF(ISNUMBER(RU_Raw!L12),(L10+RU_Raw!L12)/2,IF(ISNUMBER(RU_Raw!L13),L10+(RU_Raw!L13-L10)/3,"")))</f>
        <v>111.7</v>
      </c>
      <c r="M11" s="19">
        <f>IF(ISNUMBER(RU_Raw!M11),RU_Raw!M11,IF(ISNUMBER(RU_Raw!M12),(M10+RU_Raw!M12)/2,IF(ISNUMBER(RU_Raw!M13),M10+(RU_Raw!M13-M10)/3,"")))</f>
        <v>140</v>
      </c>
      <c r="N11" s="19">
        <f>IF(ISNUMBER(RU_Raw!N11),RU_Raw!N11,IF(ISNUMBER(RU_Raw!N12),(N10+RU_Raw!N12)/2,IF(ISNUMBER(RU_Raw!N13),N10+(RU_Raw!N13-N10)/3,"")))</f>
        <v>106.4</v>
      </c>
      <c r="O11" s="19">
        <f>IF(ISNUMBER(RU_Raw!O11),RU_Raw!O11,IF(ISNUMBER(RU_Raw!O12),(O10+RU_Raw!O12)/2,IF(ISNUMBER(RU_Raw!O13),O10+(RU_Raw!O13-O10)/3,"")))</f>
        <v>103.3</v>
      </c>
      <c r="P11" s="19">
        <f>IF(ISNUMBER(RU_Raw!P11),RU_Raw!P11,IF(ISNUMBER(RU_Raw!P12),(P10+RU_Raw!P12)/2,IF(ISNUMBER(RU_Raw!P13),P10+(RU_Raw!P13-P10)/3,"")))</f>
        <v>106.8</v>
      </c>
      <c r="Q11" s="19">
        <f>IF(ISNUMBER(RU_Raw!Q11),RU_Raw!Q11,IF(ISNUMBER(RU_Raw!Q12),(Q10+RU_Raw!Q12)/2,IF(ISNUMBER(RU_Raw!Q13),Q10+(RU_Raw!Q13-Q10)/3,"")))</f>
        <v>109.6</v>
      </c>
      <c r="R11" s="19">
        <f>IF(ISNUMBER(RU_Raw!R11),RU_Raw!R11,IF(ISNUMBER(RU_Raw!R12),(R10+RU_Raw!R12)/2,IF(ISNUMBER(RU_Raw!R13),R10+(RU_Raw!R13-R10)/3,"")))</f>
        <v>112.6</v>
      </c>
      <c r="S11" s="19">
        <f>IF(ISNUMBER(RU_Raw!S11),RU_Raw!S11,IF(ISNUMBER(RU_Raw!S12),(S10+RU_Raw!S12)/2,IF(ISNUMBER(RU_Raw!S13),S10+(RU_Raw!S13-S10)/3,"")))</f>
        <v>114.7</v>
      </c>
      <c r="T11" s="19">
        <f>IF(ISNUMBER(RU_Raw!T11),RU_Raw!T11,IF(ISNUMBER(RU_Raw!T12),(T10+RU_Raw!T12)/2,IF(ISNUMBER(RU_Raw!T13),T10+(RU_Raw!T13-T10)/3,"")))</f>
        <v>110.3</v>
      </c>
      <c r="U11" s="19">
        <f>IF(ISNUMBER(RU_Raw!U11),RU_Raw!U11,IF(ISNUMBER(RU_Raw!U12),(U10+RU_Raw!U12)/2,IF(ISNUMBER(RU_Raw!U13),U10+(RU_Raw!U13-U10)/3,"")))</f>
        <v>110.2</v>
      </c>
      <c r="V11" s="19">
        <f>IF(ISNUMBER(RU_Raw!V11),RU_Raw!V11,IF(ISNUMBER(RU_Raw!V12),(V10+RU_Raw!V12)/2,IF(ISNUMBER(RU_Raw!V13),V10+(RU_Raw!V13-V10)/3,"")))</f>
        <v>108.8</v>
      </c>
      <c r="W11" s="19">
        <f>IF(ISNUMBER(RU_Raw!W11),RU_Raw!W11,IF(ISNUMBER(RU_Raw!W12),(W10+RU_Raw!W12)/2,IF(ISNUMBER(RU_Raw!W13),W10+(RU_Raw!W13-W10)/3,"")))</f>
        <v>110</v>
      </c>
      <c r="X11" s="19">
        <f>IF(ISNUMBER(RU_Raw!X11),RU_Raw!X11,IF(ISNUMBER(RU_Raw!X12),(X10+RU_Raw!X12)/2,IF(ISNUMBER(RU_Raw!X13),X10+(RU_Raw!X13-X10)/3,"")))</f>
        <v>107.7</v>
      </c>
      <c r="Y11" s="19">
        <f>IF(ISNUMBER(RU_Raw!Y11),RU_Raw!Y11,IF(ISNUMBER(RU_Raw!Y12),(Y10+RU_Raw!Y12)/2,IF(ISNUMBER(RU_Raw!Y13),Y10+(RU_Raw!Y13-Y10)/3,"")))</f>
        <v>109.2</v>
      </c>
      <c r="Z11" s="19">
        <f>IF(ISNUMBER(RU_Raw!Z11),RU_Raw!Z11,IF(ISNUMBER(RU_Raw!Z12),(Z10+RU_Raw!Z12)/2,IF(ISNUMBER(RU_Raw!Z13),Z10+(RU_Raw!Z13-Z10)/3,"")))</f>
        <v>108.2</v>
      </c>
      <c r="AA11" s="19">
        <f>IF(ISNUMBER(RU_Raw!AA11),RU_Raw!AA11,IF(ISNUMBER(RU_Raw!AA12),(AA10+RU_Raw!AA12)/2,IF(ISNUMBER(RU_Raw!AA13),AA10+(RU_Raw!AA13-AA10)/3,"")))</f>
        <v>107</v>
      </c>
      <c r="AB11" s="19">
        <f>IF(ISNUMBER(RU_Raw!AB11),RU_Raw!AB11,IF(ISNUMBER(RU_Raw!AB12),(AB10+RU_Raw!AB12)/2,IF(ISNUMBER(RU_Raw!AB13),AB10+(RU_Raw!AB13-AB10)/3,"")))</f>
        <v>107.1</v>
      </c>
      <c r="AC11" s="19">
        <f>IF(ISNUMBER(RU_Raw!AC11),RU_Raw!AC11,IF(ISNUMBER(RU_Raw!AC12),(AC10+RU_Raw!AC12)/2,IF(ISNUMBER(RU_Raw!AC13),AC10+(RU_Raw!AC13-AC10)/3,"")))</f>
        <v>106.1</v>
      </c>
      <c r="AD11" s="19">
        <f>IF(ISNUMBER(RU_Raw!AD11),RU_Raw!AD11,IF(ISNUMBER(RU_Raw!AD12),(AD10+RU_Raw!AD12)/2,IF(ISNUMBER(RU_Raw!AD13),AD10+(RU_Raw!AD13-AD10)/3,"")))</f>
        <v>109.1</v>
      </c>
      <c r="AE11" s="19">
        <f>IF(ISNUMBER(RU_Raw!AE11),RU_Raw!AE11,IF(ISNUMBER(RU_Raw!AE12),(AE10+RU_Raw!AE12)/2,IF(ISNUMBER(RU_Raw!AE13),AE10+(RU_Raw!AE13-AE10)/3,"")))</f>
        <v>102.8</v>
      </c>
      <c r="AF11" s="19">
        <f>IF(ISNUMBER(RU_Raw!AF11),RU_Raw!AF11,IF(ISNUMBER(RU_Raw!AF12),(AF10+RU_Raw!AF12)/2,IF(ISNUMBER(RU_Raw!AF13),AF10+(RU_Raw!AF13-AF10)/3,"")))</f>
        <v>106.9</v>
      </c>
      <c r="AG11" s="19">
        <f>IF(ISNUMBER(RU_Raw!AG11),RU_Raw!AG11,IF(ISNUMBER(RU_Raw!AG12),(AG10+RU_Raw!AG12)/2,IF(ISNUMBER(RU_Raw!AG13),AG10+(RU_Raw!AG13-AG10)/3,"")))</f>
        <v>111</v>
      </c>
      <c r="AH11" s="19">
        <f t="shared" si="1"/>
        <v>1346.7</v>
      </c>
    </row>
    <row r="12" spans="1:34">
      <c r="A12" s="6">
        <f>RU_Raw!A12</f>
        <v>2013</v>
      </c>
      <c r="B12" s="6">
        <f>RU_Raw!B12</f>
        <v>8</v>
      </c>
      <c r="C12" s="6" t="str">
        <f>RU_Raw!C12</f>
        <v>August</v>
      </c>
      <c r="D12" s="9">
        <f>RU_Raw!D12</f>
        <v>41487</v>
      </c>
      <c r="E12" s="6">
        <f>COUNTBLANK(RU_Raw!G12:AG12)</f>
        <v>0</v>
      </c>
      <c r="F12" s="6" t="str">
        <f t="shared" si="0"/>
        <v/>
      </c>
      <c r="G12" s="19">
        <f>IF(ISNUMBER(RU_Raw!G12),RU_Raw!G12,IF(ISNUMBER(RU_Raw!G13),(G11+RU_Raw!G13)/2,IF(ISNUMBER(RU_Raw!G14),G11+(RU_Raw!G14-G11)/3,"")))</f>
        <v>115.6</v>
      </c>
      <c r="H12" s="19">
        <f>IF(ISNUMBER(RU_Raw!H12),RU_Raw!H12,IF(ISNUMBER(RU_Raw!H13),(H11+RU_Raw!H13)/2,IF(ISNUMBER(RU_Raw!H14),H11+(RU_Raw!H14-H11)/3,"")))</f>
        <v>117.2</v>
      </c>
      <c r="I12" s="19">
        <f>IF(ISNUMBER(RU_Raw!I12),RU_Raw!I12,IF(ISNUMBER(RU_Raw!I13),(I11+RU_Raw!I13)/2,IF(ISNUMBER(RU_Raw!I14),I11+(RU_Raw!I14-I11)/3,"")))</f>
        <v>111.7</v>
      </c>
      <c r="J12" s="19">
        <f>IF(ISNUMBER(RU_Raw!J12),RU_Raw!J12,IF(ISNUMBER(RU_Raw!J13),(J11+RU_Raw!J13)/2,IF(ISNUMBER(RU_Raw!J14),J11+(RU_Raw!J14-J11)/3,"")))</f>
        <v>109.6</v>
      </c>
      <c r="K12" s="19">
        <f>IF(ISNUMBER(RU_Raw!K12),RU_Raw!K12,IF(ISNUMBER(RU_Raw!K13),(K11+RU_Raw!K13)/2,IF(ISNUMBER(RU_Raw!K14),K11+(RU_Raw!K14-K11)/3,"")))</f>
        <v>104.5</v>
      </c>
      <c r="L12" s="19">
        <f>IF(ISNUMBER(RU_Raw!L12),RU_Raw!L12,IF(ISNUMBER(RU_Raw!L13),(L11+RU_Raw!L13)/2,IF(ISNUMBER(RU_Raw!L14),L11+(RU_Raw!L14-L11)/3,"")))</f>
        <v>109.8</v>
      </c>
      <c r="M12" s="19">
        <f>IF(ISNUMBER(RU_Raw!M12),RU_Raw!M12,IF(ISNUMBER(RU_Raw!M13),(M11+RU_Raw!M13)/2,IF(ISNUMBER(RU_Raw!M14),M11+(RU_Raw!M14-M11)/3,"")))</f>
        <v>151.8</v>
      </c>
      <c r="N12" s="19">
        <f>IF(ISNUMBER(RU_Raw!N12),RU_Raw!N12,IF(ISNUMBER(RU_Raw!N13),(N11+RU_Raw!N13)/2,IF(ISNUMBER(RU_Raw!N14),N11+(RU_Raw!N14-N11)/3,"")))</f>
        <v>106.5</v>
      </c>
      <c r="O12" s="19">
        <f>IF(ISNUMBER(RU_Raw!O12),RU_Raw!O12,IF(ISNUMBER(RU_Raw!O13),(O11+RU_Raw!O13)/2,IF(ISNUMBER(RU_Raw!O14),O11+(RU_Raw!O14-O11)/3,"")))</f>
        <v>103.1</v>
      </c>
      <c r="P12" s="19">
        <f>IF(ISNUMBER(RU_Raw!P12),RU_Raw!P12,IF(ISNUMBER(RU_Raw!P13),(P11+RU_Raw!P13)/2,IF(ISNUMBER(RU_Raw!P14),P11+(RU_Raw!P14-P11)/3,"")))</f>
        <v>107.4</v>
      </c>
      <c r="Q12" s="19">
        <f>IF(ISNUMBER(RU_Raw!Q12),RU_Raw!Q12,IF(ISNUMBER(RU_Raw!Q13),(Q11+RU_Raw!Q13)/2,IF(ISNUMBER(RU_Raw!Q14),Q11+(RU_Raw!Q14-Q11)/3,"")))</f>
        <v>110.2</v>
      </c>
      <c r="R12" s="19">
        <f>IF(ISNUMBER(RU_Raw!R12),RU_Raw!R12,IF(ISNUMBER(RU_Raw!R13),(R11+RU_Raw!R13)/2,IF(ISNUMBER(RU_Raw!R14),R11+(RU_Raw!R14-R11)/3,"")))</f>
        <v>113.4</v>
      </c>
      <c r="S12" s="19">
        <f>IF(ISNUMBER(RU_Raw!S12),RU_Raw!S12,IF(ISNUMBER(RU_Raw!S13),(S11+RU_Raw!S13)/2,IF(ISNUMBER(RU_Raw!S14),S11+(RU_Raw!S14-S11)/3,"")))</f>
        <v>116.6</v>
      </c>
      <c r="T12" s="19">
        <f>IF(ISNUMBER(RU_Raw!T12),RU_Raw!T12,IF(ISNUMBER(RU_Raw!T13),(T11+RU_Raw!T13)/2,IF(ISNUMBER(RU_Raw!T14),T11+(RU_Raw!T14-T11)/3,"")))</f>
        <v>111.2</v>
      </c>
      <c r="U12" s="19">
        <f>IF(ISNUMBER(RU_Raw!U12),RU_Raw!U12,IF(ISNUMBER(RU_Raw!U13),(U11+RU_Raw!U13)/2,IF(ISNUMBER(RU_Raw!U14),U11+(RU_Raw!U14-U11)/3,"")))</f>
        <v>111</v>
      </c>
      <c r="V12" s="19">
        <f>IF(ISNUMBER(RU_Raw!V12),RU_Raw!V12,IF(ISNUMBER(RU_Raw!V13),(V11+RU_Raw!V13)/2,IF(ISNUMBER(RU_Raw!V14),V11+(RU_Raw!V14-V11)/3,"")))</f>
        <v>109.4</v>
      </c>
      <c r="W12" s="19">
        <f>IF(ISNUMBER(RU_Raw!W12),RU_Raw!W12,IF(ISNUMBER(RU_Raw!W13),(W11+RU_Raw!W13)/2,IF(ISNUMBER(RU_Raw!W14),W11+(RU_Raw!W14-W11)/3,"")))</f>
        <v>110.7</v>
      </c>
      <c r="X12" s="19">
        <f>IF(ISNUMBER(RU_Raw!X12),RU_Raw!X12,IF(ISNUMBER(RU_Raw!X13),(X11+RU_Raw!X13)/2,IF(ISNUMBER(RU_Raw!X14),X11+(RU_Raw!X14-X11)/3,"")))</f>
        <v>108.9</v>
      </c>
      <c r="Y12" s="19">
        <f>IF(ISNUMBER(RU_Raw!Y12),RU_Raw!Y12,IF(ISNUMBER(RU_Raw!Y13),(Y11+RU_Raw!Y13)/2,IF(ISNUMBER(RU_Raw!Y14),Y11+(RU_Raw!Y14-Y11)/3,"")))</f>
        <v>109.7</v>
      </c>
      <c r="Z12" s="19">
        <f>IF(ISNUMBER(RU_Raw!Z12),RU_Raw!Z12,IF(ISNUMBER(RU_Raw!Z13),(Z11+RU_Raw!Z13)/2,IF(ISNUMBER(RU_Raw!Z14),Z11+(RU_Raw!Z14-Z11)/3,"")))</f>
        <v>108.7</v>
      </c>
      <c r="AA12" s="19">
        <f>IF(ISNUMBER(RU_Raw!AA12),RU_Raw!AA12,IF(ISNUMBER(RU_Raw!AA13),(AA11+RU_Raw!AA13)/2,IF(ISNUMBER(RU_Raw!AA14),AA11+(RU_Raw!AA14-AA11)/3,"")))</f>
        <v>107.5</v>
      </c>
      <c r="AB12" s="19">
        <f>IF(ISNUMBER(RU_Raw!AB12),RU_Raw!AB12,IF(ISNUMBER(RU_Raw!AB13),(AB11+RU_Raw!AB13)/2,IF(ISNUMBER(RU_Raw!AB14),AB11+(RU_Raw!AB14-AB11)/3,"")))</f>
        <v>108</v>
      </c>
      <c r="AC12" s="19">
        <f>IF(ISNUMBER(RU_Raw!AC12),RU_Raw!AC12,IF(ISNUMBER(RU_Raw!AC13),(AC11+RU_Raw!AC13)/2,IF(ISNUMBER(RU_Raw!AC14),AC11+(RU_Raw!AC14-AC11)/3,"")))</f>
        <v>106.6</v>
      </c>
      <c r="AD12" s="19">
        <f>IF(ISNUMBER(RU_Raw!AD12),RU_Raw!AD12,IF(ISNUMBER(RU_Raw!AD13),(AD11+RU_Raw!AD13)/2,IF(ISNUMBER(RU_Raw!AD14),AD11+(RU_Raw!AD14-AD11)/3,"")))</f>
        <v>109.9</v>
      </c>
      <c r="AE12" s="19">
        <f>IF(ISNUMBER(RU_Raw!AE12),RU_Raw!AE12,IF(ISNUMBER(RU_Raw!AE13),(AE11+RU_Raw!AE13)/2,IF(ISNUMBER(RU_Raw!AE14),AE11+(RU_Raw!AE14-AE11)/3,"")))</f>
        <v>105.4</v>
      </c>
      <c r="AF12" s="19">
        <f>IF(ISNUMBER(RU_Raw!AF12),RU_Raw!AF12,IF(ISNUMBER(RU_Raw!AF13),(AF11+RU_Raw!AF13)/2,IF(ISNUMBER(RU_Raw!AF14),AF11+(RU_Raw!AF14-AF11)/3,"")))</f>
        <v>107.9</v>
      </c>
      <c r="AG12" s="19">
        <f>IF(ISNUMBER(RU_Raw!AG12),RU_Raw!AG12,IF(ISNUMBER(RU_Raw!AG13),(AG11+RU_Raw!AG13)/2,IF(ISNUMBER(RU_Raw!AG14),AG11+(RU_Raw!AG14-AG11)/3,"")))</f>
        <v>112.4</v>
      </c>
      <c r="AH12" s="19">
        <f t="shared" si="1"/>
        <v>1360.8</v>
      </c>
    </row>
    <row r="13" spans="1:34">
      <c r="A13" s="6">
        <f>RU_Raw!A13</f>
        <v>2013</v>
      </c>
      <c r="B13" s="6">
        <f>RU_Raw!B13</f>
        <v>9</v>
      </c>
      <c r="C13" s="6" t="str">
        <f>RU_Raw!C13</f>
        <v>September</v>
      </c>
      <c r="D13" s="9">
        <f>RU_Raw!D13</f>
        <v>41518</v>
      </c>
      <c r="E13" s="6">
        <f>COUNTBLANK(RU_Raw!G13:AG13)</f>
        <v>0</v>
      </c>
      <c r="F13" s="6" t="str">
        <f t="shared" si="0"/>
        <v/>
      </c>
      <c r="G13" s="19">
        <f>IF(ISNUMBER(RU_Raw!G13),RU_Raw!G13,IF(ISNUMBER(RU_Raw!G14),(G12+RU_Raw!G14)/2,IF(ISNUMBER(RU_Raw!G15),G12+(RU_Raw!G15-G12)/3,"")))</f>
        <v>116.4</v>
      </c>
      <c r="H13" s="19">
        <f>IF(ISNUMBER(RU_Raw!H13),RU_Raw!H13,IF(ISNUMBER(RU_Raw!H14),(H12+RU_Raw!H14)/2,IF(ISNUMBER(RU_Raw!H15),H12+(RU_Raw!H15-H12)/3,"")))</f>
        <v>116.9</v>
      </c>
      <c r="I13" s="19">
        <f>IF(ISNUMBER(RU_Raw!I13),RU_Raw!I13,IF(ISNUMBER(RU_Raw!I14),(I12+RU_Raw!I14)/2,IF(ISNUMBER(RU_Raw!I15),I12+(RU_Raw!I15-I12)/3,"")))</f>
        <v>112.3</v>
      </c>
      <c r="J13" s="19">
        <f>IF(ISNUMBER(RU_Raw!J13),RU_Raw!J13,IF(ISNUMBER(RU_Raw!J14),(J12+RU_Raw!J14)/2,IF(ISNUMBER(RU_Raw!J15),J12+(RU_Raw!J15-J12)/3,"")))</f>
        <v>110.5</v>
      </c>
      <c r="K13" s="19">
        <f>IF(ISNUMBER(RU_Raw!K13),RU_Raw!K13,IF(ISNUMBER(RU_Raw!K14),(K12+RU_Raw!K14)/2,IF(ISNUMBER(RU_Raw!K15),K12+(RU_Raw!K15-K12)/3,"")))</f>
        <v>105.3</v>
      </c>
      <c r="L13" s="19">
        <f>IF(ISNUMBER(RU_Raw!L13),RU_Raw!L13,IF(ISNUMBER(RU_Raw!L14),(L12+RU_Raw!L14)/2,IF(ISNUMBER(RU_Raw!L15),L12+(RU_Raw!L15-L12)/3,"")))</f>
        <v>107.3</v>
      </c>
      <c r="M13" s="19">
        <f>IF(ISNUMBER(RU_Raw!M13),RU_Raw!M13,IF(ISNUMBER(RU_Raw!M14),(M12+RU_Raw!M14)/2,IF(ISNUMBER(RU_Raw!M15),M12+(RU_Raw!M15-M12)/3,"")))</f>
        <v>160.9</v>
      </c>
      <c r="N13" s="19">
        <f>IF(ISNUMBER(RU_Raw!N13),RU_Raw!N13,IF(ISNUMBER(RU_Raw!N14),(N12+RU_Raw!N14)/2,IF(ISNUMBER(RU_Raw!N15),N12+(RU_Raw!N15-N12)/3,"")))</f>
        <v>107.1</v>
      </c>
      <c r="O13" s="19">
        <f>IF(ISNUMBER(RU_Raw!O13),RU_Raw!O13,IF(ISNUMBER(RU_Raw!O14),(O12+RU_Raw!O14)/2,IF(ISNUMBER(RU_Raw!O15),O12+(RU_Raw!O15-O12)/3,"")))</f>
        <v>103.1</v>
      </c>
      <c r="P13" s="19">
        <f>IF(ISNUMBER(RU_Raw!P13),RU_Raw!P13,IF(ISNUMBER(RU_Raw!P14),(P12+RU_Raw!P14)/2,IF(ISNUMBER(RU_Raw!P15),P12+(RU_Raw!P15-P12)/3,"")))</f>
        <v>108.3</v>
      </c>
      <c r="Q13" s="19">
        <f>IF(ISNUMBER(RU_Raw!Q13),RU_Raw!Q13,IF(ISNUMBER(RU_Raw!Q14),(Q12+RU_Raw!Q14)/2,IF(ISNUMBER(RU_Raw!Q15),Q12+(RU_Raw!Q15-Q12)/3,"")))</f>
        <v>110.7</v>
      </c>
      <c r="R13" s="19">
        <f>IF(ISNUMBER(RU_Raw!R13),RU_Raw!R13,IF(ISNUMBER(RU_Raw!R14),(R12+RU_Raw!R14)/2,IF(ISNUMBER(RU_Raw!R15),R12+(RU_Raw!R15-R12)/3,"")))</f>
        <v>114.6</v>
      </c>
      <c r="S13" s="19">
        <f>IF(ISNUMBER(RU_Raw!S13),RU_Raw!S13,IF(ISNUMBER(RU_Raw!S14),(S12+RU_Raw!S14)/2,IF(ISNUMBER(RU_Raw!S15),S12+(RU_Raw!S15-S12)/3,"")))</f>
        <v>118.3</v>
      </c>
      <c r="T13" s="19">
        <f>IF(ISNUMBER(RU_Raw!T13),RU_Raw!T13,IF(ISNUMBER(RU_Raw!T14),(T12+RU_Raw!T14)/2,IF(ISNUMBER(RU_Raw!T15),T12+(RU_Raw!T15-T12)/3,"")))</f>
        <v>112</v>
      </c>
      <c r="U13" s="19">
        <f>IF(ISNUMBER(RU_Raw!U13),RU_Raw!U13,IF(ISNUMBER(RU_Raw!U14),(U12+RU_Raw!U14)/2,IF(ISNUMBER(RU_Raw!U15),U12+(RU_Raw!U15-U12)/3,"")))</f>
        <v>112.2</v>
      </c>
      <c r="V13" s="19">
        <f>IF(ISNUMBER(RU_Raw!V13),RU_Raw!V13,IF(ISNUMBER(RU_Raw!V14),(V12+RU_Raw!V14)/2,IF(ISNUMBER(RU_Raw!V15),V12+(RU_Raw!V15-V12)/3,"")))</f>
        <v>110.4</v>
      </c>
      <c r="W13" s="19">
        <f>IF(ISNUMBER(RU_Raw!W13),RU_Raw!W13,IF(ISNUMBER(RU_Raw!W14),(W12+RU_Raw!W14)/2,IF(ISNUMBER(RU_Raw!W15),W12+(RU_Raw!W15-W12)/3,"")))</f>
        <v>111.9</v>
      </c>
      <c r="X13" s="19">
        <f>IF(ISNUMBER(RU_Raw!X13),RU_Raw!X13,IF(ISNUMBER(RU_Raw!X14),(X12+RU_Raw!X14)/2,IF(ISNUMBER(RU_Raw!X15),X12+(RU_Raw!X15-X12)/3,"")))</f>
        <v>109.7</v>
      </c>
      <c r="Y13" s="19">
        <f>IF(ISNUMBER(RU_Raw!Y13),RU_Raw!Y13,IF(ISNUMBER(RU_Raw!Y14),(Y12+RU_Raw!Y14)/2,IF(ISNUMBER(RU_Raw!Y15),Y12+(RU_Raw!Y15-Y12)/3,"")))</f>
        <v>110.5</v>
      </c>
      <c r="Z13" s="19">
        <f>IF(ISNUMBER(RU_Raw!Z13),RU_Raw!Z13,IF(ISNUMBER(RU_Raw!Z14),(Z12+RU_Raw!Z14)/2,IF(ISNUMBER(RU_Raw!Z15),Z12+(RU_Raw!Z15-Z12)/3,"")))</f>
        <v>109.6</v>
      </c>
      <c r="AA13" s="19">
        <f>IF(ISNUMBER(RU_Raw!AA13),RU_Raw!AA13,IF(ISNUMBER(RU_Raw!AA14),(AA12+RU_Raw!AA14)/2,IF(ISNUMBER(RU_Raw!AA15),AA12+(RU_Raw!AA15-AA12)/3,"")))</f>
        <v>108.1</v>
      </c>
      <c r="AB13" s="19">
        <f>IF(ISNUMBER(RU_Raw!AB13),RU_Raw!AB13,IF(ISNUMBER(RU_Raw!AB14),(AB12+RU_Raw!AB14)/2,IF(ISNUMBER(RU_Raw!AB15),AB12+(RU_Raw!AB15-AB12)/3,"")))</f>
        <v>109.9</v>
      </c>
      <c r="AC13" s="19">
        <f>IF(ISNUMBER(RU_Raw!AC13),RU_Raw!AC13,IF(ISNUMBER(RU_Raw!AC14),(AC12+RU_Raw!AC14)/2,IF(ISNUMBER(RU_Raw!AC15),AC12+(RU_Raw!AC15-AC12)/3,"")))</f>
        <v>107.5</v>
      </c>
      <c r="AD13" s="19">
        <f>IF(ISNUMBER(RU_Raw!AD13),RU_Raw!AD13,IF(ISNUMBER(RU_Raw!AD14),(AD12+RU_Raw!AD14)/2,IF(ISNUMBER(RU_Raw!AD15),AD12+(RU_Raw!AD15-AD12)/3,"")))</f>
        <v>110.6</v>
      </c>
      <c r="AE13" s="19">
        <f>IF(ISNUMBER(RU_Raw!AE13),RU_Raw!AE13,IF(ISNUMBER(RU_Raw!AE14),(AE12+RU_Raw!AE14)/2,IF(ISNUMBER(RU_Raw!AE15),AE12+(RU_Raw!AE15-AE12)/3,"")))</f>
        <v>106.8</v>
      </c>
      <c r="AF13" s="19">
        <f>IF(ISNUMBER(RU_Raw!AF13),RU_Raw!AF13,IF(ISNUMBER(RU_Raw!AF14),(AF12+RU_Raw!AF14)/2,IF(ISNUMBER(RU_Raw!AF15),AF12+(RU_Raw!AF15-AF12)/3,"")))</f>
        <v>109</v>
      </c>
      <c r="AG13" s="19">
        <f>IF(ISNUMBER(RU_Raw!AG13),RU_Raw!AG13,IF(ISNUMBER(RU_Raw!AG14),(AG12+RU_Raw!AG14)/2,IF(ISNUMBER(RU_Raw!AG15),AG12+(RU_Raw!AG15-AG12)/3,"")))</f>
        <v>113.7</v>
      </c>
      <c r="AH13" s="19">
        <f t="shared" si="1"/>
        <v>1373.4</v>
      </c>
    </row>
    <row r="14" spans="1:34">
      <c r="A14" s="6">
        <f>RU_Raw!A14</f>
        <v>2013</v>
      </c>
      <c r="B14" s="6">
        <f>RU_Raw!B14</f>
        <v>10</v>
      </c>
      <c r="C14" s="6" t="str">
        <f>RU_Raw!C14</f>
        <v>October</v>
      </c>
      <c r="D14" s="9">
        <f>RU_Raw!D14</f>
        <v>41548</v>
      </c>
      <c r="E14" s="6">
        <f>COUNTBLANK(RU_Raw!G14:AG14)</f>
        <v>0</v>
      </c>
      <c r="F14" s="6" t="str">
        <f t="shared" si="0"/>
        <v/>
      </c>
      <c r="G14" s="19">
        <f>IF(ISNUMBER(RU_Raw!G14),RU_Raw!G14,IF(ISNUMBER(RU_Raw!G15),(G13+RU_Raw!G15)/2,IF(ISNUMBER(RU_Raw!G16),G13+(RU_Raw!G16-G13)/3,"")))</f>
        <v>117.1</v>
      </c>
      <c r="H14" s="19">
        <f>IF(ISNUMBER(RU_Raw!H14),RU_Raw!H14,IF(ISNUMBER(RU_Raw!H15),(H13+RU_Raw!H15)/2,IF(ISNUMBER(RU_Raw!H16),H13+(RU_Raw!H16-H13)/3,"")))</f>
        <v>116.3</v>
      </c>
      <c r="I14" s="19">
        <f>IF(ISNUMBER(RU_Raw!I14),RU_Raw!I14,IF(ISNUMBER(RU_Raw!I15),(I13+RU_Raw!I15)/2,IF(ISNUMBER(RU_Raw!I16),I13+(RU_Raw!I16-I13)/3,"")))</f>
        <v>113.3</v>
      </c>
      <c r="J14" s="19">
        <f>IF(ISNUMBER(RU_Raw!J14),RU_Raw!J14,IF(ISNUMBER(RU_Raw!J15),(J13+RU_Raw!J15)/2,IF(ISNUMBER(RU_Raw!J16),J13+(RU_Raw!J16-J13)/3,"")))</f>
        <v>111.2</v>
      </c>
      <c r="K14" s="19">
        <f>IF(ISNUMBER(RU_Raw!K14),RU_Raw!K14,IF(ISNUMBER(RU_Raw!K15),(K13+RU_Raw!K15)/2,IF(ISNUMBER(RU_Raw!K16),K13+(RU_Raw!K16-K13)/3,"")))</f>
        <v>105.7</v>
      </c>
      <c r="L14" s="19">
        <f>IF(ISNUMBER(RU_Raw!L14),RU_Raw!L14,IF(ISNUMBER(RU_Raw!L15),(L13+RU_Raw!L15)/2,IF(ISNUMBER(RU_Raw!L16),L13+(RU_Raw!L16-L13)/3,"")))</f>
        <v>109.9</v>
      </c>
      <c r="M14" s="19">
        <f>IF(ISNUMBER(RU_Raw!M14),RU_Raw!M14,IF(ISNUMBER(RU_Raw!M15),(M13+RU_Raw!M15)/2,IF(ISNUMBER(RU_Raw!M16),M13+(RU_Raw!M16-M13)/3,"")))</f>
        <v>171.2</v>
      </c>
      <c r="N14" s="19">
        <f>IF(ISNUMBER(RU_Raw!N14),RU_Raw!N14,IF(ISNUMBER(RU_Raw!N15),(N13+RU_Raw!N15)/2,IF(ISNUMBER(RU_Raw!N16),N13+(RU_Raw!N16-N13)/3,"")))</f>
        <v>107.3</v>
      </c>
      <c r="O14" s="19">
        <f>IF(ISNUMBER(RU_Raw!O14),RU_Raw!O14,IF(ISNUMBER(RU_Raw!O15),(O13+RU_Raw!O15)/2,IF(ISNUMBER(RU_Raw!O16),O13+(RU_Raw!O16-O13)/3,"")))</f>
        <v>102.7</v>
      </c>
      <c r="P14" s="19">
        <f>IF(ISNUMBER(RU_Raw!P14),RU_Raw!P14,IF(ISNUMBER(RU_Raw!P15),(P13+RU_Raw!P15)/2,IF(ISNUMBER(RU_Raw!P16),P13+(RU_Raw!P16-P13)/3,"")))</f>
        <v>108.7</v>
      </c>
      <c r="Q14" s="19">
        <f>IF(ISNUMBER(RU_Raw!Q14),RU_Raw!Q14,IF(ISNUMBER(RU_Raw!Q15),(Q13+RU_Raw!Q15)/2,IF(ISNUMBER(RU_Raw!Q16),Q13+(RU_Raw!Q16-Q13)/3,"")))</f>
        <v>111.2</v>
      </c>
      <c r="R14" s="19">
        <f>IF(ISNUMBER(RU_Raw!R14),RU_Raw!R14,IF(ISNUMBER(RU_Raw!R15),(R13+RU_Raw!R15)/2,IF(ISNUMBER(RU_Raw!R16),R13+(RU_Raw!R16-R13)/3,"")))</f>
        <v>115.4</v>
      </c>
      <c r="S14" s="19">
        <f>IF(ISNUMBER(RU_Raw!S14),RU_Raw!S14,IF(ISNUMBER(RU_Raw!S15),(S13+RU_Raw!S15)/2,IF(ISNUMBER(RU_Raw!S16),S13+(RU_Raw!S16-S13)/3,"")))</f>
        <v>120.2</v>
      </c>
      <c r="T14" s="19">
        <f>IF(ISNUMBER(RU_Raw!T14),RU_Raw!T14,IF(ISNUMBER(RU_Raw!T15),(T13+RU_Raw!T15)/2,IF(ISNUMBER(RU_Raw!T16),T13+(RU_Raw!T16-T13)/3,"")))</f>
        <v>112.5</v>
      </c>
      <c r="U14" s="19">
        <f>IF(ISNUMBER(RU_Raw!U14),RU_Raw!U14,IF(ISNUMBER(RU_Raw!U15),(U13+RU_Raw!U15)/2,IF(ISNUMBER(RU_Raw!U16),U13+(RU_Raw!U16-U13)/3,"")))</f>
        <v>113.2</v>
      </c>
      <c r="V14" s="19">
        <f>IF(ISNUMBER(RU_Raw!V14),RU_Raw!V14,IF(ISNUMBER(RU_Raw!V15),(V13+RU_Raw!V15)/2,IF(ISNUMBER(RU_Raw!V16),V13+(RU_Raw!V16-V13)/3,"")))</f>
        <v>111.2</v>
      </c>
      <c r="W14" s="19">
        <f>IF(ISNUMBER(RU_Raw!W14),RU_Raw!W14,IF(ISNUMBER(RU_Raw!W15),(W13+RU_Raw!W15)/2,IF(ISNUMBER(RU_Raw!W16),W13+(RU_Raw!W16-W13)/3,"")))</f>
        <v>112.8</v>
      </c>
      <c r="X14" s="19">
        <f>IF(ISNUMBER(RU_Raw!X14),RU_Raw!X14,IF(ISNUMBER(RU_Raw!X15),(X13+RU_Raw!X15)/2,IF(ISNUMBER(RU_Raw!X16),X13+(RU_Raw!X16-X13)/3,"")))</f>
        <v>110.5</v>
      </c>
      <c r="Y14" s="19">
        <f>IF(ISNUMBER(RU_Raw!Y14),RU_Raw!Y14,IF(ISNUMBER(RU_Raw!Y15),(Y13+RU_Raw!Y15)/2,IF(ISNUMBER(RU_Raw!Y16),Y13+(RU_Raw!Y16-Y13)/3,"")))</f>
        <v>110.9</v>
      </c>
      <c r="Z14" s="19">
        <f>IF(ISNUMBER(RU_Raw!Z14),RU_Raw!Z14,IF(ISNUMBER(RU_Raw!Z15),(Z13+RU_Raw!Z15)/2,IF(ISNUMBER(RU_Raw!Z16),Z13+(RU_Raw!Z16-Z13)/3,"")))</f>
        <v>110.3</v>
      </c>
      <c r="AA14" s="19">
        <f>IF(ISNUMBER(RU_Raw!AA14),RU_Raw!AA14,IF(ISNUMBER(RU_Raw!AA15),(AA13+RU_Raw!AA15)/2,IF(ISNUMBER(RU_Raw!AA16),AA13+(RU_Raw!AA16-AA13)/3,"")))</f>
        <v>108.6</v>
      </c>
      <c r="AB14" s="19">
        <f>IF(ISNUMBER(RU_Raw!AB14),RU_Raw!AB14,IF(ISNUMBER(RU_Raw!AB15),(AB13+RU_Raw!AB15)/2,IF(ISNUMBER(RU_Raw!AB16),AB13+(RU_Raw!AB16-AB13)/3,"")))</f>
        <v>109.5</v>
      </c>
      <c r="AC14" s="19">
        <f>IF(ISNUMBER(RU_Raw!AC14),RU_Raw!AC14,IF(ISNUMBER(RU_Raw!AC15),(AC13+RU_Raw!AC15)/2,IF(ISNUMBER(RU_Raw!AC16),AC13+(RU_Raw!AC16-AC13)/3,"")))</f>
        <v>108.1</v>
      </c>
      <c r="AD14" s="19">
        <f>IF(ISNUMBER(RU_Raw!AD14),RU_Raw!AD14,IF(ISNUMBER(RU_Raw!AD15),(AD13+RU_Raw!AD15)/2,IF(ISNUMBER(RU_Raw!AD16),AD13+(RU_Raw!AD16-AD13)/3,"")))</f>
        <v>110.8</v>
      </c>
      <c r="AE14" s="19">
        <f>IF(ISNUMBER(RU_Raw!AE14),RU_Raw!AE14,IF(ISNUMBER(RU_Raw!AE15),(AE13+RU_Raw!AE15)/2,IF(ISNUMBER(RU_Raw!AE16),AE13+(RU_Raw!AE16-AE13)/3,"")))</f>
        <v>107.4</v>
      </c>
      <c r="AF14" s="19">
        <f>IF(ISNUMBER(RU_Raw!AF14),RU_Raw!AF14,IF(ISNUMBER(RU_Raw!AF15),(AF13+RU_Raw!AF15)/2,IF(ISNUMBER(RU_Raw!AF16),AF13+(RU_Raw!AF16-AF13)/3,"")))</f>
        <v>109.2</v>
      </c>
      <c r="AG14" s="19">
        <f>IF(ISNUMBER(RU_Raw!AG14),RU_Raw!AG14,IF(ISNUMBER(RU_Raw!AG15),(AG13+RU_Raw!AG15)/2,IF(ISNUMBER(RU_Raw!AG16),AG13+(RU_Raw!AG16-AG13)/3,"")))</f>
        <v>114.8</v>
      </c>
      <c r="AH14" s="19">
        <f t="shared" si="1"/>
        <v>1390</v>
      </c>
    </row>
    <row r="15" spans="1:34">
      <c r="A15" s="6">
        <f>RU_Raw!A15</f>
        <v>2013</v>
      </c>
      <c r="B15" s="6">
        <f>RU_Raw!B15</f>
        <v>11</v>
      </c>
      <c r="C15" s="6" t="str">
        <f>RU_Raw!C15</f>
        <v>November</v>
      </c>
      <c r="D15" s="9">
        <f>RU_Raw!D15</f>
        <v>41579</v>
      </c>
      <c r="E15" s="6">
        <f>COUNTBLANK(RU_Raw!G15:AG15)</f>
        <v>0</v>
      </c>
      <c r="F15" s="6" t="str">
        <f t="shared" si="0"/>
        <v/>
      </c>
      <c r="G15" s="19">
        <f>IF(ISNUMBER(RU_Raw!G15),RU_Raw!G15,IF(ISNUMBER(RU_Raw!G16),(G14+RU_Raw!G16)/2,IF(ISNUMBER(RU_Raw!G17),G14+(RU_Raw!G17-G14)/3,"")))</f>
        <v>118.1</v>
      </c>
      <c r="H15" s="19">
        <f>IF(ISNUMBER(RU_Raw!H15),RU_Raw!H15,IF(ISNUMBER(RU_Raw!H16),(H14+RU_Raw!H16)/2,IF(ISNUMBER(RU_Raw!H17),H14+(RU_Raw!H17-H14)/3,"")))</f>
        <v>115.4</v>
      </c>
      <c r="I15" s="19">
        <f>IF(ISNUMBER(RU_Raw!I15),RU_Raw!I15,IF(ISNUMBER(RU_Raw!I16),(I14+RU_Raw!I16)/2,IF(ISNUMBER(RU_Raw!I17),I14+(RU_Raw!I17-I14)/3,"")))</f>
        <v>118.7</v>
      </c>
      <c r="J15" s="19">
        <f>IF(ISNUMBER(RU_Raw!J15),RU_Raw!J15,IF(ISNUMBER(RU_Raw!J16),(J14+RU_Raw!J16)/2,IF(ISNUMBER(RU_Raw!J17),J14+(RU_Raw!J17-J14)/3,"")))</f>
        <v>112.5</v>
      </c>
      <c r="K15" s="19">
        <f>IF(ISNUMBER(RU_Raw!K15),RU_Raw!K15,IF(ISNUMBER(RU_Raw!K16),(K14+RU_Raw!K16)/2,IF(ISNUMBER(RU_Raw!K17),K14+(RU_Raw!K17-K14)/3,"")))</f>
        <v>106.8</v>
      </c>
      <c r="L15" s="19">
        <f>IF(ISNUMBER(RU_Raw!L15),RU_Raw!L15,IF(ISNUMBER(RU_Raw!L16),(L14+RU_Raw!L16)/2,IF(ISNUMBER(RU_Raw!L17),L14+(RU_Raw!L17-L14)/3,"")))</f>
        <v>113.5</v>
      </c>
      <c r="M15" s="19">
        <f>IF(ISNUMBER(RU_Raw!M15),RU_Raw!M15,IF(ISNUMBER(RU_Raw!M16),(M14+RU_Raw!M16)/2,IF(ISNUMBER(RU_Raw!M17),M14+(RU_Raw!M17-M14)/3,"")))</f>
        <v>183.1</v>
      </c>
      <c r="N15" s="19">
        <f>IF(ISNUMBER(RU_Raw!N15),RU_Raw!N15,IF(ISNUMBER(RU_Raw!N16),(N14+RU_Raw!N16)/2,IF(ISNUMBER(RU_Raw!N17),N14+(RU_Raw!N17-N14)/3,"")))</f>
        <v>108.2</v>
      </c>
      <c r="O15" s="19">
        <f>IF(ISNUMBER(RU_Raw!O15),RU_Raw!O15,IF(ISNUMBER(RU_Raw!O16),(O14+RU_Raw!O16)/2,IF(ISNUMBER(RU_Raw!O17),O14+(RU_Raw!O17-O14)/3,"")))</f>
        <v>102.2</v>
      </c>
      <c r="P15" s="19">
        <f>IF(ISNUMBER(RU_Raw!P15),RU_Raw!P15,IF(ISNUMBER(RU_Raw!P16),(P14+RU_Raw!P16)/2,IF(ISNUMBER(RU_Raw!P17),P14+(RU_Raw!P17-P14)/3,"")))</f>
        <v>109.4</v>
      </c>
      <c r="Q15" s="19">
        <f>IF(ISNUMBER(RU_Raw!Q15),RU_Raw!Q15,IF(ISNUMBER(RU_Raw!Q16),(Q14+RU_Raw!Q16)/2,IF(ISNUMBER(RU_Raw!Q17),Q14+(RU_Raw!Q17-Q14)/3,"")))</f>
        <v>111.8</v>
      </c>
      <c r="R15" s="19">
        <f>IF(ISNUMBER(RU_Raw!R15),RU_Raw!R15,IF(ISNUMBER(RU_Raw!R16),(R14+RU_Raw!R16)/2,IF(ISNUMBER(RU_Raw!R17),R14+(RU_Raw!R17-R14)/3,"")))</f>
        <v>116.5</v>
      </c>
      <c r="S15" s="19">
        <f>IF(ISNUMBER(RU_Raw!S15),RU_Raw!S15,IF(ISNUMBER(RU_Raw!S16),(S14+RU_Raw!S16)/2,IF(ISNUMBER(RU_Raw!S17),S14+(RU_Raw!S17-S14)/3,"")))</f>
        <v>122.6</v>
      </c>
      <c r="T15" s="19">
        <f>IF(ISNUMBER(RU_Raw!T15),RU_Raw!T15,IF(ISNUMBER(RU_Raw!T16),(T14+RU_Raw!T16)/2,IF(ISNUMBER(RU_Raw!T17),T14+(RU_Raw!T17-T14)/3,"")))</f>
        <v>113.1</v>
      </c>
      <c r="U15" s="19">
        <f>IF(ISNUMBER(RU_Raw!U15),RU_Raw!U15,IF(ISNUMBER(RU_Raw!U16),(U14+RU_Raw!U16)/2,IF(ISNUMBER(RU_Raw!U17),U14+(RU_Raw!U17-U14)/3,"")))</f>
        <v>114.2</v>
      </c>
      <c r="V15" s="19">
        <f>IF(ISNUMBER(RU_Raw!V15),RU_Raw!V15,IF(ISNUMBER(RU_Raw!V16),(V14+RU_Raw!V16)/2,IF(ISNUMBER(RU_Raw!V17),V14+(RU_Raw!V17-V14)/3,"")))</f>
        <v>111.9</v>
      </c>
      <c r="W15" s="19">
        <f>IF(ISNUMBER(RU_Raw!W15),RU_Raw!W15,IF(ISNUMBER(RU_Raw!W16),(W14+RU_Raw!W16)/2,IF(ISNUMBER(RU_Raw!W17),W14+(RU_Raw!W17-W14)/3,"")))</f>
        <v>113.8</v>
      </c>
      <c r="X15" s="19">
        <f>IF(ISNUMBER(RU_Raw!X15),RU_Raw!X15,IF(ISNUMBER(RU_Raw!X16),(X14+RU_Raw!X16)/2,IF(ISNUMBER(RU_Raw!X17),X14+(RU_Raw!X17-X14)/3,"")))</f>
        <v>111.1</v>
      </c>
      <c r="Y15" s="19">
        <f>IF(ISNUMBER(RU_Raw!Y15),RU_Raw!Y15,IF(ISNUMBER(RU_Raw!Y16),(Y14+RU_Raw!Y16)/2,IF(ISNUMBER(RU_Raw!Y17),Y14+(RU_Raw!Y17-Y14)/3,"")))</f>
        <v>111.6</v>
      </c>
      <c r="Z15" s="19">
        <f>IF(ISNUMBER(RU_Raw!Z15),RU_Raw!Z15,IF(ISNUMBER(RU_Raw!Z16),(Z14+RU_Raw!Z16)/2,IF(ISNUMBER(RU_Raw!Z17),Z14+(RU_Raw!Z17-Z14)/3,"")))</f>
        <v>111.1</v>
      </c>
      <c r="AA15" s="19">
        <f>IF(ISNUMBER(RU_Raw!AA15),RU_Raw!AA15,IF(ISNUMBER(RU_Raw!AA16),(AA14+RU_Raw!AA16)/2,IF(ISNUMBER(RU_Raw!AA17),AA14+(RU_Raw!AA17-AA14)/3,"")))</f>
        <v>109.3</v>
      </c>
      <c r="AB15" s="19">
        <f>IF(ISNUMBER(RU_Raw!AB15),RU_Raw!AB15,IF(ISNUMBER(RU_Raw!AB16),(AB14+RU_Raw!AB16)/2,IF(ISNUMBER(RU_Raw!AB17),AB14+(RU_Raw!AB17-AB14)/3,"")))</f>
        <v>109.5</v>
      </c>
      <c r="AC15" s="19">
        <f>IF(ISNUMBER(RU_Raw!AC15),RU_Raw!AC15,IF(ISNUMBER(RU_Raw!AC16),(AC14+RU_Raw!AC16)/2,IF(ISNUMBER(RU_Raw!AC17),AC14+(RU_Raw!AC17-AC14)/3,"")))</f>
        <v>108.6</v>
      </c>
      <c r="AD15" s="19">
        <f>IF(ISNUMBER(RU_Raw!AD15),RU_Raw!AD15,IF(ISNUMBER(RU_Raw!AD16),(AD14+RU_Raw!AD16)/2,IF(ISNUMBER(RU_Raw!AD17),AD14+(RU_Raw!AD17-AD14)/3,"")))</f>
        <v>111.2</v>
      </c>
      <c r="AE15" s="19">
        <f>IF(ISNUMBER(RU_Raw!AE15),RU_Raw!AE15,IF(ISNUMBER(RU_Raw!AE16),(AE14+RU_Raw!AE16)/2,IF(ISNUMBER(RU_Raw!AE17),AE14+(RU_Raw!AE17-AE14)/3,"")))</f>
        <v>108.1</v>
      </c>
      <c r="AF15" s="19">
        <f>IF(ISNUMBER(RU_Raw!AF15),RU_Raw!AF15,IF(ISNUMBER(RU_Raw!AF16),(AF14+RU_Raw!AF16)/2,IF(ISNUMBER(RU_Raw!AF17),AF14+(RU_Raw!AF17-AF14)/3,"")))</f>
        <v>109.7</v>
      </c>
      <c r="AG15" s="19">
        <f>IF(ISNUMBER(RU_Raw!AG15),RU_Raw!AG15,IF(ISNUMBER(RU_Raw!AG16),(AG14+RU_Raw!AG16)/2,IF(ISNUMBER(RU_Raw!AG17),AG14+(RU_Raw!AG17-AG14)/3,"")))</f>
        <v>116.3</v>
      </c>
      <c r="AH15" s="19">
        <f t="shared" si="1"/>
        <v>1416.2</v>
      </c>
    </row>
    <row r="16" spans="1:34">
      <c r="A16" s="6">
        <f>RU_Raw!A16</f>
        <v>2013</v>
      </c>
      <c r="B16" s="6">
        <f>RU_Raw!B16</f>
        <v>12</v>
      </c>
      <c r="C16" s="6" t="str">
        <f>RU_Raw!C16</f>
        <v>December</v>
      </c>
      <c r="D16" s="9">
        <f>RU_Raw!D16</f>
        <v>41609</v>
      </c>
      <c r="E16" s="6">
        <f>COUNTBLANK(RU_Raw!G16:AG16)</f>
        <v>0</v>
      </c>
      <c r="F16" s="6" t="str">
        <f t="shared" si="0"/>
        <v/>
      </c>
      <c r="G16" s="19">
        <f>IF(ISNUMBER(RU_Raw!G16),RU_Raw!G16,IF(ISNUMBER(RU_Raw!G17),(G15+RU_Raw!G17)/2,IF(ISNUMBER(RU_Raw!G18),G15+(RU_Raw!G18-G15)/3,"")))</f>
        <v>119.1</v>
      </c>
      <c r="H16" s="19">
        <f>IF(ISNUMBER(RU_Raw!H16),RU_Raw!H16,IF(ISNUMBER(RU_Raw!H17),(H15+RU_Raw!H17)/2,IF(ISNUMBER(RU_Raw!H18),H15+(RU_Raw!H18-H15)/3,"")))</f>
        <v>116.7</v>
      </c>
      <c r="I16" s="19">
        <f>IF(ISNUMBER(RU_Raw!I16),RU_Raw!I16,IF(ISNUMBER(RU_Raw!I17),(I15+RU_Raw!I17)/2,IF(ISNUMBER(RU_Raw!I18),I15+(RU_Raw!I18-I15)/3,"")))</f>
        <v>123.5</v>
      </c>
      <c r="J16" s="19">
        <f>IF(ISNUMBER(RU_Raw!J16),RU_Raw!J16,IF(ISNUMBER(RU_Raw!J17),(J15+RU_Raw!J17)/2,IF(ISNUMBER(RU_Raw!J18),J15+(RU_Raw!J18-J15)/3,"")))</f>
        <v>113.4</v>
      </c>
      <c r="K16" s="19">
        <f>IF(ISNUMBER(RU_Raw!K16),RU_Raw!K16,IF(ISNUMBER(RU_Raw!K17),(K15+RU_Raw!K17)/2,IF(ISNUMBER(RU_Raw!K18),K15+(RU_Raw!K18-K15)/3,"")))</f>
        <v>107.3</v>
      </c>
      <c r="L16" s="19">
        <f>IF(ISNUMBER(RU_Raw!L16),RU_Raw!L16,IF(ISNUMBER(RU_Raw!L17),(L15+RU_Raw!L17)/2,IF(ISNUMBER(RU_Raw!L18),L15+(RU_Raw!L18-L15)/3,"")))</f>
        <v>113.3</v>
      </c>
      <c r="M16" s="19">
        <f>IF(ISNUMBER(RU_Raw!M16),RU_Raw!M16,IF(ISNUMBER(RU_Raw!M17),(M15+RU_Raw!M17)/2,IF(ISNUMBER(RU_Raw!M18),M15+(RU_Raw!M18-M15)/3,"")))</f>
        <v>145.4</v>
      </c>
      <c r="N16" s="19">
        <f>IF(ISNUMBER(RU_Raw!N16),RU_Raw!N16,IF(ISNUMBER(RU_Raw!N17),(N15+RU_Raw!N17)/2,IF(ISNUMBER(RU_Raw!N18),N15+(RU_Raw!N18-N15)/3,"")))</f>
        <v>108.7</v>
      </c>
      <c r="O16" s="19">
        <f>IF(ISNUMBER(RU_Raw!O16),RU_Raw!O16,IF(ISNUMBER(RU_Raw!O17),(O15+RU_Raw!O17)/2,IF(ISNUMBER(RU_Raw!O18),O15+(RU_Raw!O18-O15)/3,"")))</f>
        <v>101.5</v>
      </c>
      <c r="P16" s="19">
        <f>IF(ISNUMBER(RU_Raw!P16),RU_Raw!P16,IF(ISNUMBER(RU_Raw!P17),(P15+RU_Raw!P17)/2,IF(ISNUMBER(RU_Raw!P18),P15+(RU_Raw!P18-P15)/3,"")))</f>
        <v>110.5</v>
      </c>
      <c r="Q16" s="19">
        <f>IF(ISNUMBER(RU_Raw!Q16),RU_Raw!Q16,IF(ISNUMBER(RU_Raw!Q17),(Q15+RU_Raw!Q17)/2,IF(ISNUMBER(RU_Raw!Q18),Q15+(RU_Raw!Q18-Q15)/3,"")))</f>
        <v>112.1</v>
      </c>
      <c r="R16" s="19">
        <f>IF(ISNUMBER(RU_Raw!R16),RU_Raw!R16,IF(ISNUMBER(RU_Raw!R17),(R15+RU_Raw!R17)/2,IF(ISNUMBER(RU_Raw!R18),R15+(RU_Raw!R18-R15)/3,"")))</f>
        <v>117.4</v>
      </c>
      <c r="S16" s="19">
        <f>IF(ISNUMBER(RU_Raw!S16),RU_Raw!S16,IF(ISNUMBER(RU_Raw!S17),(S15+RU_Raw!S17)/2,IF(ISNUMBER(RU_Raw!S18),S15+(RU_Raw!S18-S15)/3,"")))</f>
        <v>118.4</v>
      </c>
      <c r="T16" s="19">
        <f>IF(ISNUMBER(RU_Raw!T16),RU_Raw!T16,IF(ISNUMBER(RU_Raw!T17),(T15+RU_Raw!T17)/2,IF(ISNUMBER(RU_Raw!T18),T15+(RU_Raw!T18-T15)/3,"")))</f>
        <v>114</v>
      </c>
      <c r="U16" s="19">
        <f>IF(ISNUMBER(RU_Raw!U16),RU_Raw!U16,IF(ISNUMBER(RU_Raw!U17),(U15+RU_Raw!U17)/2,IF(ISNUMBER(RU_Raw!U18),U15+(RU_Raw!U18-U15)/3,"")))</f>
        <v>115.2</v>
      </c>
      <c r="V16" s="19">
        <f>IF(ISNUMBER(RU_Raw!V16),RU_Raw!V16,IF(ISNUMBER(RU_Raw!V17),(V15+RU_Raw!V17)/2,IF(ISNUMBER(RU_Raw!V18),V15+(RU_Raw!V18-V15)/3,"")))</f>
        <v>112.7</v>
      </c>
      <c r="W16" s="19">
        <f>IF(ISNUMBER(RU_Raw!W16),RU_Raw!W16,IF(ISNUMBER(RU_Raw!W17),(W15+RU_Raw!W17)/2,IF(ISNUMBER(RU_Raw!W18),W15+(RU_Raw!W18-W15)/3,"")))</f>
        <v>114.8</v>
      </c>
      <c r="X16" s="19">
        <f>IF(ISNUMBER(RU_Raw!X16),RU_Raw!X16,IF(ISNUMBER(RU_Raw!X17),(X15+RU_Raw!X17)/2,IF(ISNUMBER(RU_Raw!X18),X15+(RU_Raw!X18-X15)/3,"")))</f>
        <v>110.7</v>
      </c>
      <c r="Y16" s="19">
        <f>IF(ISNUMBER(RU_Raw!Y16),RU_Raw!Y16,IF(ISNUMBER(RU_Raw!Y17),(Y15+RU_Raw!Y17)/2,IF(ISNUMBER(RU_Raw!Y18),Y15+(RU_Raw!Y18-Y15)/3,"")))</f>
        <v>111.9</v>
      </c>
      <c r="Z16" s="19">
        <f>IF(ISNUMBER(RU_Raw!Z16),RU_Raw!Z16,IF(ISNUMBER(RU_Raw!Z17),(Z15+RU_Raw!Z17)/2,IF(ISNUMBER(RU_Raw!Z18),Z15+(RU_Raw!Z18-Z15)/3,"")))</f>
        <v>111.7</v>
      </c>
      <c r="AA16" s="19">
        <f>IF(ISNUMBER(RU_Raw!AA16),RU_Raw!AA16,IF(ISNUMBER(RU_Raw!AA17),(AA15+RU_Raw!AA17)/2,IF(ISNUMBER(RU_Raw!AA18),AA15+(RU_Raw!AA18-AA15)/3,"")))</f>
        <v>109.7</v>
      </c>
      <c r="AB16" s="19">
        <f>IF(ISNUMBER(RU_Raw!AB16),RU_Raw!AB16,IF(ISNUMBER(RU_Raw!AB17),(AB15+RU_Raw!AB17)/2,IF(ISNUMBER(RU_Raw!AB18),AB15+(RU_Raw!AB18-AB15)/3,"")))</f>
        <v>109.8</v>
      </c>
      <c r="AC16" s="19">
        <f>IF(ISNUMBER(RU_Raw!AC16),RU_Raw!AC16,IF(ISNUMBER(RU_Raw!AC17),(AC15+RU_Raw!AC17)/2,IF(ISNUMBER(RU_Raw!AC18),AC15+(RU_Raw!AC18-AC15)/3,"")))</f>
        <v>109</v>
      </c>
      <c r="AD16" s="19">
        <f>IF(ISNUMBER(RU_Raw!AD16),RU_Raw!AD16,IF(ISNUMBER(RU_Raw!AD17),(AD15+RU_Raw!AD17)/2,IF(ISNUMBER(RU_Raw!AD18),AD15+(RU_Raw!AD18-AD15)/3,"")))</f>
        <v>111.5</v>
      </c>
      <c r="AE16" s="19">
        <f>IF(ISNUMBER(RU_Raw!AE16),RU_Raw!AE16,IF(ISNUMBER(RU_Raw!AE17),(AE15+RU_Raw!AE17)/2,IF(ISNUMBER(RU_Raw!AE18),AE15+(RU_Raw!AE18-AE15)/3,"")))</f>
        <v>107.9</v>
      </c>
      <c r="AF16" s="19">
        <f>IF(ISNUMBER(RU_Raw!AF16),RU_Raw!AF16,IF(ISNUMBER(RU_Raw!AF17),(AF15+RU_Raw!AF17)/2,IF(ISNUMBER(RU_Raw!AF18),AF15+(RU_Raw!AF18-AF15)/3,"")))</f>
        <v>110</v>
      </c>
      <c r="AG16" s="19">
        <f>IF(ISNUMBER(RU_Raw!AG16),RU_Raw!AG16,IF(ISNUMBER(RU_Raw!AG17),(AG15+RU_Raw!AG17)/2,IF(ISNUMBER(RU_Raw!AG18),AG15+(RU_Raw!AG18-AG15)/3,"")))</f>
        <v>114.5</v>
      </c>
      <c r="AH16" s="19">
        <f t="shared" si="1"/>
        <v>1388.9</v>
      </c>
    </row>
    <row r="17" spans="1:34">
      <c r="A17" s="6">
        <f>RU_Raw!A17</f>
        <v>2014</v>
      </c>
      <c r="B17" s="6">
        <f>RU_Raw!B17</f>
        <v>1</v>
      </c>
      <c r="C17" s="6" t="str">
        <f>RU_Raw!C17</f>
        <v>January</v>
      </c>
      <c r="D17" s="9">
        <f>RU_Raw!D17</f>
        <v>41640</v>
      </c>
      <c r="E17" s="6">
        <f>COUNTBLANK(RU_Raw!G17:AG17)</f>
        <v>0</v>
      </c>
      <c r="F17" s="6" t="str">
        <f t="shared" si="0"/>
        <v/>
      </c>
      <c r="G17" s="19">
        <f>IF(ISNUMBER(RU_Raw!G17),RU_Raw!G17,IF(ISNUMBER(RU_Raw!G18),(G16+RU_Raw!G18)/2,IF(ISNUMBER(RU_Raw!G19),G16+(RU_Raw!G19-G16)/3,"")))</f>
        <v>119.6</v>
      </c>
      <c r="H17" s="19">
        <f>IF(ISNUMBER(RU_Raw!H17),RU_Raw!H17,IF(ISNUMBER(RU_Raw!H18),(H16+RU_Raw!H18)/2,IF(ISNUMBER(RU_Raw!H19),H16+(RU_Raw!H19-H16)/3,"")))</f>
        <v>118.8</v>
      </c>
      <c r="I17" s="19">
        <f>IF(ISNUMBER(RU_Raw!I17),RU_Raw!I17,IF(ISNUMBER(RU_Raw!I18),(I16+RU_Raw!I18)/2,IF(ISNUMBER(RU_Raw!I19),I16+(RU_Raw!I19-I16)/3,"")))</f>
        <v>124.1</v>
      </c>
      <c r="J17" s="19">
        <f>IF(ISNUMBER(RU_Raw!J17),RU_Raw!J17,IF(ISNUMBER(RU_Raw!J18),(J16+RU_Raw!J18)/2,IF(ISNUMBER(RU_Raw!J19),J16+(RU_Raw!J19-J16)/3,"")))</f>
        <v>114.1</v>
      </c>
      <c r="K17" s="19">
        <f>IF(ISNUMBER(RU_Raw!K17),RU_Raw!K17,IF(ISNUMBER(RU_Raw!K18),(K16+RU_Raw!K18)/2,IF(ISNUMBER(RU_Raw!K19),K16+(RU_Raw!K19-K16)/3,"")))</f>
        <v>106.8</v>
      </c>
      <c r="L17" s="19">
        <f>IF(ISNUMBER(RU_Raw!L17),RU_Raw!L17,IF(ISNUMBER(RU_Raw!L18),(L16+RU_Raw!L18)/2,IF(ISNUMBER(RU_Raw!L19),L16+(RU_Raw!L19-L16)/3,"")))</f>
        <v>113.9</v>
      </c>
      <c r="M17" s="19">
        <f>IF(ISNUMBER(RU_Raw!M17),RU_Raw!M17,IF(ISNUMBER(RU_Raw!M18),(M16+RU_Raw!M18)/2,IF(ISNUMBER(RU_Raw!M19),M16+(RU_Raw!M19-M16)/3,"")))</f>
        <v>122.2</v>
      </c>
      <c r="N17" s="19">
        <f>IF(ISNUMBER(RU_Raw!N17),RU_Raw!N17,IF(ISNUMBER(RU_Raw!N18),(N16+RU_Raw!N18)/2,IF(ISNUMBER(RU_Raw!N19),N16+(RU_Raw!N19-N16)/3,"")))</f>
        <v>108.9</v>
      </c>
      <c r="O17" s="19">
        <f>IF(ISNUMBER(RU_Raw!O17),RU_Raw!O17,IF(ISNUMBER(RU_Raw!O18),(O16+RU_Raw!O18)/2,IF(ISNUMBER(RU_Raw!O19),O16+(RU_Raw!O19-O16)/3,"")))</f>
        <v>100.2</v>
      </c>
      <c r="P17" s="19">
        <f>IF(ISNUMBER(RU_Raw!P17),RU_Raw!P17,IF(ISNUMBER(RU_Raw!P18),(P16+RU_Raw!P18)/2,IF(ISNUMBER(RU_Raw!P19),P16+(RU_Raw!P19-P16)/3,"")))</f>
        <v>111</v>
      </c>
      <c r="Q17" s="19">
        <f>IF(ISNUMBER(RU_Raw!Q17),RU_Raw!Q17,IF(ISNUMBER(RU_Raw!Q18),(Q16+RU_Raw!Q18)/2,IF(ISNUMBER(RU_Raw!Q19),Q16+(RU_Raw!Q19-Q16)/3,"")))</f>
        <v>112.3</v>
      </c>
      <c r="R17" s="19">
        <f>IF(ISNUMBER(RU_Raw!R17),RU_Raw!R17,IF(ISNUMBER(RU_Raw!R18),(R16+RU_Raw!R18)/2,IF(ISNUMBER(RU_Raw!R19),R16+(RU_Raw!R19-R16)/3,"")))</f>
        <v>118.1</v>
      </c>
      <c r="S17" s="19">
        <f>IF(ISNUMBER(RU_Raw!S17),RU_Raw!S17,IF(ISNUMBER(RU_Raw!S18),(S16+RU_Raw!S18)/2,IF(ISNUMBER(RU_Raw!S19),S16+(RU_Raw!S19-S16)/3,"")))</f>
        <v>115.8</v>
      </c>
      <c r="T17" s="19">
        <f>IF(ISNUMBER(RU_Raw!T17),RU_Raw!T17,IF(ISNUMBER(RU_Raw!T18),(T16+RU_Raw!T18)/2,IF(ISNUMBER(RU_Raw!T19),T16+(RU_Raw!T19-T16)/3,"")))</f>
        <v>114.5</v>
      </c>
      <c r="U17" s="19">
        <f>IF(ISNUMBER(RU_Raw!U17),RU_Raw!U17,IF(ISNUMBER(RU_Raw!U18),(U16+RU_Raw!U18)/2,IF(ISNUMBER(RU_Raw!U19),U16+(RU_Raw!U19-U16)/3,"")))</f>
        <v>115.8</v>
      </c>
      <c r="V17" s="19">
        <f>IF(ISNUMBER(RU_Raw!V17),RU_Raw!V17,IF(ISNUMBER(RU_Raw!V18),(V16+RU_Raw!V18)/2,IF(ISNUMBER(RU_Raw!V19),V16+(RU_Raw!V19-V16)/3,"")))</f>
        <v>113.2</v>
      </c>
      <c r="W17" s="19">
        <f>IF(ISNUMBER(RU_Raw!W17),RU_Raw!W17,IF(ISNUMBER(RU_Raw!W18),(W16+RU_Raw!W18)/2,IF(ISNUMBER(RU_Raw!W19),W16+(RU_Raw!W19-W16)/3,"")))</f>
        <v>115.4</v>
      </c>
      <c r="X17" s="19">
        <f>IF(ISNUMBER(RU_Raw!X17),RU_Raw!X17,IF(ISNUMBER(RU_Raw!X18),(X16+RU_Raw!X18)/2,IF(ISNUMBER(RU_Raw!X19),X16+(RU_Raw!X19-X16)/3,"")))</f>
        <v>111.6</v>
      </c>
      <c r="Y17" s="19">
        <f>IF(ISNUMBER(RU_Raw!Y17),RU_Raw!Y17,IF(ISNUMBER(RU_Raw!Y18),(Y16+RU_Raw!Y18)/2,IF(ISNUMBER(RU_Raw!Y19),Y16+(RU_Raw!Y19-Y16)/3,"")))</f>
        <v>112.2</v>
      </c>
      <c r="Z17" s="19">
        <f>IF(ISNUMBER(RU_Raw!Z17),RU_Raw!Z17,IF(ISNUMBER(RU_Raw!Z18),(Z16+RU_Raw!Z18)/2,IF(ISNUMBER(RU_Raw!Z19),Z16+(RU_Raw!Z19-Z16)/3,"")))</f>
        <v>112.3</v>
      </c>
      <c r="AA17" s="19">
        <f>IF(ISNUMBER(RU_Raw!AA17),RU_Raw!AA17,IF(ISNUMBER(RU_Raw!AA18),(AA16+RU_Raw!AA18)/2,IF(ISNUMBER(RU_Raw!AA19),AA16+(RU_Raw!AA19-AA16)/3,"")))</f>
        <v>110.3</v>
      </c>
      <c r="AB17" s="19">
        <f>IF(ISNUMBER(RU_Raw!AB17),RU_Raw!AB17,IF(ISNUMBER(RU_Raw!AB18),(AB16+RU_Raw!AB18)/2,IF(ISNUMBER(RU_Raw!AB19),AB16+(RU_Raw!AB19-AB16)/3,"")))</f>
        <v>110.7</v>
      </c>
      <c r="AC17" s="19">
        <f>IF(ISNUMBER(RU_Raw!AC17),RU_Raw!AC17,IF(ISNUMBER(RU_Raw!AC18),(AC16+RU_Raw!AC18)/2,IF(ISNUMBER(RU_Raw!AC19),AC16+(RU_Raw!AC19-AC16)/3,"")))</f>
        <v>109.7</v>
      </c>
      <c r="AD17" s="19">
        <f>IF(ISNUMBER(RU_Raw!AD17),RU_Raw!AD17,IF(ISNUMBER(RU_Raw!AD18),(AD16+RU_Raw!AD18)/2,IF(ISNUMBER(RU_Raw!AD19),AD16+(RU_Raw!AD19-AD16)/3,"")))</f>
        <v>111.6</v>
      </c>
      <c r="AE17" s="19">
        <f>IF(ISNUMBER(RU_Raw!AE17),RU_Raw!AE17,IF(ISNUMBER(RU_Raw!AE18),(AE16+RU_Raw!AE18)/2,IF(ISNUMBER(RU_Raw!AE19),AE16+(RU_Raw!AE19-AE16)/3,"")))</f>
        <v>108.2</v>
      </c>
      <c r="AF17" s="19">
        <f>IF(ISNUMBER(RU_Raw!AF17),RU_Raw!AF17,IF(ISNUMBER(RU_Raw!AF18),(AF16+RU_Raw!AF18)/2,IF(ISNUMBER(RU_Raw!AF19),AF16+(RU_Raw!AF19-AF16)/3,"")))</f>
        <v>110.6</v>
      </c>
      <c r="AG17" s="19">
        <f>IF(ISNUMBER(RU_Raw!AG17),RU_Raw!AG17,IF(ISNUMBER(RU_Raw!AG18),(AG16+RU_Raw!AG18)/2,IF(ISNUMBER(RU_Raw!AG19),AG16+(RU_Raw!AG19-AG16)/3,"")))</f>
        <v>113.6</v>
      </c>
      <c r="AH17" s="19">
        <f t="shared" si="1"/>
        <v>1370</v>
      </c>
    </row>
    <row r="18" spans="1:34">
      <c r="A18" s="6">
        <f>RU_Raw!A18</f>
        <v>2014</v>
      </c>
      <c r="B18" s="6">
        <f>RU_Raw!B18</f>
        <v>2</v>
      </c>
      <c r="C18" s="6" t="str">
        <f>RU_Raw!C18</f>
        <v>February</v>
      </c>
      <c r="D18" s="9">
        <f>RU_Raw!D18</f>
        <v>41671</v>
      </c>
      <c r="E18" s="6">
        <f>COUNTBLANK(RU_Raw!G18:AG18)</f>
        <v>0</v>
      </c>
      <c r="F18" s="6" t="str">
        <f t="shared" si="0"/>
        <v/>
      </c>
      <c r="G18" s="19">
        <f>IF(ISNUMBER(RU_Raw!G18),RU_Raw!G18,IF(ISNUMBER(RU_Raw!G19),(G17+RU_Raw!G19)/2,IF(ISNUMBER(RU_Raw!G20),G17+(RU_Raw!G20-G17)/3,"")))</f>
        <v>120.2</v>
      </c>
      <c r="H18" s="19">
        <f>IF(ISNUMBER(RU_Raw!H18),RU_Raw!H18,IF(ISNUMBER(RU_Raw!H19),(H17+RU_Raw!H19)/2,IF(ISNUMBER(RU_Raw!H20),H17+(RU_Raw!H20-H17)/3,"")))</f>
        <v>119.2</v>
      </c>
      <c r="I18" s="19">
        <f>IF(ISNUMBER(RU_Raw!I18),RU_Raw!I18,IF(ISNUMBER(RU_Raw!I19),(I17+RU_Raw!I19)/2,IF(ISNUMBER(RU_Raw!I20),I17+(RU_Raw!I20-I17)/3,"")))</f>
        <v>122.5</v>
      </c>
      <c r="J18" s="19">
        <f>IF(ISNUMBER(RU_Raw!J18),RU_Raw!J18,IF(ISNUMBER(RU_Raw!J19),(J17+RU_Raw!J19)/2,IF(ISNUMBER(RU_Raw!J20),J17+(RU_Raw!J20-J17)/3,"")))</f>
        <v>115.1</v>
      </c>
      <c r="K18" s="19">
        <f>IF(ISNUMBER(RU_Raw!K18),RU_Raw!K18,IF(ISNUMBER(RU_Raw!K19),(K17+RU_Raw!K19)/2,IF(ISNUMBER(RU_Raw!K20),K17+(RU_Raw!K20-K17)/3,"")))</f>
        <v>106.6</v>
      </c>
      <c r="L18" s="19">
        <f>IF(ISNUMBER(RU_Raw!L18),RU_Raw!L18,IF(ISNUMBER(RU_Raw!L19),(L17+RU_Raw!L19)/2,IF(ISNUMBER(RU_Raw!L20),L17+(RU_Raw!L20-L17)/3,"")))</f>
        <v>115.4</v>
      </c>
      <c r="M18" s="19">
        <f>IF(ISNUMBER(RU_Raw!M18),RU_Raw!M18,IF(ISNUMBER(RU_Raw!M19),(M17+RU_Raw!M19)/2,IF(ISNUMBER(RU_Raw!M20),M17+(RU_Raw!M20-M17)/3,"")))</f>
        <v>114.5</v>
      </c>
      <c r="N18" s="19">
        <f>IF(ISNUMBER(RU_Raw!N18),RU_Raw!N18,IF(ISNUMBER(RU_Raw!N19),(N17+RU_Raw!N19)/2,IF(ISNUMBER(RU_Raw!N20),N17+(RU_Raw!N20-N17)/3,"")))</f>
        <v>109.3</v>
      </c>
      <c r="O18" s="19">
        <f>IF(ISNUMBER(RU_Raw!O18),RU_Raw!O18,IF(ISNUMBER(RU_Raw!O19),(O17+RU_Raw!O19)/2,IF(ISNUMBER(RU_Raw!O20),O17+(RU_Raw!O20-O17)/3,"")))</f>
        <v>99.2</v>
      </c>
      <c r="P18" s="19">
        <f>IF(ISNUMBER(RU_Raw!P18),RU_Raw!P18,IF(ISNUMBER(RU_Raw!P19),(P17+RU_Raw!P19)/2,IF(ISNUMBER(RU_Raw!P20),P17+(RU_Raw!P20-P17)/3,"")))</f>
        <v>111.4</v>
      </c>
      <c r="Q18" s="19">
        <f>IF(ISNUMBER(RU_Raw!Q18),RU_Raw!Q18,IF(ISNUMBER(RU_Raw!Q19),(Q17+RU_Raw!Q19)/2,IF(ISNUMBER(RU_Raw!Q20),Q17+(RU_Raw!Q20-Q17)/3,"")))</f>
        <v>112.6</v>
      </c>
      <c r="R18" s="19">
        <f>IF(ISNUMBER(RU_Raw!R18),RU_Raw!R18,IF(ISNUMBER(RU_Raw!R19),(R17+RU_Raw!R19)/2,IF(ISNUMBER(RU_Raw!R20),R17+(RU_Raw!R20-R17)/3,"")))</f>
        <v>118.8</v>
      </c>
      <c r="S18" s="19">
        <f>IF(ISNUMBER(RU_Raw!S18),RU_Raw!S18,IF(ISNUMBER(RU_Raw!S19),(S17+RU_Raw!S19)/2,IF(ISNUMBER(RU_Raw!S20),S17+(RU_Raw!S20-S17)/3,"")))</f>
        <v>115.3</v>
      </c>
      <c r="T18" s="19">
        <f>IF(ISNUMBER(RU_Raw!T18),RU_Raw!T18,IF(ISNUMBER(RU_Raw!T19),(T17+RU_Raw!T19)/2,IF(ISNUMBER(RU_Raw!T20),T17+(RU_Raw!T20-T17)/3,"")))</f>
        <v>114.7</v>
      </c>
      <c r="U18" s="19">
        <f>IF(ISNUMBER(RU_Raw!U18),RU_Raw!U18,IF(ISNUMBER(RU_Raw!U19),(U17+RU_Raw!U19)/2,IF(ISNUMBER(RU_Raw!U20),U17+(RU_Raw!U20-U17)/3,"")))</f>
        <v>116.4</v>
      </c>
      <c r="V18" s="19">
        <f>IF(ISNUMBER(RU_Raw!V18),RU_Raw!V18,IF(ISNUMBER(RU_Raw!V19),(V17+RU_Raw!V19)/2,IF(ISNUMBER(RU_Raw!V20),V17+(RU_Raw!V20-V17)/3,"")))</f>
        <v>113.3</v>
      </c>
      <c r="W18" s="19">
        <f>IF(ISNUMBER(RU_Raw!W18),RU_Raw!W18,IF(ISNUMBER(RU_Raw!W19),(W17+RU_Raw!W19)/2,IF(ISNUMBER(RU_Raw!W20),W17+(RU_Raw!W20-W17)/3,"")))</f>
        <v>115.9</v>
      </c>
      <c r="X18" s="19">
        <f>IF(ISNUMBER(RU_Raw!X18),RU_Raw!X18,IF(ISNUMBER(RU_Raw!X19),(X17+RU_Raw!X19)/2,IF(ISNUMBER(RU_Raw!X20),X17+(RU_Raw!X20-X17)/3,"")))</f>
        <v>112.5</v>
      </c>
      <c r="Y18" s="19">
        <f>IF(ISNUMBER(RU_Raw!Y18),RU_Raw!Y18,IF(ISNUMBER(RU_Raw!Y19),(Y17+RU_Raw!Y19)/2,IF(ISNUMBER(RU_Raw!Y20),Y17+(RU_Raw!Y20-Y17)/3,"")))</f>
        <v>112.4</v>
      </c>
      <c r="Z18" s="19">
        <f>IF(ISNUMBER(RU_Raw!Z18),RU_Raw!Z18,IF(ISNUMBER(RU_Raw!Z19),(Z17+RU_Raw!Z19)/2,IF(ISNUMBER(RU_Raw!Z20),Z17+(RU_Raw!Z20-Z17)/3,"")))</f>
        <v>112.8</v>
      </c>
      <c r="AA18" s="19">
        <f>IF(ISNUMBER(RU_Raw!AA18),RU_Raw!AA18,IF(ISNUMBER(RU_Raw!AA19),(AA17+RU_Raw!AA19)/2,IF(ISNUMBER(RU_Raw!AA20),AA17+(RU_Raw!AA20-AA17)/3,"")))</f>
        <v>110.7</v>
      </c>
      <c r="AB18" s="19">
        <f>IF(ISNUMBER(RU_Raw!AB18),RU_Raw!AB18,IF(ISNUMBER(RU_Raw!AB19),(AB17+RU_Raw!AB19)/2,IF(ISNUMBER(RU_Raw!AB20),AB17+(RU_Raw!AB20-AB17)/3,"")))</f>
        <v>111.1</v>
      </c>
      <c r="AC18" s="19">
        <f>IF(ISNUMBER(RU_Raw!AC18),RU_Raw!AC18,IF(ISNUMBER(RU_Raw!AC19),(AC17+RU_Raw!AC19)/2,IF(ISNUMBER(RU_Raw!AC20),AC17+(RU_Raw!AC20-AC17)/3,"")))</f>
        <v>110.1</v>
      </c>
      <c r="AD18" s="19">
        <f>IF(ISNUMBER(RU_Raw!AD18),RU_Raw!AD18,IF(ISNUMBER(RU_Raw!AD19),(AD17+RU_Raw!AD19)/2,IF(ISNUMBER(RU_Raw!AD20),AD17+(RU_Raw!AD20-AD17)/3,"")))</f>
        <v>111.8</v>
      </c>
      <c r="AE18" s="19">
        <f>IF(ISNUMBER(RU_Raw!AE18),RU_Raw!AE18,IF(ISNUMBER(RU_Raw!AE19),(AE17+RU_Raw!AE19)/2,IF(ISNUMBER(RU_Raw!AE20),AE17+(RU_Raw!AE20-AE17)/3,"")))</f>
        <v>108.7</v>
      </c>
      <c r="AF18" s="19">
        <f>IF(ISNUMBER(RU_Raw!AF18),RU_Raw!AF18,IF(ISNUMBER(RU_Raw!AF19),(AF17+RU_Raw!AF19)/2,IF(ISNUMBER(RU_Raw!AF20),AF17+(RU_Raw!AF20-AF17)/3,"")))</f>
        <v>110.9</v>
      </c>
      <c r="AG18" s="19">
        <f>IF(ISNUMBER(RU_Raw!AG18),RU_Raw!AG18,IF(ISNUMBER(RU_Raw!AG19),(AG17+RU_Raw!AG19)/2,IF(ISNUMBER(RU_Raw!AG20),AG17+(RU_Raw!AG20-AG17)/3,"")))</f>
        <v>113.6</v>
      </c>
      <c r="AH18" s="19">
        <f t="shared" si="1"/>
        <v>1364.8</v>
      </c>
    </row>
    <row r="19" spans="1:34">
      <c r="A19" s="6">
        <f>RU_Raw!A19</f>
        <v>2014</v>
      </c>
      <c r="B19" s="6">
        <f>RU_Raw!B19</f>
        <v>3</v>
      </c>
      <c r="C19" s="6" t="str">
        <f>RU_Raw!C19</f>
        <v>March</v>
      </c>
      <c r="D19" s="9">
        <f>RU_Raw!D19</f>
        <v>41699</v>
      </c>
      <c r="E19" s="6">
        <f>COUNTBLANK(RU_Raw!G19:AG19)</f>
        <v>0</v>
      </c>
      <c r="F19" s="6" t="str">
        <f t="shared" si="0"/>
        <v/>
      </c>
      <c r="G19" s="19">
        <f>IF(ISNUMBER(RU_Raw!G19),RU_Raw!G19,IF(ISNUMBER(RU_Raw!G20),(G18+RU_Raw!G20)/2,IF(ISNUMBER(RU_Raw!G21),G18+(RU_Raw!G21-G18)/3,"")))</f>
        <v>120.7</v>
      </c>
      <c r="H19" s="19">
        <f>IF(ISNUMBER(RU_Raw!H19),RU_Raw!H19,IF(ISNUMBER(RU_Raw!H20),(H18+RU_Raw!H20)/2,IF(ISNUMBER(RU_Raw!H21),H18+(RU_Raw!H21-H18)/3,"")))</f>
        <v>119.3</v>
      </c>
      <c r="I19" s="19">
        <f>IF(ISNUMBER(RU_Raw!I19),RU_Raw!I19,IF(ISNUMBER(RU_Raw!I20),(I18+RU_Raw!I20)/2,IF(ISNUMBER(RU_Raw!I21),I18+(RU_Raw!I21-I18)/3,"")))</f>
        <v>121</v>
      </c>
      <c r="J19" s="19">
        <f>IF(ISNUMBER(RU_Raw!J19),RU_Raw!J19,IF(ISNUMBER(RU_Raw!J20),(J18+RU_Raw!J20)/2,IF(ISNUMBER(RU_Raw!J21),J18+(RU_Raw!J21-J18)/3,"")))</f>
        <v>116.1</v>
      </c>
      <c r="K19" s="19">
        <f>IF(ISNUMBER(RU_Raw!K19),RU_Raw!K19,IF(ISNUMBER(RU_Raw!K20),(K18+RU_Raw!K20)/2,IF(ISNUMBER(RU_Raw!K21),K18+(RU_Raw!K21-K18)/3,"")))</f>
        <v>106.9</v>
      </c>
      <c r="L19" s="19">
        <f>IF(ISNUMBER(RU_Raw!L19),RU_Raw!L19,IF(ISNUMBER(RU_Raw!L20),(L18+RU_Raw!L20)/2,IF(ISNUMBER(RU_Raw!L21),L18+(RU_Raw!L21-L18)/3,"")))</f>
        <v>118.7</v>
      </c>
      <c r="M19" s="19">
        <f>IF(ISNUMBER(RU_Raw!M19),RU_Raw!M19,IF(ISNUMBER(RU_Raw!M20),(M18+RU_Raw!M20)/2,IF(ISNUMBER(RU_Raw!M21),M18+(RU_Raw!M21-M18)/3,"")))</f>
        <v>116.3</v>
      </c>
      <c r="N19" s="19">
        <f>IF(ISNUMBER(RU_Raw!N19),RU_Raw!N19,IF(ISNUMBER(RU_Raw!N20),(N18+RU_Raw!N20)/2,IF(ISNUMBER(RU_Raw!N21),N18+(RU_Raw!N21-N18)/3,"")))</f>
        <v>109.8</v>
      </c>
      <c r="O19" s="19">
        <f>IF(ISNUMBER(RU_Raw!O19),RU_Raw!O19,IF(ISNUMBER(RU_Raw!O20),(O18+RU_Raw!O20)/2,IF(ISNUMBER(RU_Raw!O21),O18+(RU_Raw!O21-O18)/3,"")))</f>
        <v>99.6</v>
      </c>
      <c r="P19" s="19">
        <f>IF(ISNUMBER(RU_Raw!P19),RU_Raw!P19,IF(ISNUMBER(RU_Raw!P20),(P18+RU_Raw!P20)/2,IF(ISNUMBER(RU_Raw!P21),P18+(RU_Raw!P21-P18)/3,"")))</f>
        <v>111.8</v>
      </c>
      <c r="Q19" s="19">
        <f>IF(ISNUMBER(RU_Raw!Q19),RU_Raw!Q19,IF(ISNUMBER(RU_Raw!Q20),(Q18+RU_Raw!Q20)/2,IF(ISNUMBER(RU_Raw!Q21),Q18+(RU_Raw!Q21-Q18)/3,"")))</f>
        <v>112.7</v>
      </c>
      <c r="R19" s="19">
        <f>IF(ISNUMBER(RU_Raw!R19),RU_Raw!R19,IF(ISNUMBER(RU_Raw!R20),(R18+RU_Raw!R20)/2,IF(ISNUMBER(RU_Raw!R21),R18+(RU_Raw!R21-R18)/3,"")))</f>
        <v>119.3</v>
      </c>
      <c r="S19" s="19">
        <f>IF(ISNUMBER(RU_Raw!S19),RU_Raw!S19,IF(ISNUMBER(RU_Raw!S20),(S18+RU_Raw!S20)/2,IF(ISNUMBER(RU_Raw!S21),S18+(RU_Raw!S21-S18)/3,"")))</f>
        <v>116.1</v>
      </c>
      <c r="T19" s="19">
        <f>IF(ISNUMBER(RU_Raw!T19),RU_Raw!T19,IF(ISNUMBER(RU_Raw!T20),(T18+RU_Raw!T20)/2,IF(ISNUMBER(RU_Raw!T21),T18+(RU_Raw!T21-T18)/3,"")))</f>
        <v>115.2</v>
      </c>
      <c r="U19" s="19">
        <f>IF(ISNUMBER(RU_Raw!U19),RU_Raw!U19,IF(ISNUMBER(RU_Raw!U20),(U18+RU_Raw!U20)/2,IF(ISNUMBER(RU_Raw!U21),U18+(RU_Raw!U21-U18)/3,"")))</f>
        <v>116.8</v>
      </c>
      <c r="V19" s="19">
        <f>IF(ISNUMBER(RU_Raw!V19),RU_Raw!V19,IF(ISNUMBER(RU_Raw!V20),(V18+RU_Raw!V20)/2,IF(ISNUMBER(RU_Raw!V21),V18+(RU_Raw!V21-V18)/3,"")))</f>
        <v>113.7</v>
      </c>
      <c r="W19" s="19">
        <f>IF(ISNUMBER(RU_Raw!W19),RU_Raw!W19,IF(ISNUMBER(RU_Raw!W20),(W18+RU_Raw!W20)/2,IF(ISNUMBER(RU_Raw!W21),W18+(RU_Raw!W21-W18)/3,"")))</f>
        <v>116.4</v>
      </c>
      <c r="X19" s="19">
        <f>IF(ISNUMBER(RU_Raw!X19),RU_Raw!X19,IF(ISNUMBER(RU_Raw!X20),(X18+RU_Raw!X20)/2,IF(ISNUMBER(RU_Raw!X21),X18+(RU_Raw!X21-X18)/3,"")))</f>
        <v>113.2</v>
      </c>
      <c r="Y19" s="19">
        <f>IF(ISNUMBER(RU_Raw!Y19),RU_Raw!Y19,IF(ISNUMBER(RU_Raw!Y20),(Y18+RU_Raw!Y20)/2,IF(ISNUMBER(RU_Raw!Y21),Y18+(RU_Raw!Y21-Y18)/3,"")))</f>
        <v>112.5</v>
      </c>
      <c r="Z19" s="19">
        <f>IF(ISNUMBER(RU_Raw!Z19),RU_Raw!Z19,IF(ISNUMBER(RU_Raw!Z20),(Z18+RU_Raw!Z20)/2,IF(ISNUMBER(RU_Raw!Z21),Z18+(RU_Raw!Z21-Z18)/3,"")))</f>
        <v>113.2</v>
      </c>
      <c r="AA19" s="19">
        <f>IF(ISNUMBER(RU_Raw!AA19),RU_Raw!AA19,IF(ISNUMBER(RU_Raw!AA20),(AA18+RU_Raw!AA20)/2,IF(ISNUMBER(RU_Raw!AA21),AA18+(RU_Raw!AA21-AA18)/3,"")))</f>
        <v>111.2</v>
      </c>
      <c r="AB19" s="19">
        <f>IF(ISNUMBER(RU_Raw!AB19),RU_Raw!AB19,IF(ISNUMBER(RU_Raw!AB20),(AB18+RU_Raw!AB20)/2,IF(ISNUMBER(RU_Raw!AB21),AB18+(RU_Raw!AB21-AB18)/3,"")))</f>
        <v>111.4</v>
      </c>
      <c r="AC19" s="19">
        <f>IF(ISNUMBER(RU_Raw!AC19),RU_Raw!AC19,IF(ISNUMBER(RU_Raw!AC20),(AC18+RU_Raw!AC20)/2,IF(ISNUMBER(RU_Raw!AC21),AC18+(RU_Raw!AC21-AC18)/3,"")))</f>
        <v>110.6</v>
      </c>
      <c r="AD19" s="19">
        <f>IF(ISNUMBER(RU_Raw!AD19),RU_Raw!AD19,IF(ISNUMBER(RU_Raw!AD20),(AD18+RU_Raw!AD20)/2,IF(ISNUMBER(RU_Raw!AD21),AD18+(RU_Raw!AD21-AD18)/3,"")))</f>
        <v>112</v>
      </c>
      <c r="AE19" s="19">
        <f>IF(ISNUMBER(RU_Raw!AE19),RU_Raw!AE19,IF(ISNUMBER(RU_Raw!AE20),(AE18+RU_Raw!AE20)/2,IF(ISNUMBER(RU_Raw!AE21),AE18+(RU_Raw!AE21-AE18)/3,"")))</f>
        <v>109</v>
      </c>
      <c r="AF19" s="19">
        <f>IF(ISNUMBER(RU_Raw!AF19),RU_Raw!AF19,IF(ISNUMBER(RU_Raw!AF20),(AF18+RU_Raw!AF20)/2,IF(ISNUMBER(RU_Raw!AF21),AF18+(RU_Raw!AF21-AF18)/3,"")))</f>
        <v>111.3</v>
      </c>
      <c r="AG19" s="19">
        <f>IF(ISNUMBER(RU_Raw!AG19),RU_Raw!AG19,IF(ISNUMBER(RU_Raw!AG20),(AG18+RU_Raw!AG20)/2,IF(ISNUMBER(RU_Raw!AG21),AG18+(RU_Raw!AG21-AG18)/3,"")))</f>
        <v>114.2</v>
      </c>
      <c r="AH19" s="19">
        <f t="shared" si="1"/>
        <v>1372.2</v>
      </c>
    </row>
    <row r="20" spans="1:34">
      <c r="A20" s="6">
        <f>RU_Raw!A20</f>
        <v>2014</v>
      </c>
      <c r="B20" s="6">
        <f>RU_Raw!B20</f>
        <v>4</v>
      </c>
      <c r="C20" s="6" t="str">
        <f>RU_Raw!C20</f>
        <v>April</v>
      </c>
      <c r="D20" s="9">
        <f>RU_Raw!D20</f>
        <v>41730</v>
      </c>
      <c r="E20" s="6">
        <f>COUNTBLANK(RU_Raw!G20:AG20)</f>
        <v>0</v>
      </c>
      <c r="F20" s="6" t="str">
        <f t="shared" si="0"/>
        <v/>
      </c>
      <c r="G20" s="19">
        <f>IF(ISNUMBER(RU_Raw!G20),RU_Raw!G20,IF(ISNUMBER(RU_Raw!G21),(G19+RU_Raw!G21)/2,IF(ISNUMBER(RU_Raw!G22),G19+(RU_Raw!G22-G19)/3,"")))</f>
        <v>120.9</v>
      </c>
      <c r="H20" s="19">
        <f>IF(ISNUMBER(RU_Raw!H20),RU_Raw!H20,IF(ISNUMBER(RU_Raw!H21),(H19+RU_Raw!H21)/2,IF(ISNUMBER(RU_Raw!H22),H19+(RU_Raw!H22-H19)/3,"")))</f>
        <v>119.9</v>
      </c>
      <c r="I20" s="19">
        <f>IF(ISNUMBER(RU_Raw!I20),RU_Raw!I20,IF(ISNUMBER(RU_Raw!I21),(I19+RU_Raw!I21)/2,IF(ISNUMBER(RU_Raw!I22),I19+(RU_Raw!I22-I19)/3,"")))</f>
        <v>116.2</v>
      </c>
      <c r="J20" s="19">
        <f>IF(ISNUMBER(RU_Raw!J20),RU_Raw!J20,IF(ISNUMBER(RU_Raw!J21),(J19+RU_Raw!J21)/2,IF(ISNUMBER(RU_Raw!J22),J19+(RU_Raw!J22-J19)/3,"")))</f>
        <v>117</v>
      </c>
      <c r="K20" s="19">
        <f>IF(ISNUMBER(RU_Raw!K20),RU_Raw!K20,IF(ISNUMBER(RU_Raw!K21),(K19+RU_Raw!K21)/2,IF(ISNUMBER(RU_Raw!K22),K19+(RU_Raw!K22-K19)/3,"")))</f>
        <v>107.3</v>
      </c>
      <c r="L20" s="19">
        <f>IF(ISNUMBER(RU_Raw!L20),RU_Raw!L20,IF(ISNUMBER(RU_Raw!L21),(L19+RU_Raw!L21)/2,IF(ISNUMBER(RU_Raw!L22),L19+(RU_Raw!L22-L19)/3,"")))</f>
        <v>126.1</v>
      </c>
      <c r="M20" s="19">
        <f>IF(ISNUMBER(RU_Raw!M20),RU_Raw!M20,IF(ISNUMBER(RU_Raw!M21),(M19+RU_Raw!M21)/2,IF(ISNUMBER(RU_Raw!M22),M19+(RU_Raw!M22-M19)/3,"")))</f>
        <v>120.7</v>
      </c>
      <c r="N20" s="19">
        <f>IF(ISNUMBER(RU_Raw!N20),RU_Raw!N20,IF(ISNUMBER(RU_Raw!N21),(N19+RU_Raw!N21)/2,IF(ISNUMBER(RU_Raw!N22),N19+(RU_Raw!N22-N19)/3,"")))</f>
        <v>111</v>
      </c>
      <c r="O20" s="19">
        <f>IF(ISNUMBER(RU_Raw!O20),RU_Raw!O20,IF(ISNUMBER(RU_Raw!O21),(O19+RU_Raw!O21)/2,IF(ISNUMBER(RU_Raw!O22),O19+(RU_Raw!O22-O19)/3,"")))</f>
        <v>101.8</v>
      </c>
      <c r="P20" s="19">
        <f>IF(ISNUMBER(RU_Raw!P20),RU_Raw!P20,IF(ISNUMBER(RU_Raw!P21),(P19+RU_Raw!P21)/2,IF(ISNUMBER(RU_Raw!P22),P19+(RU_Raw!P22-P19)/3,"")))</f>
        <v>112.6</v>
      </c>
      <c r="Q20" s="19">
        <f>IF(ISNUMBER(RU_Raw!Q20),RU_Raw!Q20,IF(ISNUMBER(RU_Raw!Q21),(Q19+RU_Raw!Q21)/2,IF(ISNUMBER(RU_Raw!Q22),Q19+(RU_Raw!Q22-Q19)/3,"")))</f>
        <v>113.2</v>
      </c>
      <c r="R20" s="19">
        <f>IF(ISNUMBER(RU_Raw!R20),RU_Raw!R20,IF(ISNUMBER(RU_Raw!R21),(R19+RU_Raw!R21)/2,IF(ISNUMBER(RU_Raw!R22),R19+(RU_Raw!R22-R19)/3,"")))</f>
        <v>119.8</v>
      </c>
      <c r="S20" s="19">
        <f>IF(ISNUMBER(RU_Raw!S20),RU_Raw!S20,IF(ISNUMBER(RU_Raw!S21),(S19+RU_Raw!S21)/2,IF(ISNUMBER(RU_Raw!S22),S19+(RU_Raw!S22-S19)/3,"")))</f>
        <v>117.6</v>
      </c>
      <c r="T20" s="19">
        <f>IF(ISNUMBER(RU_Raw!T20),RU_Raw!T20,IF(ISNUMBER(RU_Raw!T21),(T19+RU_Raw!T21)/2,IF(ISNUMBER(RU_Raw!T22),T19+(RU_Raw!T22-T19)/3,"")))</f>
        <v>116</v>
      </c>
      <c r="U20" s="19">
        <f>IF(ISNUMBER(RU_Raw!U20),RU_Raw!U20,IF(ISNUMBER(RU_Raw!U21),(U19+RU_Raw!U21)/2,IF(ISNUMBER(RU_Raw!U22),U19+(RU_Raw!U22-U19)/3,"")))</f>
        <v>117.4</v>
      </c>
      <c r="V20" s="19">
        <f>IF(ISNUMBER(RU_Raw!V20),RU_Raw!V20,IF(ISNUMBER(RU_Raw!V21),(V19+RU_Raw!V21)/2,IF(ISNUMBER(RU_Raw!V22),V19+(RU_Raw!V22-V19)/3,"")))</f>
        <v>114.6</v>
      </c>
      <c r="W20" s="19">
        <f>IF(ISNUMBER(RU_Raw!W20),RU_Raw!W20,IF(ISNUMBER(RU_Raw!W21),(W19+RU_Raw!W21)/2,IF(ISNUMBER(RU_Raw!W22),W19+(RU_Raw!W22-W19)/3,"")))</f>
        <v>117</v>
      </c>
      <c r="X20" s="19">
        <f>IF(ISNUMBER(RU_Raw!X20),RU_Raw!X20,IF(ISNUMBER(RU_Raw!X21),(X19+RU_Raw!X21)/2,IF(ISNUMBER(RU_Raw!X22),X19+(RU_Raw!X22-X19)/3,"")))</f>
        <v>113.9</v>
      </c>
      <c r="Y20" s="19">
        <f>IF(ISNUMBER(RU_Raw!Y20),RU_Raw!Y20,IF(ISNUMBER(RU_Raw!Y21),(Y19+RU_Raw!Y21)/2,IF(ISNUMBER(RU_Raw!Y22),Y19+(RU_Raw!Y22-Y19)/3,"")))</f>
        <v>112.5</v>
      </c>
      <c r="Z20" s="19">
        <f>IF(ISNUMBER(RU_Raw!Z20),RU_Raw!Z20,IF(ISNUMBER(RU_Raw!Z21),(Z19+RU_Raw!Z21)/2,IF(ISNUMBER(RU_Raw!Z22),Z19+(RU_Raw!Z22-Z19)/3,"")))</f>
        <v>113.6</v>
      </c>
      <c r="AA20" s="19">
        <f>IF(ISNUMBER(RU_Raw!AA20),RU_Raw!AA20,IF(ISNUMBER(RU_Raw!AA21),(AA19+RU_Raw!AA21)/2,IF(ISNUMBER(RU_Raw!AA22),AA19+(RU_Raw!AA22-AA19)/3,"")))</f>
        <v>111.5</v>
      </c>
      <c r="AB20" s="19">
        <f>IF(ISNUMBER(RU_Raw!AB20),RU_Raw!AB20,IF(ISNUMBER(RU_Raw!AB21),(AB19+RU_Raw!AB21)/2,IF(ISNUMBER(RU_Raw!AB22),AB19+(RU_Raw!AB22-AB19)/3,"")))</f>
        <v>111.2</v>
      </c>
      <c r="AC20" s="19">
        <f>IF(ISNUMBER(RU_Raw!AC20),RU_Raw!AC20,IF(ISNUMBER(RU_Raw!AC21),(AC19+RU_Raw!AC21)/2,IF(ISNUMBER(RU_Raw!AC22),AC19+(RU_Raw!AC22-AC19)/3,"")))</f>
        <v>110.9</v>
      </c>
      <c r="AD20" s="19">
        <f>IF(ISNUMBER(RU_Raw!AD20),RU_Raw!AD20,IF(ISNUMBER(RU_Raw!AD21),(AD19+RU_Raw!AD21)/2,IF(ISNUMBER(RU_Raw!AD22),AD19+(RU_Raw!AD22-AD19)/3,"")))</f>
        <v>112.7</v>
      </c>
      <c r="AE20" s="19">
        <f>IF(ISNUMBER(RU_Raw!AE20),RU_Raw!AE20,IF(ISNUMBER(RU_Raw!AE21),(AE19+RU_Raw!AE21)/2,IF(ISNUMBER(RU_Raw!AE22),AE19+(RU_Raw!AE22-AE19)/3,"")))</f>
        <v>109</v>
      </c>
      <c r="AF20" s="19">
        <f>IF(ISNUMBER(RU_Raw!AF20),RU_Raw!AF20,IF(ISNUMBER(RU_Raw!AF21),(AF19+RU_Raw!AF21)/2,IF(ISNUMBER(RU_Raw!AF22),AF19+(RU_Raw!AF22-AF19)/3,"")))</f>
        <v>111.5</v>
      </c>
      <c r="AG20" s="19">
        <f>IF(ISNUMBER(RU_Raw!AG20),RU_Raw!AG20,IF(ISNUMBER(RU_Raw!AG21),(AG19+RU_Raw!AG21)/2,IF(ISNUMBER(RU_Raw!AG22),AG19+(RU_Raw!AG22-AG19)/3,"")))</f>
        <v>115.1</v>
      </c>
      <c r="AH20" s="19">
        <f t="shared" si="1"/>
        <v>1386.5</v>
      </c>
    </row>
    <row r="21" spans="1:34">
      <c r="A21" s="6">
        <f>RU_Raw!A21</f>
        <v>2014</v>
      </c>
      <c r="B21" s="6">
        <f>RU_Raw!B21</f>
        <v>5</v>
      </c>
      <c r="C21" s="6" t="str">
        <f>RU_Raw!C21</f>
        <v>May</v>
      </c>
      <c r="D21" s="9">
        <f>RU_Raw!D21</f>
        <v>41760</v>
      </c>
      <c r="E21" s="6">
        <f>COUNTBLANK(RU_Raw!G21:AG21)</f>
        <v>0</v>
      </c>
      <c r="F21" s="6" t="str">
        <f t="shared" si="0"/>
        <v/>
      </c>
      <c r="G21" s="19">
        <f>IF(ISNUMBER(RU_Raw!G21),RU_Raw!G21,IF(ISNUMBER(RU_Raw!G22),(G20+RU_Raw!G22)/2,IF(ISNUMBER(RU_Raw!G23),G20+(RU_Raw!G23-G20)/3,"")))</f>
        <v>121.1</v>
      </c>
      <c r="H21" s="19">
        <f>IF(ISNUMBER(RU_Raw!H21),RU_Raw!H21,IF(ISNUMBER(RU_Raw!H22),(H20+RU_Raw!H22)/2,IF(ISNUMBER(RU_Raw!H23),H20+(RU_Raw!H23-H20)/3,"")))</f>
        <v>121.6</v>
      </c>
      <c r="I21" s="19">
        <f>IF(ISNUMBER(RU_Raw!I21),RU_Raw!I21,IF(ISNUMBER(RU_Raw!I22),(I20+RU_Raw!I22)/2,IF(ISNUMBER(RU_Raw!I23),I20+(RU_Raw!I23-I20)/3,"")))</f>
        <v>115.9</v>
      </c>
      <c r="J21" s="19">
        <f>IF(ISNUMBER(RU_Raw!J21),RU_Raw!J21,IF(ISNUMBER(RU_Raw!J22),(J20+RU_Raw!J22)/2,IF(ISNUMBER(RU_Raw!J23),J20+(RU_Raw!J23-J20)/3,"")))</f>
        <v>118.4</v>
      </c>
      <c r="K21" s="19">
        <f>IF(ISNUMBER(RU_Raw!K21),RU_Raw!K21,IF(ISNUMBER(RU_Raw!K22),(K20+RU_Raw!K22)/2,IF(ISNUMBER(RU_Raw!K23),K20+(RU_Raw!K23-K20)/3,"")))</f>
        <v>107.7</v>
      </c>
      <c r="L21" s="19">
        <f>IF(ISNUMBER(RU_Raw!L21),RU_Raw!L21,IF(ISNUMBER(RU_Raw!L22),(L20+RU_Raw!L22)/2,IF(ISNUMBER(RU_Raw!L23),L20+(RU_Raw!L23-L20)/3,"")))</f>
        <v>127.7</v>
      </c>
      <c r="M21" s="19">
        <f>IF(ISNUMBER(RU_Raw!M21),RU_Raw!M21,IF(ISNUMBER(RU_Raw!M22),(M20+RU_Raw!M22)/2,IF(ISNUMBER(RU_Raw!M23),M20+(RU_Raw!M23-M20)/3,"")))</f>
        <v>125</v>
      </c>
      <c r="N21" s="19">
        <f>IF(ISNUMBER(RU_Raw!N21),RU_Raw!N21,IF(ISNUMBER(RU_Raw!N22),(N20+RU_Raw!N22)/2,IF(ISNUMBER(RU_Raw!N23),N20+(RU_Raw!N23-N20)/3,"")))</f>
        <v>111.9</v>
      </c>
      <c r="O21" s="19">
        <f>IF(ISNUMBER(RU_Raw!O21),RU_Raw!O21,IF(ISNUMBER(RU_Raw!O22),(O20+RU_Raw!O22)/2,IF(ISNUMBER(RU_Raw!O23),O20+(RU_Raw!O23-O20)/3,"")))</f>
        <v>102.8</v>
      </c>
      <c r="P21" s="19">
        <f>IF(ISNUMBER(RU_Raw!P21),RU_Raw!P21,IF(ISNUMBER(RU_Raw!P22),(P20+RU_Raw!P22)/2,IF(ISNUMBER(RU_Raw!P23),P20+(RU_Raw!P23-P20)/3,"")))</f>
        <v>113.4</v>
      </c>
      <c r="Q21" s="19">
        <f>IF(ISNUMBER(RU_Raw!Q21),RU_Raw!Q21,IF(ISNUMBER(RU_Raw!Q22),(Q20+RU_Raw!Q22)/2,IF(ISNUMBER(RU_Raw!Q23),Q20+(RU_Raw!Q23-Q20)/3,"")))</f>
        <v>113.7</v>
      </c>
      <c r="R21" s="19">
        <f>IF(ISNUMBER(RU_Raw!R21),RU_Raw!R21,IF(ISNUMBER(RU_Raw!R22),(R20+RU_Raw!R22)/2,IF(ISNUMBER(RU_Raw!R23),R20+(RU_Raw!R23-R20)/3,"")))</f>
        <v>120.4</v>
      </c>
      <c r="S21" s="19">
        <f>IF(ISNUMBER(RU_Raw!S21),RU_Raw!S21,IF(ISNUMBER(RU_Raw!S22),(S20+RU_Raw!S22)/2,IF(ISNUMBER(RU_Raw!S23),S20+(RU_Raw!S23-S20)/3,"")))</f>
        <v>118.9</v>
      </c>
      <c r="T21" s="19">
        <f>IF(ISNUMBER(RU_Raw!T21),RU_Raw!T21,IF(ISNUMBER(RU_Raw!T22),(T20+RU_Raw!T22)/2,IF(ISNUMBER(RU_Raw!T23),T20+(RU_Raw!T23-T20)/3,"")))</f>
        <v>116.8</v>
      </c>
      <c r="U21" s="19">
        <f>IF(ISNUMBER(RU_Raw!U21),RU_Raw!U21,IF(ISNUMBER(RU_Raw!U22),(U20+RU_Raw!U22)/2,IF(ISNUMBER(RU_Raw!U23),U20+(RU_Raw!U23-U20)/3,"")))</f>
        <v>118</v>
      </c>
      <c r="V21" s="19">
        <f>IF(ISNUMBER(RU_Raw!V21),RU_Raw!V21,IF(ISNUMBER(RU_Raw!V22),(V20+RU_Raw!V22)/2,IF(ISNUMBER(RU_Raw!V23),V20+(RU_Raw!V23-V20)/3,"")))</f>
        <v>115.2</v>
      </c>
      <c r="W21" s="19">
        <f>IF(ISNUMBER(RU_Raw!W21),RU_Raw!W21,IF(ISNUMBER(RU_Raw!W22),(W20+RU_Raw!W22)/2,IF(ISNUMBER(RU_Raw!W23),W20+(RU_Raw!W23-W20)/3,"")))</f>
        <v>117.6</v>
      </c>
      <c r="X21" s="19">
        <f>IF(ISNUMBER(RU_Raw!X21),RU_Raw!X21,IF(ISNUMBER(RU_Raw!X22),(X20+RU_Raw!X22)/2,IF(ISNUMBER(RU_Raw!X23),X20+(RU_Raw!X23-X20)/3,"")))</f>
        <v>114.3</v>
      </c>
      <c r="Y21" s="19">
        <f>IF(ISNUMBER(RU_Raw!Y21),RU_Raw!Y21,IF(ISNUMBER(RU_Raw!Y22),(Y20+RU_Raw!Y22)/2,IF(ISNUMBER(RU_Raw!Y23),Y20+(RU_Raw!Y23-Y20)/3,"")))</f>
        <v>112.5</v>
      </c>
      <c r="Z21" s="19">
        <f>IF(ISNUMBER(RU_Raw!Z21),RU_Raw!Z21,IF(ISNUMBER(RU_Raw!Z22),(Z20+RU_Raw!Z22)/2,IF(ISNUMBER(RU_Raw!Z23),Z20+(RU_Raw!Z23-Z20)/3,"")))</f>
        <v>114.1</v>
      </c>
      <c r="AA21" s="19">
        <f>IF(ISNUMBER(RU_Raw!AA21),RU_Raw!AA21,IF(ISNUMBER(RU_Raw!AA22),(AA20+RU_Raw!AA22)/2,IF(ISNUMBER(RU_Raw!AA23),AA20+(RU_Raw!AA23-AA20)/3,"")))</f>
        <v>111.8</v>
      </c>
      <c r="AB21" s="19">
        <f>IF(ISNUMBER(RU_Raw!AB21),RU_Raw!AB21,IF(ISNUMBER(RU_Raw!AB22),(AB20+RU_Raw!AB22)/2,IF(ISNUMBER(RU_Raw!AB23),AB20+(RU_Raw!AB23-AB20)/3,"")))</f>
        <v>111.3</v>
      </c>
      <c r="AC21" s="19">
        <f>IF(ISNUMBER(RU_Raw!AC21),RU_Raw!AC21,IF(ISNUMBER(RU_Raw!AC22),(AC20+RU_Raw!AC22)/2,IF(ISNUMBER(RU_Raw!AC23),AC20+(RU_Raw!AC23-AC20)/3,"")))</f>
        <v>111.2</v>
      </c>
      <c r="AD21" s="19">
        <f>IF(ISNUMBER(RU_Raw!AD21),RU_Raw!AD21,IF(ISNUMBER(RU_Raw!AD22),(AD20+RU_Raw!AD22)/2,IF(ISNUMBER(RU_Raw!AD23),AD20+(RU_Raw!AD23-AD20)/3,"")))</f>
        <v>113</v>
      </c>
      <c r="AE21" s="19">
        <f>IF(ISNUMBER(RU_Raw!AE21),RU_Raw!AE21,IF(ISNUMBER(RU_Raw!AE22),(AE20+RU_Raw!AE22)/2,IF(ISNUMBER(RU_Raw!AE23),AE20+(RU_Raw!AE23-AE20)/3,"")))</f>
        <v>109.1</v>
      </c>
      <c r="AF21" s="19">
        <f>IF(ISNUMBER(RU_Raw!AF21),RU_Raw!AF21,IF(ISNUMBER(RU_Raw!AF22),(AF20+RU_Raw!AF22)/2,IF(ISNUMBER(RU_Raw!AF23),AF20+(RU_Raw!AF23-AF20)/3,"")))</f>
        <v>111.8</v>
      </c>
      <c r="AG21" s="19">
        <f>IF(ISNUMBER(RU_Raw!AG21),RU_Raw!AG21,IF(ISNUMBER(RU_Raw!AG22),(AG20+RU_Raw!AG22)/2,IF(ISNUMBER(RU_Raw!AG23),AG20+(RU_Raw!AG23-AG20)/3,"")))</f>
        <v>115.8</v>
      </c>
      <c r="AH21" s="19">
        <f t="shared" si="1"/>
        <v>1399.6</v>
      </c>
    </row>
    <row r="22" spans="1:34">
      <c r="A22" s="6">
        <f>RU_Raw!A22</f>
        <v>2014</v>
      </c>
      <c r="B22" s="6">
        <f>RU_Raw!B22</f>
        <v>6</v>
      </c>
      <c r="C22" s="6" t="str">
        <f>RU_Raw!C22</f>
        <v>June</v>
      </c>
      <c r="D22" s="9">
        <f>RU_Raw!D22</f>
        <v>41791</v>
      </c>
      <c r="E22" s="6">
        <f>COUNTBLANK(RU_Raw!G22:AG22)</f>
        <v>0</v>
      </c>
      <c r="F22" s="6" t="str">
        <f t="shared" si="0"/>
        <v/>
      </c>
      <c r="G22" s="19">
        <f>IF(ISNUMBER(RU_Raw!G22),RU_Raw!G22,IF(ISNUMBER(RU_Raw!G23),(G21+RU_Raw!G23)/2,IF(ISNUMBER(RU_Raw!G24),G21+(RU_Raw!G24-G21)/3,"")))</f>
        <v>121.5</v>
      </c>
      <c r="H22" s="19">
        <f>IF(ISNUMBER(RU_Raw!H22),RU_Raw!H22,IF(ISNUMBER(RU_Raw!H23),(H21+RU_Raw!H23)/2,IF(ISNUMBER(RU_Raw!H24),H21+(RU_Raw!H24-H21)/3,"")))</f>
        <v>123.1</v>
      </c>
      <c r="I22" s="19">
        <f>IF(ISNUMBER(RU_Raw!I22),RU_Raw!I22,IF(ISNUMBER(RU_Raw!I23),(I21+RU_Raw!I23)/2,IF(ISNUMBER(RU_Raw!I24),I21+(RU_Raw!I24-I21)/3,"")))</f>
        <v>115.8</v>
      </c>
      <c r="J22" s="19">
        <f>IF(ISNUMBER(RU_Raw!J22),RU_Raw!J22,IF(ISNUMBER(RU_Raw!J23),(J21+RU_Raw!J23)/2,IF(ISNUMBER(RU_Raw!J24),J21+(RU_Raw!J24-J21)/3,"")))</f>
        <v>119.7</v>
      </c>
      <c r="K22" s="19">
        <f>IF(ISNUMBER(RU_Raw!K22),RU_Raw!K22,IF(ISNUMBER(RU_Raw!K23),(K21+RU_Raw!K23)/2,IF(ISNUMBER(RU_Raw!K24),K21+(RU_Raw!K24-K21)/3,"")))</f>
        <v>107.8</v>
      </c>
      <c r="L22" s="19">
        <f>IF(ISNUMBER(RU_Raw!L22),RU_Raw!L22,IF(ISNUMBER(RU_Raw!L23),(L21+RU_Raw!L23)/2,IF(ISNUMBER(RU_Raw!L24),L21+(RU_Raw!L24-L21)/3,"")))</f>
        <v>128.3</v>
      </c>
      <c r="M22" s="19">
        <f>IF(ISNUMBER(RU_Raw!M22),RU_Raw!M22,IF(ISNUMBER(RU_Raw!M23),(M21+RU_Raw!M23)/2,IF(ISNUMBER(RU_Raw!M24),M21+(RU_Raw!M24-M21)/3,"")))</f>
        <v>132.1</v>
      </c>
      <c r="N22" s="19">
        <f>IF(ISNUMBER(RU_Raw!N22),RU_Raw!N22,IF(ISNUMBER(RU_Raw!N23),(N21+RU_Raw!N23)/2,IF(ISNUMBER(RU_Raw!N24),N21+(RU_Raw!N24-N21)/3,"")))</f>
        <v>112.4</v>
      </c>
      <c r="O22" s="19">
        <f>IF(ISNUMBER(RU_Raw!O22),RU_Raw!O22,IF(ISNUMBER(RU_Raw!O23),(O21+RU_Raw!O23)/2,IF(ISNUMBER(RU_Raw!O24),O21+(RU_Raw!O24-O21)/3,"")))</f>
        <v>102.9</v>
      </c>
      <c r="P22" s="19">
        <f>IF(ISNUMBER(RU_Raw!P22),RU_Raw!P22,IF(ISNUMBER(RU_Raw!P23),(P21+RU_Raw!P23)/2,IF(ISNUMBER(RU_Raw!P24),P21+(RU_Raw!P24-P21)/3,"")))</f>
        <v>114.3</v>
      </c>
      <c r="Q22" s="19">
        <f>IF(ISNUMBER(RU_Raw!Q22),RU_Raw!Q22,IF(ISNUMBER(RU_Raw!Q23),(Q21+RU_Raw!Q23)/2,IF(ISNUMBER(RU_Raw!Q24),Q21+(RU_Raw!Q24-Q21)/3,"")))</f>
        <v>114.2</v>
      </c>
      <c r="R22" s="19">
        <f>IF(ISNUMBER(RU_Raw!R22),RU_Raw!R22,IF(ISNUMBER(RU_Raw!R23),(R21+RU_Raw!R23)/2,IF(ISNUMBER(RU_Raw!R24),R21+(RU_Raw!R24-R21)/3,"")))</f>
        <v>121.2</v>
      </c>
      <c r="S22" s="19">
        <f>IF(ISNUMBER(RU_Raw!S22),RU_Raw!S22,IF(ISNUMBER(RU_Raw!S23),(S21+RU_Raw!S23)/2,IF(ISNUMBER(RU_Raw!S24),S21+(RU_Raw!S24-S21)/3,"")))</f>
        <v>120.4</v>
      </c>
      <c r="T22" s="19">
        <f>IF(ISNUMBER(RU_Raw!T22),RU_Raw!T22,IF(ISNUMBER(RU_Raw!T23),(T21+RU_Raw!T23)/2,IF(ISNUMBER(RU_Raw!T24),T21+(RU_Raw!T24-T21)/3,"")))</f>
        <v>117.8</v>
      </c>
      <c r="U22" s="19">
        <f>IF(ISNUMBER(RU_Raw!U22),RU_Raw!U22,IF(ISNUMBER(RU_Raw!U23),(U21+RU_Raw!U23)/2,IF(ISNUMBER(RU_Raw!U24),U21+(RU_Raw!U24-U21)/3,"")))</f>
        <v>118.8</v>
      </c>
      <c r="V22" s="19">
        <f>IF(ISNUMBER(RU_Raw!V22),RU_Raw!V22,IF(ISNUMBER(RU_Raw!V23),(V21+RU_Raw!V23)/2,IF(ISNUMBER(RU_Raw!V24),V21+(RU_Raw!V24-V21)/3,"")))</f>
        <v>115.6</v>
      </c>
      <c r="W22" s="19">
        <f>IF(ISNUMBER(RU_Raw!W22),RU_Raw!W22,IF(ISNUMBER(RU_Raw!W23),(W21+RU_Raw!W23)/2,IF(ISNUMBER(RU_Raw!W24),W21+(RU_Raw!W24-W21)/3,"")))</f>
        <v>118.3</v>
      </c>
      <c r="X22" s="19">
        <f>IF(ISNUMBER(RU_Raw!X22),RU_Raw!X22,IF(ISNUMBER(RU_Raw!X23),(X21+RU_Raw!X23)/2,IF(ISNUMBER(RU_Raw!X24),X21+(RU_Raw!X24-X21)/3,"")))</f>
        <v>113.9</v>
      </c>
      <c r="Y22" s="19">
        <f>IF(ISNUMBER(RU_Raw!Y22),RU_Raw!Y22,IF(ISNUMBER(RU_Raw!Y23),(Y21+RU_Raw!Y23)/2,IF(ISNUMBER(RU_Raw!Y24),Y21+(RU_Raw!Y24-Y21)/3,"")))</f>
        <v>113.2</v>
      </c>
      <c r="Z22" s="19">
        <f>IF(ISNUMBER(RU_Raw!Z22),RU_Raw!Z22,IF(ISNUMBER(RU_Raw!Z23),(Z21+RU_Raw!Z23)/2,IF(ISNUMBER(RU_Raw!Z24),Z21+(RU_Raw!Z24-Z21)/3,"")))</f>
        <v>114.6</v>
      </c>
      <c r="AA22" s="19">
        <f>IF(ISNUMBER(RU_Raw!AA22),RU_Raw!AA22,IF(ISNUMBER(RU_Raw!AA23),(AA21+RU_Raw!AA23)/2,IF(ISNUMBER(RU_Raw!AA24),AA21+(RU_Raw!AA24-AA21)/3,"")))</f>
        <v>112.3</v>
      </c>
      <c r="AB22" s="19">
        <f>IF(ISNUMBER(RU_Raw!AB22),RU_Raw!AB22,IF(ISNUMBER(RU_Raw!AB23),(AB21+RU_Raw!AB23)/2,IF(ISNUMBER(RU_Raw!AB24),AB21+(RU_Raw!AB24-AB21)/3,"")))</f>
        <v>111.8</v>
      </c>
      <c r="AC22" s="19">
        <f>IF(ISNUMBER(RU_Raw!AC22),RU_Raw!AC22,IF(ISNUMBER(RU_Raw!AC23),(AC21+RU_Raw!AC23)/2,IF(ISNUMBER(RU_Raw!AC24),AC21+(RU_Raw!AC24-AC21)/3,"")))</f>
        <v>111.6</v>
      </c>
      <c r="AD22" s="19">
        <f>IF(ISNUMBER(RU_Raw!AD22),RU_Raw!AD22,IF(ISNUMBER(RU_Raw!AD23),(AD21+RU_Raw!AD23)/2,IF(ISNUMBER(RU_Raw!AD24),AD21+(RU_Raw!AD24-AD21)/3,"")))</f>
        <v>114.8</v>
      </c>
      <c r="AE22" s="19">
        <f>IF(ISNUMBER(RU_Raw!AE22),RU_Raw!AE22,IF(ISNUMBER(RU_Raw!AE23),(AE21+RU_Raw!AE23)/2,IF(ISNUMBER(RU_Raw!AE24),AE21+(RU_Raw!AE24-AE21)/3,"")))</f>
        <v>108.3</v>
      </c>
      <c r="AF22" s="19">
        <f>IF(ISNUMBER(RU_Raw!AF22),RU_Raw!AF22,IF(ISNUMBER(RU_Raw!AF23),(AF21+RU_Raw!AF23)/2,IF(ISNUMBER(RU_Raw!AF24),AF21+(RU_Raw!AF24-AF21)/3,"")))</f>
        <v>112.3</v>
      </c>
      <c r="AG22" s="19">
        <f>IF(ISNUMBER(RU_Raw!AG22),RU_Raw!AG22,IF(ISNUMBER(RU_Raw!AG23),(AG21+RU_Raw!AG23)/2,IF(ISNUMBER(RU_Raw!AG24),AG21+(RU_Raw!AG24-AG21)/3,"")))</f>
        <v>116.7</v>
      </c>
      <c r="AH22" s="19">
        <f t="shared" si="1"/>
        <v>1413.3</v>
      </c>
    </row>
    <row r="23" spans="1:34">
      <c r="A23" s="6">
        <f>RU_Raw!A23</f>
        <v>2014</v>
      </c>
      <c r="B23" s="6">
        <f>RU_Raw!B23</f>
        <v>7</v>
      </c>
      <c r="C23" s="6" t="str">
        <f>RU_Raw!C23</f>
        <v>July</v>
      </c>
      <c r="D23" s="9">
        <f>RU_Raw!D23</f>
        <v>41821</v>
      </c>
      <c r="E23" s="6">
        <f>COUNTBLANK(RU_Raw!G23:AG23)</f>
        <v>0</v>
      </c>
      <c r="F23" s="6" t="str">
        <f t="shared" si="0"/>
        <v/>
      </c>
      <c r="G23" s="19">
        <f>IF(ISNUMBER(RU_Raw!G23),RU_Raw!G23,IF(ISNUMBER(RU_Raw!G24),(G22+RU_Raw!G24)/2,IF(ISNUMBER(RU_Raw!G25),G22+(RU_Raw!G25-G22)/3,"")))</f>
        <v>122.4</v>
      </c>
      <c r="H23" s="19">
        <f>IF(ISNUMBER(RU_Raw!H23),RU_Raw!H23,IF(ISNUMBER(RU_Raw!H24),(H22+RU_Raw!H24)/2,IF(ISNUMBER(RU_Raw!H25),H22+(RU_Raw!H25-H22)/3,"")))</f>
        <v>123.9</v>
      </c>
      <c r="I23" s="19">
        <f>IF(ISNUMBER(RU_Raw!I23),RU_Raw!I23,IF(ISNUMBER(RU_Raw!I24),(I22+RU_Raw!I24)/2,IF(ISNUMBER(RU_Raw!I25),I22+(RU_Raw!I25-I22)/3,"")))</f>
        <v>117.8</v>
      </c>
      <c r="J23" s="19">
        <f>IF(ISNUMBER(RU_Raw!J23),RU_Raw!J23,IF(ISNUMBER(RU_Raw!J24),(J22+RU_Raw!J24)/2,IF(ISNUMBER(RU_Raw!J25),J22+(RU_Raw!J25-J22)/3,"")))</f>
        <v>121</v>
      </c>
      <c r="K23" s="19">
        <f>IF(ISNUMBER(RU_Raw!K23),RU_Raw!K23,IF(ISNUMBER(RU_Raw!K24),(K22+RU_Raw!K24)/2,IF(ISNUMBER(RU_Raw!K25),K22+(RU_Raw!K25-K22)/3,"")))</f>
        <v>107.9</v>
      </c>
      <c r="L23" s="19">
        <f>IF(ISNUMBER(RU_Raw!L23),RU_Raw!L23,IF(ISNUMBER(RU_Raw!L24),(L22+RU_Raw!L24)/2,IF(ISNUMBER(RU_Raw!L25),L22+(RU_Raw!L25-L22)/3,"")))</f>
        <v>131.2</v>
      </c>
      <c r="M23" s="19">
        <f>IF(ISNUMBER(RU_Raw!M23),RU_Raw!M23,IF(ISNUMBER(RU_Raw!M24),(M22+RU_Raw!M24)/2,IF(ISNUMBER(RU_Raw!M25),M22+(RU_Raw!M25-M22)/3,"")))</f>
        <v>157.7</v>
      </c>
      <c r="N23" s="19">
        <f>IF(ISNUMBER(RU_Raw!N23),RU_Raw!N23,IF(ISNUMBER(RU_Raw!N24),(N22+RU_Raw!N24)/2,IF(ISNUMBER(RU_Raw!N25),N22+(RU_Raw!N25-N22)/3,"")))</f>
        <v>113.2</v>
      </c>
      <c r="O23" s="19">
        <f>IF(ISNUMBER(RU_Raw!O23),RU_Raw!O23,IF(ISNUMBER(RU_Raw!O24),(O22+RU_Raw!O24)/2,IF(ISNUMBER(RU_Raw!O25),O22+(RU_Raw!O25-O22)/3,"")))</f>
        <v>104.1</v>
      </c>
      <c r="P23" s="19">
        <f>IF(ISNUMBER(RU_Raw!P23),RU_Raw!P23,IF(ISNUMBER(RU_Raw!P24),(P22+RU_Raw!P24)/2,IF(ISNUMBER(RU_Raw!P25),P22+(RU_Raw!P25-P22)/3,"")))</f>
        <v>115.5</v>
      </c>
      <c r="Q23" s="19">
        <f>IF(ISNUMBER(RU_Raw!Q23),RU_Raw!Q23,IF(ISNUMBER(RU_Raw!Q24),(Q22+RU_Raw!Q24)/2,IF(ISNUMBER(RU_Raw!Q25),Q22+(RU_Raw!Q25-Q22)/3,"")))</f>
        <v>114.8</v>
      </c>
      <c r="R23" s="19">
        <f>IF(ISNUMBER(RU_Raw!R23),RU_Raw!R23,IF(ISNUMBER(RU_Raw!R24),(R22+RU_Raw!R24)/2,IF(ISNUMBER(RU_Raw!R25),R22+(RU_Raw!R25-R22)/3,"")))</f>
        <v>122.1</v>
      </c>
      <c r="S23" s="19">
        <f>IF(ISNUMBER(RU_Raw!S23),RU_Raw!S23,IF(ISNUMBER(RU_Raw!S24),(S22+RU_Raw!S24)/2,IF(ISNUMBER(RU_Raw!S25),S22+(RU_Raw!S25-S22)/3,"")))</f>
        <v>124.7</v>
      </c>
      <c r="T23" s="19">
        <f>IF(ISNUMBER(RU_Raw!T23),RU_Raw!T23,IF(ISNUMBER(RU_Raw!T24),(T22+RU_Raw!T24)/2,IF(ISNUMBER(RU_Raw!T25),T22+(RU_Raw!T25-T22)/3,"")))</f>
        <v>118.8</v>
      </c>
      <c r="U23" s="19">
        <f>IF(ISNUMBER(RU_Raw!U23),RU_Raw!U23,IF(ISNUMBER(RU_Raw!U24),(U22+RU_Raw!U24)/2,IF(ISNUMBER(RU_Raw!U25),U22+(RU_Raw!U25-U22)/3,"")))</f>
        <v>119.6</v>
      </c>
      <c r="V23" s="19">
        <f>IF(ISNUMBER(RU_Raw!V23),RU_Raw!V23,IF(ISNUMBER(RU_Raw!V24),(V22+RU_Raw!V24)/2,IF(ISNUMBER(RU_Raw!V25),V22+(RU_Raw!V25-V22)/3,"")))</f>
        <v>116.3</v>
      </c>
      <c r="W23" s="19">
        <f>IF(ISNUMBER(RU_Raw!W23),RU_Raw!W23,IF(ISNUMBER(RU_Raw!W24),(W22+RU_Raw!W24)/2,IF(ISNUMBER(RU_Raw!W25),W22+(RU_Raw!W25-W22)/3,"")))</f>
        <v>119.1</v>
      </c>
      <c r="X23" s="19">
        <f>IF(ISNUMBER(RU_Raw!X23),RU_Raw!X23,IF(ISNUMBER(RU_Raw!X24),(X22+RU_Raw!X24)/2,IF(ISNUMBER(RU_Raw!X25),X22+(RU_Raw!X25-X22)/3,"")))</f>
        <v>114.8</v>
      </c>
      <c r="Y23" s="19">
        <f>IF(ISNUMBER(RU_Raw!Y23),RU_Raw!Y23,IF(ISNUMBER(RU_Raw!Y24),(Y22+RU_Raw!Y24)/2,IF(ISNUMBER(RU_Raw!Y25),Y22+(RU_Raw!Y25-Y22)/3,"")))</f>
        <v>113.9</v>
      </c>
      <c r="Z23" s="19">
        <f>IF(ISNUMBER(RU_Raw!Z23),RU_Raw!Z23,IF(ISNUMBER(RU_Raw!Z24),(Z22+RU_Raw!Z24)/2,IF(ISNUMBER(RU_Raw!Z25),Z22+(RU_Raw!Z25-Z22)/3,"")))</f>
        <v>115.2</v>
      </c>
      <c r="AA23" s="19">
        <f>IF(ISNUMBER(RU_Raw!AA23),RU_Raw!AA23,IF(ISNUMBER(RU_Raw!AA24),(AA22+RU_Raw!AA24)/2,IF(ISNUMBER(RU_Raw!AA25),AA22+(RU_Raw!AA25-AA22)/3,"")))</f>
        <v>112.7</v>
      </c>
      <c r="AB23" s="19">
        <f>IF(ISNUMBER(RU_Raw!AB23),RU_Raw!AB23,IF(ISNUMBER(RU_Raw!AB24),(AB22+RU_Raw!AB24)/2,IF(ISNUMBER(RU_Raw!AB25),AB22+(RU_Raw!AB25-AB22)/3,"")))</f>
        <v>113.1</v>
      </c>
      <c r="AC23" s="19">
        <f>IF(ISNUMBER(RU_Raw!AC23),RU_Raw!AC23,IF(ISNUMBER(RU_Raw!AC24),(AC22+RU_Raw!AC24)/2,IF(ISNUMBER(RU_Raw!AC25),AC22+(RU_Raw!AC25-AC22)/3,"")))</f>
        <v>112.1</v>
      </c>
      <c r="AD23" s="19">
        <f>IF(ISNUMBER(RU_Raw!AD23),RU_Raw!AD23,IF(ISNUMBER(RU_Raw!AD24),(AD22+RU_Raw!AD24)/2,IF(ISNUMBER(RU_Raw!AD25),AD22+(RU_Raw!AD25-AD22)/3,"")))</f>
        <v>116.8</v>
      </c>
      <c r="AE23" s="19">
        <f>IF(ISNUMBER(RU_Raw!AE23),RU_Raw!AE23,IF(ISNUMBER(RU_Raw!AE24),(AE22+RU_Raw!AE24)/2,IF(ISNUMBER(RU_Raw!AE25),AE22+(RU_Raw!AE25-AE22)/3,"")))</f>
        <v>109.2</v>
      </c>
      <c r="AF23" s="19">
        <f>IF(ISNUMBER(RU_Raw!AF23),RU_Raw!AF23,IF(ISNUMBER(RU_Raw!AF24),(AF22+RU_Raw!AF24)/2,IF(ISNUMBER(RU_Raw!AF25),AF22+(RU_Raw!AF25-AF22)/3,"")))</f>
        <v>113.3</v>
      </c>
      <c r="AG23" s="19">
        <f>IF(ISNUMBER(RU_Raw!AG23),RU_Raw!AG23,IF(ISNUMBER(RU_Raw!AG24),(AG22+RU_Raw!AG24)/2,IF(ISNUMBER(RU_Raw!AG25),AG22+(RU_Raw!AG25-AG22)/3,"")))</f>
        <v>119.2</v>
      </c>
      <c r="AH23" s="19">
        <f t="shared" si="1"/>
        <v>1451.6</v>
      </c>
    </row>
    <row r="24" spans="1:34">
      <c r="A24" s="6">
        <f>RU_Raw!A24</f>
        <v>2014</v>
      </c>
      <c r="B24" s="6">
        <f>RU_Raw!B24</f>
        <v>8</v>
      </c>
      <c r="C24" s="6" t="str">
        <f>RU_Raw!C24</f>
        <v>August</v>
      </c>
      <c r="D24" s="9">
        <f>RU_Raw!D24</f>
        <v>41852</v>
      </c>
      <c r="E24" s="6">
        <f>COUNTBLANK(RU_Raw!G24:AG24)</f>
        <v>0</v>
      </c>
      <c r="F24" s="6" t="str">
        <f t="shared" si="0"/>
        <v/>
      </c>
      <c r="G24" s="19">
        <f>IF(ISNUMBER(RU_Raw!G24),RU_Raw!G24,IF(ISNUMBER(RU_Raw!G25),(G23+RU_Raw!G25)/2,IF(ISNUMBER(RU_Raw!G26),G23+(RU_Raw!G26-G23)/3,"")))</f>
        <v>122.7</v>
      </c>
      <c r="H24" s="19">
        <f>IF(ISNUMBER(RU_Raw!H24),RU_Raw!H24,IF(ISNUMBER(RU_Raw!H25),(H23+RU_Raw!H25)/2,IF(ISNUMBER(RU_Raw!H26),H23+(RU_Raw!H26-H23)/3,"")))</f>
        <v>124.4</v>
      </c>
      <c r="I24" s="19">
        <f>IF(ISNUMBER(RU_Raw!I24),RU_Raw!I24,IF(ISNUMBER(RU_Raw!I25),(I23+RU_Raw!I25)/2,IF(ISNUMBER(RU_Raw!I26),I23+(RU_Raw!I26-I23)/3,"")))</f>
        <v>117.3</v>
      </c>
      <c r="J24" s="19">
        <f>IF(ISNUMBER(RU_Raw!J24),RU_Raw!J24,IF(ISNUMBER(RU_Raw!J25),(J23+RU_Raw!J25)/2,IF(ISNUMBER(RU_Raw!J26),J23+(RU_Raw!J26-J23)/3,"")))</f>
        <v>122</v>
      </c>
      <c r="K24" s="19">
        <f>IF(ISNUMBER(RU_Raw!K24),RU_Raw!K24,IF(ISNUMBER(RU_Raw!K25),(K23+RU_Raw!K25)/2,IF(ISNUMBER(RU_Raw!K26),K23+(RU_Raw!K26-K23)/3,"")))</f>
        <v>108</v>
      </c>
      <c r="L24" s="19">
        <f>IF(ISNUMBER(RU_Raw!L24),RU_Raw!L24,IF(ISNUMBER(RU_Raw!L25),(L23+RU_Raw!L25)/2,IF(ISNUMBER(RU_Raw!L26),L23+(RU_Raw!L26-L23)/3,"")))</f>
        <v>131.1</v>
      </c>
      <c r="M24" s="19">
        <f>IF(ISNUMBER(RU_Raw!M24),RU_Raw!M24,IF(ISNUMBER(RU_Raw!M25),(M23+RU_Raw!M25)/2,IF(ISNUMBER(RU_Raw!M26),M23+(RU_Raw!M26-M23)/3,"")))</f>
        <v>168.2</v>
      </c>
      <c r="N24" s="19">
        <f>IF(ISNUMBER(RU_Raw!N24),RU_Raw!N24,IF(ISNUMBER(RU_Raw!N25),(N23+RU_Raw!N25)/2,IF(ISNUMBER(RU_Raw!N26),N23+(RU_Raw!N26-N23)/3,"")))</f>
        <v>114.5</v>
      </c>
      <c r="O24" s="19">
        <f>IF(ISNUMBER(RU_Raw!O24),RU_Raw!O24,IF(ISNUMBER(RU_Raw!O25),(O23+RU_Raw!O25)/2,IF(ISNUMBER(RU_Raw!O26),O23+(RU_Raw!O26-O23)/3,"")))</f>
        <v>104.3</v>
      </c>
      <c r="P24" s="19">
        <f>IF(ISNUMBER(RU_Raw!P24),RU_Raw!P24,IF(ISNUMBER(RU_Raw!P25),(P23+RU_Raw!P25)/2,IF(ISNUMBER(RU_Raw!P26),P23+(RU_Raw!P26-P23)/3,"")))</f>
        <v>117.1</v>
      </c>
      <c r="Q24" s="19">
        <f>IF(ISNUMBER(RU_Raw!Q24),RU_Raw!Q24,IF(ISNUMBER(RU_Raw!Q25),(Q23+RU_Raw!Q25)/2,IF(ISNUMBER(RU_Raw!Q26),Q23+(RU_Raw!Q26-Q23)/3,"")))</f>
        <v>115.2</v>
      </c>
      <c r="R24" s="19">
        <f>IF(ISNUMBER(RU_Raw!R24),RU_Raw!R24,IF(ISNUMBER(RU_Raw!R25),(R23+RU_Raw!R25)/2,IF(ISNUMBER(RU_Raw!R26),R23+(RU_Raw!R26-R23)/3,"")))</f>
        <v>123.1</v>
      </c>
      <c r="S24" s="19">
        <f>IF(ISNUMBER(RU_Raw!S24),RU_Raw!S24,IF(ISNUMBER(RU_Raw!S25),(S23+RU_Raw!S25)/2,IF(ISNUMBER(RU_Raw!S26),S23+(RU_Raw!S26-S23)/3,"")))</f>
        <v>126.6</v>
      </c>
      <c r="T24" s="19">
        <f>IF(ISNUMBER(RU_Raw!T24),RU_Raw!T24,IF(ISNUMBER(RU_Raw!T25),(T23+RU_Raw!T25)/2,IF(ISNUMBER(RU_Raw!T26),T23+(RU_Raw!T26-T23)/3,"")))</f>
        <v>119.9</v>
      </c>
      <c r="U24" s="19">
        <f>IF(ISNUMBER(RU_Raw!U24),RU_Raw!U24,IF(ISNUMBER(RU_Raw!U25),(U23+RU_Raw!U25)/2,IF(ISNUMBER(RU_Raw!U26),U23+(RU_Raw!U26-U23)/3,"")))</f>
        <v>120</v>
      </c>
      <c r="V24" s="19">
        <f>IF(ISNUMBER(RU_Raw!V24),RU_Raw!V24,IF(ISNUMBER(RU_Raw!V25),(V23+RU_Raw!V25)/2,IF(ISNUMBER(RU_Raw!V26),V23+(RU_Raw!V26-V23)/3,"")))</f>
        <v>116.8</v>
      </c>
      <c r="W24" s="19">
        <f>IF(ISNUMBER(RU_Raw!W24),RU_Raw!W24,IF(ISNUMBER(RU_Raw!W25),(W23+RU_Raw!W25)/2,IF(ISNUMBER(RU_Raw!W26),W23+(RU_Raw!W26-W23)/3,"")))</f>
        <v>119.6</v>
      </c>
      <c r="X24" s="19">
        <f>IF(ISNUMBER(RU_Raw!X24),RU_Raw!X24,IF(ISNUMBER(RU_Raw!X25),(X23+RU_Raw!X25)/2,IF(ISNUMBER(RU_Raw!X26),X23+(RU_Raw!X26-X23)/3,"")))</f>
        <v>115.5</v>
      </c>
      <c r="Y24" s="19">
        <f>IF(ISNUMBER(RU_Raw!Y24),RU_Raw!Y24,IF(ISNUMBER(RU_Raw!Y25),(Y23+RU_Raw!Y25)/2,IF(ISNUMBER(RU_Raw!Y26),Y23+(RU_Raw!Y26-Y23)/3,"")))</f>
        <v>114</v>
      </c>
      <c r="Z24" s="19">
        <f>IF(ISNUMBER(RU_Raw!Z24),RU_Raw!Z24,IF(ISNUMBER(RU_Raw!Z25),(Z23+RU_Raw!Z25)/2,IF(ISNUMBER(RU_Raw!Z26),Z23+(RU_Raw!Z26-Z23)/3,"")))</f>
        <v>115.6</v>
      </c>
      <c r="AA24" s="19">
        <f>IF(ISNUMBER(RU_Raw!AA24),RU_Raw!AA24,IF(ISNUMBER(RU_Raw!AA25),(AA23+RU_Raw!AA25)/2,IF(ISNUMBER(RU_Raw!AA26),AA23+(RU_Raw!AA26-AA23)/3,"")))</f>
        <v>113.3</v>
      </c>
      <c r="AB24" s="19">
        <f>IF(ISNUMBER(RU_Raw!AB24),RU_Raw!AB24,IF(ISNUMBER(RU_Raw!AB25),(AB23+RU_Raw!AB25)/2,IF(ISNUMBER(RU_Raw!AB26),AB23+(RU_Raw!AB26-AB23)/3,"")))</f>
        <v>112.8</v>
      </c>
      <c r="AC24" s="19">
        <f>IF(ISNUMBER(RU_Raw!AC24),RU_Raw!AC24,IF(ISNUMBER(RU_Raw!AC25),(AC23+RU_Raw!AC25)/2,IF(ISNUMBER(RU_Raw!AC26),AC23+(RU_Raw!AC26-AC23)/3,"")))</f>
        <v>112.6</v>
      </c>
      <c r="AD24" s="19">
        <f>IF(ISNUMBER(RU_Raw!AD24),RU_Raw!AD24,IF(ISNUMBER(RU_Raw!AD25),(AD23+RU_Raw!AD25)/2,IF(ISNUMBER(RU_Raw!AD26),AD23+(RU_Raw!AD26-AD23)/3,"")))</f>
        <v>118</v>
      </c>
      <c r="AE24" s="19">
        <f>IF(ISNUMBER(RU_Raw!AE24),RU_Raw!AE24,IF(ISNUMBER(RU_Raw!AE25),(AE23+RU_Raw!AE25)/2,IF(ISNUMBER(RU_Raw!AE26),AE23+(RU_Raw!AE26-AE23)/3,"")))</f>
        <v>109.9</v>
      </c>
      <c r="AF24" s="19">
        <f>IF(ISNUMBER(RU_Raw!AF24),RU_Raw!AF24,IF(ISNUMBER(RU_Raw!AF25),(AF23+RU_Raw!AF25)/2,IF(ISNUMBER(RU_Raw!AF26),AF23+(RU_Raw!AF26-AF23)/3,"")))</f>
        <v>113.7</v>
      </c>
      <c r="AG24" s="19">
        <f>IF(ISNUMBER(RU_Raw!AG24),RU_Raw!AG24,IF(ISNUMBER(RU_Raw!AG25),(AG23+RU_Raw!AG25)/2,IF(ISNUMBER(RU_Raw!AG26),AG23+(RU_Raw!AG26-AG23)/3,"")))</f>
        <v>120.3</v>
      </c>
      <c r="AH24" s="19">
        <f t="shared" si="1"/>
        <v>1467.9</v>
      </c>
    </row>
    <row r="25" spans="1:34">
      <c r="A25" s="6">
        <f>RU_Raw!A25</f>
        <v>2014</v>
      </c>
      <c r="B25" s="6">
        <f>RU_Raw!B25</f>
        <v>9</v>
      </c>
      <c r="C25" s="6" t="str">
        <f>RU_Raw!C25</f>
        <v>September</v>
      </c>
      <c r="D25" s="9">
        <f>RU_Raw!D25</f>
        <v>41883</v>
      </c>
      <c r="E25" s="6">
        <f>COUNTBLANK(RU_Raw!G25:AG25)</f>
        <v>0</v>
      </c>
      <c r="F25" s="6" t="str">
        <f t="shared" si="0"/>
        <v/>
      </c>
      <c r="G25" s="19">
        <f>IF(ISNUMBER(RU_Raw!G25),RU_Raw!G25,IF(ISNUMBER(RU_Raw!G26),(G24+RU_Raw!G26)/2,IF(ISNUMBER(RU_Raw!G27),G24+(RU_Raw!G27-G24)/3,"")))</f>
        <v>122.9</v>
      </c>
      <c r="H25" s="19">
        <f>IF(ISNUMBER(RU_Raw!H25),RU_Raw!H25,IF(ISNUMBER(RU_Raw!H26),(H24+RU_Raw!H26)/2,IF(ISNUMBER(RU_Raw!H27),H24+(RU_Raw!H27-H24)/3,"")))</f>
        <v>123.5</v>
      </c>
      <c r="I25" s="19">
        <f>IF(ISNUMBER(RU_Raw!I25),RU_Raw!I25,IF(ISNUMBER(RU_Raw!I26),(I24+RU_Raw!I26)/2,IF(ISNUMBER(RU_Raw!I27),I24+(RU_Raw!I27-I24)/3,"")))</f>
        <v>117.3</v>
      </c>
      <c r="J25" s="19">
        <f>IF(ISNUMBER(RU_Raw!J25),RU_Raw!J25,IF(ISNUMBER(RU_Raw!J26),(J24+RU_Raw!J26)/2,IF(ISNUMBER(RU_Raw!J27),J24+(RU_Raw!J27-J24)/3,"")))</f>
        <v>122.7</v>
      </c>
      <c r="K25" s="19">
        <f>IF(ISNUMBER(RU_Raw!K25),RU_Raw!K25,IF(ISNUMBER(RU_Raw!K26),(K24+RU_Raw!K26)/2,IF(ISNUMBER(RU_Raw!K27),K24+(RU_Raw!K27-K24)/3,"")))</f>
        <v>107.9</v>
      </c>
      <c r="L25" s="19">
        <f>IF(ISNUMBER(RU_Raw!L25),RU_Raw!L25,IF(ISNUMBER(RU_Raw!L26),(L24+RU_Raw!L26)/2,IF(ISNUMBER(RU_Raw!L27),L24+(RU_Raw!L27-L24)/3,"")))</f>
        <v>127.3</v>
      </c>
      <c r="M25" s="19">
        <f>IF(ISNUMBER(RU_Raw!M25),RU_Raw!M25,IF(ISNUMBER(RU_Raw!M26),(M24+RU_Raw!M26)/2,IF(ISNUMBER(RU_Raw!M27),M24+(RU_Raw!M27-M24)/3,"")))</f>
        <v>162.1</v>
      </c>
      <c r="N25" s="19">
        <f>IF(ISNUMBER(RU_Raw!N25),RU_Raw!N25,IF(ISNUMBER(RU_Raw!N26),(N24+RU_Raw!N26)/2,IF(ISNUMBER(RU_Raw!N27),N24+(RU_Raw!N27-N24)/3,"")))</f>
        <v>115.6</v>
      </c>
      <c r="O25" s="19">
        <f>IF(ISNUMBER(RU_Raw!O25),RU_Raw!O25,IF(ISNUMBER(RU_Raw!O26),(O24+RU_Raw!O26)/2,IF(ISNUMBER(RU_Raw!O27),O24+(RU_Raw!O27-O24)/3,"")))</f>
        <v>103.8</v>
      </c>
      <c r="P25" s="19">
        <f>IF(ISNUMBER(RU_Raw!P25),RU_Raw!P25,IF(ISNUMBER(RU_Raw!P26),(P24+RU_Raw!P26)/2,IF(ISNUMBER(RU_Raw!P27),P24+(RU_Raw!P27-P24)/3,"")))</f>
        <v>117.6</v>
      </c>
      <c r="Q25" s="19">
        <f>IF(ISNUMBER(RU_Raw!Q25),RU_Raw!Q25,IF(ISNUMBER(RU_Raw!Q26),(Q24+RU_Raw!Q26)/2,IF(ISNUMBER(RU_Raw!Q27),Q24+(RU_Raw!Q27-Q24)/3,"")))</f>
        <v>115.8</v>
      </c>
      <c r="R25" s="19">
        <f>IF(ISNUMBER(RU_Raw!R25),RU_Raw!R25,IF(ISNUMBER(RU_Raw!R26),(R24+RU_Raw!R26)/2,IF(ISNUMBER(RU_Raw!R27),R24+(RU_Raw!R27-R24)/3,"")))</f>
        <v>123.8</v>
      </c>
      <c r="S25" s="19">
        <f>IF(ISNUMBER(RU_Raw!S25),RU_Raw!S25,IF(ISNUMBER(RU_Raw!S26),(S24+RU_Raw!S26)/2,IF(ISNUMBER(RU_Raw!S27),S24+(RU_Raw!S27-S24)/3,"")))</f>
        <v>125.8</v>
      </c>
      <c r="T25" s="19">
        <f>IF(ISNUMBER(RU_Raw!T25),RU_Raw!T25,IF(ISNUMBER(RU_Raw!T26),(T24+RU_Raw!T26)/2,IF(ISNUMBER(RU_Raw!T27),T24+(RU_Raw!T27-T24)/3,"")))</f>
        <v>120.8</v>
      </c>
      <c r="U25" s="19">
        <f>IF(ISNUMBER(RU_Raw!U25),RU_Raw!U25,IF(ISNUMBER(RU_Raw!U26),(U24+RU_Raw!U26)/2,IF(ISNUMBER(RU_Raw!U27),U24+(RU_Raw!U27-U24)/3,"")))</f>
        <v>120.7</v>
      </c>
      <c r="V25" s="19">
        <f>IF(ISNUMBER(RU_Raw!V25),RU_Raw!V25,IF(ISNUMBER(RU_Raw!V26),(V24+RU_Raw!V26)/2,IF(ISNUMBER(RU_Raw!V27),V24+(RU_Raw!V27-V24)/3,"")))</f>
        <v>117.2</v>
      </c>
      <c r="W25" s="19">
        <f>IF(ISNUMBER(RU_Raw!W25),RU_Raw!W25,IF(ISNUMBER(RU_Raw!W26),(W24+RU_Raw!W26)/2,IF(ISNUMBER(RU_Raw!W27),W24+(RU_Raw!W27-W24)/3,"")))</f>
        <v>120.1</v>
      </c>
      <c r="X25" s="19">
        <f>IF(ISNUMBER(RU_Raw!X25),RU_Raw!X25,IF(ISNUMBER(RU_Raw!X26),(X24+RU_Raw!X26)/2,IF(ISNUMBER(RU_Raw!X27),X24+(RU_Raw!X27-X24)/3,"")))</f>
        <v>116.1</v>
      </c>
      <c r="Y25" s="19">
        <f>IF(ISNUMBER(RU_Raw!Y25),RU_Raw!Y25,IF(ISNUMBER(RU_Raw!Y26),(Y24+RU_Raw!Y26)/2,IF(ISNUMBER(RU_Raw!Y27),Y24+(RU_Raw!Y27-Y24)/3,"")))</f>
        <v>114.3</v>
      </c>
      <c r="Z25" s="19">
        <f>IF(ISNUMBER(RU_Raw!Z25),RU_Raw!Z25,IF(ISNUMBER(RU_Raw!Z26),(Z24+RU_Raw!Z26)/2,IF(ISNUMBER(RU_Raw!Z27),Z24+(RU_Raw!Z27-Z24)/3,"")))</f>
        <v>116.1</v>
      </c>
      <c r="AA25" s="19">
        <f>IF(ISNUMBER(RU_Raw!AA25),RU_Raw!AA25,IF(ISNUMBER(RU_Raw!AA26),(AA24+RU_Raw!AA26)/2,IF(ISNUMBER(RU_Raw!AA27),AA24+(RU_Raw!AA27-AA24)/3,"")))</f>
        <v>113.7</v>
      </c>
      <c r="AB25" s="19">
        <f>IF(ISNUMBER(RU_Raw!AB25),RU_Raw!AB25,IF(ISNUMBER(RU_Raw!AB26),(AB24+RU_Raw!AB26)/2,IF(ISNUMBER(RU_Raw!AB27),AB24+(RU_Raw!AB27-AB24)/3,"")))</f>
        <v>112</v>
      </c>
      <c r="AC25" s="19">
        <f>IF(ISNUMBER(RU_Raw!AC25),RU_Raw!AC25,IF(ISNUMBER(RU_Raw!AC26),(AC24+RU_Raw!AC26)/2,IF(ISNUMBER(RU_Raw!AC27),AC24+(RU_Raw!AC27-AC24)/3,"")))</f>
        <v>113.1</v>
      </c>
      <c r="AD25" s="19">
        <f>IF(ISNUMBER(RU_Raw!AD25),RU_Raw!AD25,IF(ISNUMBER(RU_Raw!AD26),(AD24+RU_Raw!AD26)/2,IF(ISNUMBER(RU_Raw!AD27),AD24+(RU_Raw!AD27-AD24)/3,"")))</f>
        <v>118.6</v>
      </c>
      <c r="AE25" s="19">
        <f>IF(ISNUMBER(RU_Raw!AE25),RU_Raw!AE25,IF(ISNUMBER(RU_Raw!AE26),(AE24+RU_Raw!AE26)/2,IF(ISNUMBER(RU_Raw!AE27),AE24+(RU_Raw!AE27-AE24)/3,"")))</f>
        <v>109.5</v>
      </c>
      <c r="AF25" s="19">
        <f>IF(ISNUMBER(RU_Raw!AF25),RU_Raw!AF25,IF(ISNUMBER(RU_Raw!AF26),(AF24+RU_Raw!AF26)/2,IF(ISNUMBER(RU_Raw!AF27),AF24+(RU_Raw!AF27-AF24)/3,"")))</f>
        <v>113.7</v>
      </c>
      <c r="AG25" s="19">
        <f>IF(ISNUMBER(RU_Raw!AG25),RU_Raw!AG25,IF(ISNUMBER(RU_Raw!AG26),(AG24+RU_Raw!AG26)/2,IF(ISNUMBER(RU_Raw!AG27),AG24+(RU_Raw!AG27-AG24)/3,"")))</f>
        <v>120.1</v>
      </c>
      <c r="AH25" s="19">
        <f t="shared" si="1"/>
        <v>1460.3</v>
      </c>
    </row>
    <row r="26" spans="1:34">
      <c r="A26" s="6">
        <f>RU_Raw!A26</f>
        <v>2014</v>
      </c>
      <c r="B26" s="6">
        <f>RU_Raw!B26</f>
        <v>10</v>
      </c>
      <c r="C26" s="6" t="str">
        <f>RU_Raw!C26</f>
        <v>October</v>
      </c>
      <c r="D26" s="9">
        <f>RU_Raw!D26</f>
        <v>41913</v>
      </c>
      <c r="E26" s="6">
        <f>COUNTBLANK(RU_Raw!G26:AG26)</f>
        <v>0</v>
      </c>
      <c r="F26" s="6" t="str">
        <f t="shared" si="0"/>
        <v/>
      </c>
      <c r="G26" s="19">
        <f>IF(ISNUMBER(RU_Raw!G26),RU_Raw!G26,IF(ISNUMBER(RU_Raw!G27),(G25+RU_Raw!G27)/2,IF(ISNUMBER(RU_Raw!G28),G25+(RU_Raw!G28-G25)/3,"")))</f>
        <v>123.2</v>
      </c>
      <c r="H26" s="19">
        <f>IF(ISNUMBER(RU_Raw!H26),RU_Raw!H26,IF(ISNUMBER(RU_Raw!H27),(H25+RU_Raw!H27)/2,IF(ISNUMBER(RU_Raw!H28),H25+(RU_Raw!H28-H25)/3,"")))</f>
        <v>123.8</v>
      </c>
      <c r="I26" s="19">
        <f>IF(ISNUMBER(RU_Raw!I26),RU_Raw!I26,IF(ISNUMBER(RU_Raw!I27),(I25+RU_Raw!I27)/2,IF(ISNUMBER(RU_Raw!I28),I25+(RU_Raw!I28-I25)/3,"")))</f>
        <v>118.1</v>
      </c>
      <c r="J26" s="19">
        <f>IF(ISNUMBER(RU_Raw!J26),RU_Raw!J26,IF(ISNUMBER(RU_Raw!J27),(J25+RU_Raw!J27)/2,IF(ISNUMBER(RU_Raw!J28),J25+(RU_Raw!J28-J25)/3,"")))</f>
        <v>123.2</v>
      </c>
      <c r="K26" s="19">
        <f>IF(ISNUMBER(RU_Raw!K26),RU_Raw!K26,IF(ISNUMBER(RU_Raw!K27),(K25+RU_Raw!K27)/2,IF(ISNUMBER(RU_Raw!K28),K25+(RU_Raw!K28-K25)/3,"")))</f>
        <v>107.9</v>
      </c>
      <c r="L26" s="19">
        <f>IF(ISNUMBER(RU_Raw!L26),RU_Raw!L26,IF(ISNUMBER(RU_Raw!L27),(L25+RU_Raw!L27)/2,IF(ISNUMBER(RU_Raw!L28),L25+(RU_Raw!L28-L25)/3,"")))</f>
        <v>126.4</v>
      </c>
      <c r="M26" s="19">
        <f>IF(ISNUMBER(RU_Raw!M26),RU_Raw!M26,IF(ISNUMBER(RU_Raw!M27),(M25+RU_Raw!M27)/2,IF(ISNUMBER(RU_Raw!M28),M25+(RU_Raw!M28-M25)/3,"")))</f>
        <v>156.8</v>
      </c>
      <c r="N26" s="19">
        <f>IF(ISNUMBER(RU_Raw!N26),RU_Raw!N26,IF(ISNUMBER(RU_Raw!N27),(N25+RU_Raw!N27)/2,IF(ISNUMBER(RU_Raw!N28),N25+(RU_Raw!N28-N25)/3,"")))</f>
        <v>116.1</v>
      </c>
      <c r="O26" s="19">
        <f>IF(ISNUMBER(RU_Raw!O26),RU_Raw!O26,IF(ISNUMBER(RU_Raw!O27),(O25+RU_Raw!O27)/2,IF(ISNUMBER(RU_Raw!O28),O25+(RU_Raw!O28-O25)/3,"")))</f>
        <v>103.1</v>
      </c>
      <c r="P26" s="19">
        <f>IF(ISNUMBER(RU_Raw!P26),RU_Raw!P26,IF(ISNUMBER(RU_Raw!P27),(P25+RU_Raw!P27)/2,IF(ISNUMBER(RU_Raw!P28),P25+(RU_Raw!P28-P25)/3,"")))</f>
        <v>118.1</v>
      </c>
      <c r="Q26" s="19">
        <f>IF(ISNUMBER(RU_Raw!Q26),RU_Raw!Q26,IF(ISNUMBER(RU_Raw!Q27),(Q25+RU_Raw!Q27)/2,IF(ISNUMBER(RU_Raw!Q28),Q25+(RU_Raw!Q28-Q25)/3,"")))</f>
        <v>116.1</v>
      </c>
      <c r="R26" s="19">
        <f>IF(ISNUMBER(RU_Raw!R26),RU_Raw!R26,IF(ISNUMBER(RU_Raw!R27),(R25+RU_Raw!R27)/2,IF(ISNUMBER(RU_Raw!R28),R25+(RU_Raw!R28-R25)/3,"")))</f>
        <v>124.5</v>
      </c>
      <c r="S26" s="19">
        <f>IF(ISNUMBER(RU_Raw!S26),RU_Raw!S26,IF(ISNUMBER(RU_Raw!S27),(S25+RU_Raw!S27)/2,IF(ISNUMBER(RU_Raw!S28),S25+(RU_Raw!S28-S25)/3,"")))</f>
        <v>125.4</v>
      </c>
      <c r="T26" s="19">
        <f>IF(ISNUMBER(RU_Raw!T26),RU_Raw!T26,IF(ISNUMBER(RU_Raw!T27),(T25+RU_Raw!T27)/2,IF(ISNUMBER(RU_Raw!T28),T25+(RU_Raw!T28-T25)/3,"")))</f>
        <v>121.1</v>
      </c>
      <c r="U26" s="19">
        <f>IF(ISNUMBER(RU_Raw!U26),RU_Raw!U26,IF(ISNUMBER(RU_Raw!U27),(U25+RU_Raw!U27)/2,IF(ISNUMBER(RU_Raw!U28),U25+(RU_Raw!U28-U25)/3,"")))</f>
        <v>121.5</v>
      </c>
      <c r="V26" s="19">
        <f>IF(ISNUMBER(RU_Raw!V26),RU_Raw!V26,IF(ISNUMBER(RU_Raw!V27),(V25+RU_Raw!V27)/2,IF(ISNUMBER(RU_Raw!V28),V25+(RU_Raw!V28-V25)/3,"")))</f>
        <v>118.1</v>
      </c>
      <c r="W26" s="19">
        <f>IF(ISNUMBER(RU_Raw!W26),RU_Raw!W26,IF(ISNUMBER(RU_Raw!W27),(W25+RU_Raw!W27)/2,IF(ISNUMBER(RU_Raw!W28),W25+(RU_Raw!W28-W25)/3,"")))</f>
        <v>121</v>
      </c>
      <c r="X26" s="19">
        <f>IF(ISNUMBER(RU_Raw!X26),RU_Raw!X26,IF(ISNUMBER(RU_Raw!X27),(X25+RU_Raw!X27)/2,IF(ISNUMBER(RU_Raw!X28),X25+(RU_Raw!X28-X25)/3,"")))</f>
        <v>116.7</v>
      </c>
      <c r="Y26" s="19">
        <f>IF(ISNUMBER(RU_Raw!Y26),RU_Raw!Y26,IF(ISNUMBER(RU_Raw!Y27),(Y25+RU_Raw!Y27)/2,IF(ISNUMBER(RU_Raw!Y28),Y25+(RU_Raw!Y28-Y25)/3,"")))</f>
        <v>114.7</v>
      </c>
      <c r="Z26" s="19">
        <f>IF(ISNUMBER(RU_Raw!Z26),RU_Raw!Z26,IF(ISNUMBER(RU_Raw!Z27),(Z25+RU_Raw!Z27)/2,IF(ISNUMBER(RU_Raw!Z28),Z25+(RU_Raw!Z28-Z25)/3,"")))</f>
        <v>116.7</v>
      </c>
      <c r="AA26" s="19">
        <f>IF(ISNUMBER(RU_Raw!AA26),RU_Raw!AA26,IF(ISNUMBER(RU_Raw!AA27),(AA25+RU_Raw!AA27)/2,IF(ISNUMBER(RU_Raw!AA28),AA25+(RU_Raw!AA28-AA25)/3,"")))</f>
        <v>114.3</v>
      </c>
      <c r="AB26" s="19">
        <f>IF(ISNUMBER(RU_Raw!AB26),RU_Raw!AB26,IF(ISNUMBER(RU_Raw!AB27),(AB25+RU_Raw!AB27)/2,IF(ISNUMBER(RU_Raw!AB28),AB25+(RU_Raw!AB28-AB25)/3,"")))</f>
        <v>111.8</v>
      </c>
      <c r="AC26" s="19">
        <f>IF(ISNUMBER(RU_Raw!AC26),RU_Raw!AC26,IF(ISNUMBER(RU_Raw!AC27),(AC25+RU_Raw!AC27)/2,IF(ISNUMBER(RU_Raw!AC28),AC25+(RU_Raw!AC28-AC25)/3,"")))</f>
        <v>113.3</v>
      </c>
      <c r="AD26" s="19">
        <f>IF(ISNUMBER(RU_Raw!AD26),RU_Raw!AD26,IF(ISNUMBER(RU_Raw!AD27),(AD25+RU_Raw!AD27)/2,IF(ISNUMBER(RU_Raw!AD28),AD25+(RU_Raw!AD28-AD25)/3,"")))</f>
        <v>118.8</v>
      </c>
      <c r="AE26" s="19">
        <f>IF(ISNUMBER(RU_Raw!AE26),RU_Raw!AE26,IF(ISNUMBER(RU_Raw!AE27),(AE25+RU_Raw!AE27)/2,IF(ISNUMBER(RU_Raw!AE28),AE25+(RU_Raw!AE28-AE25)/3,"")))</f>
        <v>109.6</v>
      </c>
      <c r="AF26" s="19">
        <f>IF(ISNUMBER(RU_Raw!AF26),RU_Raw!AF26,IF(ISNUMBER(RU_Raw!AF27),(AF25+RU_Raw!AF27)/2,IF(ISNUMBER(RU_Raw!AF28),AF25+(RU_Raw!AF28-AF25)/3,"")))</f>
        <v>113.9</v>
      </c>
      <c r="AG26" s="19">
        <f>IF(ISNUMBER(RU_Raw!AG26),RU_Raw!AG26,IF(ISNUMBER(RU_Raw!AG27),(AG25+RU_Raw!AG27)/2,IF(ISNUMBER(RU_Raw!AG28),AG25+(RU_Raw!AG28-AG25)/3,"")))</f>
        <v>120.1</v>
      </c>
      <c r="AH26" s="19">
        <f t="shared" si="1"/>
        <v>1457.3</v>
      </c>
    </row>
    <row r="27" spans="1:34">
      <c r="A27" s="6">
        <f>RU_Raw!A27</f>
        <v>2014</v>
      </c>
      <c r="B27" s="6">
        <f>RU_Raw!B27</f>
        <v>11</v>
      </c>
      <c r="C27" s="6" t="str">
        <f>RU_Raw!C27</f>
        <v>November</v>
      </c>
      <c r="D27" s="9">
        <f>RU_Raw!D27</f>
        <v>41944</v>
      </c>
      <c r="E27" s="6">
        <f>COUNTBLANK(RU_Raw!G27:AG27)</f>
        <v>0</v>
      </c>
      <c r="F27" s="6" t="str">
        <f t="shared" si="0"/>
        <v/>
      </c>
      <c r="G27" s="19">
        <f>IF(ISNUMBER(RU_Raw!G27),RU_Raw!G27,IF(ISNUMBER(RU_Raw!G28),(G26+RU_Raw!G28)/2,IF(ISNUMBER(RU_Raw!G29),G26+(RU_Raw!G29-G26)/3,"")))</f>
        <v>123.3</v>
      </c>
      <c r="H27" s="19">
        <f>IF(ISNUMBER(RU_Raw!H27),RU_Raw!H27,IF(ISNUMBER(RU_Raw!H28),(H26+RU_Raw!H28)/2,IF(ISNUMBER(RU_Raw!H29),H26+(RU_Raw!H29-H26)/3,"")))</f>
        <v>123.7</v>
      </c>
      <c r="I27" s="19">
        <f>IF(ISNUMBER(RU_Raw!I27),RU_Raw!I27,IF(ISNUMBER(RU_Raw!I28),(I26+RU_Raw!I28)/2,IF(ISNUMBER(RU_Raw!I29),I26+(RU_Raw!I29-I26)/3,"")))</f>
        <v>121</v>
      </c>
      <c r="J27" s="19">
        <f>IF(ISNUMBER(RU_Raw!J27),RU_Raw!J27,IF(ISNUMBER(RU_Raw!J28),(J26+RU_Raw!J28)/2,IF(ISNUMBER(RU_Raw!J29),J26+(RU_Raw!J29-J26)/3,"")))</f>
        <v>124.2</v>
      </c>
      <c r="K27" s="19">
        <f>IF(ISNUMBER(RU_Raw!K27),RU_Raw!K27,IF(ISNUMBER(RU_Raw!K28),(K26+RU_Raw!K28)/2,IF(ISNUMBER(RU_Raw!K29),K26+(RU_Raw!K29-K26)/3,"")))</f>
        <v>107.8</v>
      </c>
      <c r="L27" s="19">
        <f>IF(ISNUMBER(RU_Raw!L27),RU_Raw!L27,IF(ISNUMBER(RU_Raw!L28),(L26+RU_Raw!L28)/2,IF(ISNUMBER(RU_Raw!L29),L26+(RU_Raw!L29-L26)/3,"")))</f>
        <v>125.7</v>
      </c>
      <c r="M27" s="19">
        <f>IF(ISNUMBER(RU_Raw!M27),RU_Raw!M27,IF(ISNUMBER(RU_Raw!M28),(M26+RU_Raw!M28)/2,IF(ISNUMBER(RU_Raw!M29),M26+(RU_Raw!M29-M26)/3,"")))</f>
        <v>152.4</v>
      </c>
      <c r="N27" s="19">
        <f>IF(ISNUMBER(RU_Raw!N27),RU_Raw!N27,IF(ISNUMBER(RU_Raw!N28),(N26+RU_Raw!N28)/2,IF(ISNUMBER(RU_Raw!N29),N26+(RU_Raw!N29-N26)/3,"")))</f>
        <v>117.2</v>
      </c>
      <c r="O27" s="19">
        <f>IF(ISNUMBER(RU_Raw!O27),RU_Raw!O27,IF(ISNUMBER(RU_Raw!O28),(O26+RU_Raw!O28)/2,IF(ISNUMBER(RU_Raw!O29),O26+(RU_Raw!O29-O26)/3,"")))</f>
        <v>102.1</v>
      </c>
      <c r="P27" s="19">
        <f>IF(ISNUMBER(RU_Raw!P27),RU_Raw!P27,IF(ISNUMBER(RU_Raw!P28),(P26+RU_Raw!P28)/2,IF(ISNUMBER(RU_Raw!P29),P26+(RU_Raw!P29-P26)/3,"")))</f>
        <v>118.7</v>
      </c>
      <c r="Q27" s="19">
        <f>IF(ISNUMBER(RU_Raw!Q27),RU_Raw!Q27,IF(ISNUMBER(RU_Raw!Q28),(Q26+RU_Raw!Q28)/2,IF(ISNUMBER(RU_Raw!Q29),Q26+(RU_Raw!Q29-Q26)/3,"")))</f>
        <v>116.4</v>
      </c>
      <c r="R27" s="19">
        <f>IF(ISNUMBER(RU_Raw!R27),RU_Raw!R27,IF(ISNUMBER(RU_Raw!R28),(R26+RU_Raw!R28)/2,IF(ISNUMBER(RU_Raw!R29),R26+(RU_Raw!R29-R26)/3,"")))</f>
        <v>125.6</v>
      </c>
      <c r="S27" s="19">
        <f>IF(ISNUMBER(RU_Raw!S27),RU_Raw!S27,IF(ISNUMBER(RU_Raw!S28),(S26+RU_Raw!S28)/2,IF(ISNUMBER(RU_Raw!S29),S26+(RU_Raw!S29-S26)/3,"")))</f>
        <v>125.1</v>
      </c>
      <c r="T27" s="19">
        <f>IF(ISNUMBER(RU_Raw!T27),RU_Raw!T27,IF(ISNUMBER(RU_Raw!T28),(T26+RU_Raw!T28)/2,IF(ISNUMBER(RU_Raw!T29),T26+(RU_Raw!T29-T26)/3,"")))</f>
        <v>122.1</v>
      </c>
      <c r="U27" s="19">
        <f>IF(ISNUMBER(RU_Raw!U27),RU_Raw!U27,IF(ISNUMBER(RU_Raw!U28),(U26+RU_Raw!U28)/2,IF(ISNUMBER(RU_Raw!U29),U26+(RU_Raw!U29-U26)/3,"")))</f>
        <v>122.1</v>
      </c>
      <c r="V27" s="19">
        <f>IF(ISNUMBER(RU_Raw!V27),RU_Raw!V27,IF(ISNUMBER(RU_Raw!V28),(V26+RU_Raw!V28)/2,IF(ISNUMBER(RU_Raw!V29),V26+(RU_Raw!V29-V26)/3,"")))</f>
        <v>118.4</v>
      </c>
      <c r="W27" s="19">
        <f>IF(ISNUMBER(RU_Raw!W27),RU_Raw!W27,IF(ISNUMBER(RU_Raw!W28),(W26+RU_Raw!W28)/2,IF(ISNUMBER(RU_Raw!W29),W26+(RU_Raw!W29-W26)/3,"")))</f>
        <v>121.6</v>
      </c>
      <c r="X27" s="19">
        <f>IF(ISNUMBER(RU_Raw!X27),RU_Raw!X27,IF(ISNUMBER(RU_Raw!X28),(X26+RU_Raw!X28)/2,IF(ISNUMBER(RU_Raw!X29),X26+(RU_Raw!X29-X26)/3,"")))</f>
        <v>117.1</v>
      </c>
      <c r="Y27" s="19">
        <f>IF(ISNUMBER(RU_Raw!Y27),RU_Raw!Y27,IF(ISNUMBER(RU_Raw!Y28),(Y26+RU_Raw!Y28)/2,IF(ISNUMBER(RU_Raw!Y29),Y26+(RU_Raw!Y29-Y26)/3,"")))</f>
        <v>115.5</v>
      </c>
      <c r="Z27" s="19">
        <f>IF(ISNUMBER(RU_Raw!Z27),RU_Raw!Z27,IF(ISNUMBER(RU_Raw!Z28),(Z26+RU_Raw!Z28)/2,IF(ISNUMBER(RU_Raw!Z29),Z26+(RU_Raw!Z29-Z26)/3,"")))</f>
        <v>117.3</v>
      </c>
      <c r="AA27" s="19">
        <f>IF(ISNUMBER(RU_Raw!AA27),RU_Raw!AA27,IF(ISNUMBER(RU_Raw!AA28),(AA26+RU_Raw!AA28)/2,IF(ISNUMBER(RU_Raw!AA29),AA26+(RU_Raw!AA29-AA26)/3,"")))</f>
        <v>114.8</v>
      </c>
      <c r="AB27" s="19">
        <f>IF(ISNUMBER(RU_Raw!AB27),RU_Raw!AB27,IF(ISNUMBER(RU_Raw!AB28),(AB26+RU_Raw!AB28)/2,IF(ISNUMBER(RU_Raw!AB29),AB26+(RU_Raw!AB29-AB26)/3,"")))</f>
        <v>110.8</v>
      </c>
      <c r="AC27" s="19">
        <f>IF(ISNUMBER(RU_Raw!AC27),RU_Raw!AC27,IF(ISNUMBER(RU_Raw!AC28),(AC26+RU_Raw!AC28)/2,IF(ISNUMBER(RU_Raw!AC29),AC26+(RU_Raw!AC29-AC26)/3,"")))</f>
        <v>113.7</v>
      </c>
      <c r="AD27" s="19">
        <f>IF(ISNUMBER(RU_Raw!AD27),RU_Raw!AD27,IF(ISNUMBER(RU_Raw!AD28),(AD26+RU_Raw!AD28)/2,IF(ISNUMBER(RU_Raw!AD29),AD26+(RU_Raw!AD29-AD26)/3,"")))</f>
        <v>119</v>
      </c>
      <c r="AE27" s="19">
        <f>IF(ISNUMBER(RU_Raw!AE27),RU_Raw!AE27,IF(ISNUMBER(RU_Raw!AE28),(AE26+RU_Raw!AE28)/2,IF(ISNUMBER(RU_Raw!AE29),AE26+(RU_Raw!AE29-AE26)/3,"")))</f>
        <v>109.1</v>
      </c>
      <c r="AF27" s="19">
        <f>IF(ISNUMBER(RU_Raw!AF27),RU_Raw!AF27,IF(ISNUMBER(RU_Raw!AF28),(AF26+RU_Raw!AF28)/2,IF(ISNUMBER(RU_Raw!AF29),AF26+(RU_Raw!AF29-AF26)/3,"")))</f>
        <v>113.8</v>
      </c>
      <c r="AG27" s="19">
        <f>IF(ISNUMBER(RU_Raw!AG27),RU_Raw!AG27,IF(ISNUMBER(RU_Raw!AG28),(AG26+RU_Raw!AG28)/2,IF(ISNUMBER(RU_Raw!AG29),AG26+(RU_Raw!AG29-AG26)/3,"")))</f>
        <v>120.1</v>
      </c>
      <c r="AH27" s="19">
        <f t="shared" si="1"/>
        <v>1458.1</v>
      </c>
    </row>
    <row r="28" spans="1:34">
      <c r="A28" s="6">
        <f>RU_Raw!A28</f>
        <v>2014</v>
      </c>
      <c r="B28" s="6">
        <f>RU_Raw!B28</f>
        <v>12</v>
      </c>
      <c r="C28" s="6" t="str">
        <f>RU_Raw!C28</f>
        <v>December</v>
      </c>
      <c r="D28" s="9">
        <f>RU_Raw!D28</f>
        <v>41974</v>
      </c>
      <c r="E28" s="6">
        <f>COUNTBLANK(RU_Raw!G28:AG28)</f>
        <v>0</v>
      </c>
      <c r="F28" s="6" t="str">
        <f t="shared" si="0"/>
        <v/>
      </c>
      <c r="G28" s="19">
        <f>IF(ISNUMBER(RU_Raw!G28),RU_Raw!G28,IF(ISNUMBER(RU_Raw!G29),(G27+RU_Raw!G29)/2,IF(ISNUMBER(RU_Raw!G30),G27+(RU_Raw!G30-G27)/3,"")))</f>
        <v>122.9</v>
      </c>
      <c r="H28" s="19">
        <f>IF(ISNUMBER(RU_Raw!H28),RU_Raw!H28,IF(ISNUMBER(RU_Raw!H29),(H27+RU_Raw!H29)/2,IF(ISNUMBER(RU_Raw!H30),H27+(RU_Raw!H30-H27)/3,"")))</f>
        <v>123.2</v>
      </c>
      <c r="I28" s="19">
        <f>IF(ISNUMBER(RU_Raw!I28),RU_Raw!I28,IF(ISNUMBER(RU_Raw!I29),(I27+RU_Raw!I29)/2,IF(ISNUMBER(RU_Raw!I30),I27+(RU_Raw!I30-I27)/3,"")))</f>
        <v>123.5</v>
      </c>
      <c r="J28" s="19">
        <f>IF(ISNUMBER(RU_Raw!J28),RU_Raw!J28,IF(ISNUMBER(RU_Raw!J29),(J27+RU_Raw!J29)/2,IF(ISNUMBER(RU_Raw!J30),J27+(RU_Raw!J30-J27)/3,"")))</f>
        <v>124.5</v>
      </c>
      <c r="K28" s="19">
        <f>IF(ISNUMBER(RU_Raw!K28),RU_Raw!K28,IF(ISNUMBER(RU_Raw!K29),(K27+RU_Raw!K29)/2,IF(ISNUMBER(RU_Raw!K30),K27+(RU_Raw!K30-K27)/3,"")))</f>
        <v>107.6</v>
      </c>
      <c r="L28" s="19">
        <f>IF(ISNUMBER(RU_Raw!L28),RU_Raw!L28,IF(ISNUMBER(RU_Raw!L29),(L27+RU_Raw!L29)/2,IF(ISNUMBER(RU_Raw!L30),L27+(RU_Raw!L30-L27)/3,"")))</f>
        <v>125.7</v>
      </c>
      <c r="M28" s="19">
        <f>IF(ISNUMBER(RU_Raw!M28),RU_Raw!M28,IF(ISNUMBER(RU_Raw!M29),(M27+RU_Raw!M29)/2,IF(ISNUMBER(RU_Raw!M30),M27+(RU_Raw!M30-M27)/3,"")))</f>
        <v>140.5</v>
      </c>
      <c r="N28" s="19">
        <f>IF(ISNUMBER(RU_Raw!N28),RU_Raw!N28,IF(ISNUMBER(RU_Raw!N29),(N27+RU_Raw!N29)/2,IF(ISNUMBER(RU_Raw!N30),N27+(RU_Raw!N30-N27)/3,"")))</f>
        <v>117.6</v>
      </c>
      <c r="O28" s="19">
        <f>IF(ISNUMBER(RU_Raw!O28),RU_Raw!O28,IF(ISNUMBER(RU_Raw!O29),(O27+RU_Raw!O29)/2,IF(ISNUMBER(RU_Raw!O30),O27+(RU_Raw!O30-O27)/3,"")))</f>
        <v>100.6</v>
      </c>
      <c r="P28" s="19">
        <f>IF(ISNUMBER(RU_Raw!P28),RU_Raw!P28,IF(ISNUMBER(RU_Raw!P29),(P27+RU_Raw!P29)/2,IF(ISNUMBER(RU_Raw!P30),P27+(RU_Raw!P30-P27)/3,"")))</f>
        <v>119.1</v>
      </c>
      <c r="Q28" s="19">
        <f>IF(ISNUMBER(RU_Raw!Q28),RU_Raw!Q28,IF(ISNUMBER(RU_Raw!Q29),(Q27+RU_Raw!Q29)/2,IF(ISNUMBER(RU_Raw!Q30),Q27+(RU_Raw!Q30-Q27)/3,"")))</f>
        <v>116.8</v>
      </c>
      <c r="R28" s="19">
        <f>IF(ISNUMBER(RU_Raw!R28),RU_Raw!R28,IF(ISNUMBER(RU_Raw!R29),(R27+RU_Raw!R29)/2,IF(ISNUMBER(RU_Raw!R30),R27+(RU_Raw!R30-R27)/3,"")))</f>
        <v>126.1</v>
      </c>
      <c r="S28" s="19">
        <f>IF(ISNUMBER(RU_Raw!S28),RU_Raw!S28,IF(ISNUMBER(RU_Raw!S29),(S27+RU_Raw!S29)/2,IF(ISNUMBER(RU_Raw!S30),S27+(RU_Raw!S30-S27)/3,"")))</f>
        <v>123.6</v>
      </c>
      <c r="T28" s="19">
        <f>IF(ISNUMBER(RU_Raw!T28),RU_Raw!T28,IF(ISNUMBER(RU_Raw!T29),(T27+RU_Raw!T29)/2,IF(ISNUMBER(RU_Raw!T30),T27+(RU_Raw!T30-T27)/3,"")))</f>
        <v>123</v>
      </c>
      <c r="U28" s="19">
        <f>IF(ISNUMBER(RU_Raw!U28),RU_Raw!U28,IF(ISNUMBER(RU_Raw!U29),(U27+RU_Raw!U29)/2,IF(ISNUMBER(RU_Raw!U30),U27+(RU_Raw!U30-U27)/3,"")))</f>
        <v>122.6</v>
      </c>
      <c r="V28" s="19">
        <f>IF(ISNUMBER(RU_Raw!V28),RU_Raw!V28,IF(ISNUMBER(RU_Raw!V29),(V27+RU_Raw!V29)/2,IF(ISNUMBER(RU_Raw!V30),V27+(RU_Raw!V30-V27)/3,"")))</f>
        <v>118.6</v>
      </c>
      <c r="W28" s="19">
        <f>IF(ISNUMBER(RU_Raw!W28),RU_Raw!W28,IF(ISNUMBER(RU_Raw!W29),(W27+RU_Raw!W29)/2,IF(ISNUMBER(RU_Raw!W30),W27+(RU_Raw!W30-W27)/3,"")))</f>
        <v>122</v>
      </c>
      <c r="X28" s="19">
        <f>IF(ISNUMBER(RU_Raw!X28),RU_Raw!X28,IF(ISNUMBER(RU_Raw!X29),(X27+RU_Raw!X29)/2,IF(ISNUMBER(RU_Raw!X30),X27+(RU_Raw!X30-X27)/3,"")))</f>
        <v>116.5</v>
      </c>
      <c r="Y28" s="19">
        <f>IF(ISNUMBER(RU_Raw!Y28),RU_Raw!Y28,IF(ISNUMBER(RU_Raw!Y29),(Y27+RU_Raw!Y29)/2,IF(ISNUMBER(RU_Raw!Y30),Y27+(RU_Raw!Y30-Y27)/3,"")))</f>
        <v>115.7</v>
      </c>
      <c r="Z28" s="19">
        <f>IF(ISNUMBER(RU_Raw!Z28),RU_Raw!Z28,IF(ISNUMBER(RU_Raw!Z29),(Z27+RU_Raw!Z29)/2,IF(ISNUMBER(RU_Raw!Z30),Z27+(RU_Raw!Z30-Z27)/3,"")))</f>
        <v>117.5</v>
      </c>
      <c r="AA28" s="19">
        <f>IF(ISNUMBER(RU_Raw!AA28),RU_Raw!AA28,IF(ISNUMBER(RU_Raw!AA29),(AA27+RU_Raw!AA29)/2,IF(ISNUMBER(RU_Raw!AA30),AA27+(RU_Raw!AA30-AA27)/3,"")))</f>
        <v>115.1</v>
      </c>
      <c r="AB28" s="19">
        <f>IF(ISNUMBER(RU_Raw!AB28),RU_Raw!AB28,IF(ISNUMBER(RU_Raw!AB29),(AB27+RU_Raw!AB29)/2,IF(ISNUMBER(RU_Raw!AB30),AB27+(RU_Raw!AB30-AB27)/3,"")))</f>
        <v>110.1</v>
      </c>
      <c r="AC28" s="19">
        <f>IF(ISNUMBER(RU_Raw!AC28),RU_Raw!AC28,IF(ISNUMBER(RU_Raw!AC29),(AC27+RU_Raw!AC29)/2,IF(ISNUMBER(RU_Raw!AC30),AC27+(RU_Raw!AC30-AC27)/3,"")))</f>
        <v>113.9</v>
      </c>
      <c r="AD28" s="19">
        <f>IF(ISNUMBER(RU_Raw!AD28),RU_Raw!AD28,IF(ISNUMBER(RU_Raw!AD29),(AD27+RU_Raw!AD29)/2,IF(ISNUMBER(RU_Raw!AD30),AD27+(RU_Raw!AD30-AD27)/3,"")))</f>
        <v>119.5</v>
      </c>
      <c r="AE28" s="19">
        <f>IF(ISNUMBER(RU_Raw!AE28),RU_Raw!AE28,IF(ISNUMBER(RU_Raw!AE29),(AE27+RU_Raw!AE29)/2,IF(ISNUMBER(RU_Raw!AE30),AE27+(RU_Raw!AE30-AE27)/3,"")))</f>
        <v>109.8</v>
      </c>
      <c r="AF28" s="19">
        <f>IF(ISNUMBER(RU_Raw!AF28),RU_Raw!AF28,IF(ISNUMBER(RU_Raw!AF29),(AF27+RU_Raw!AF29)/2,IF(ISNUMBER(RU_Raw!AF30),AF27+(RU_Raw!AF30-AF27)/3,"")))</f>
        <v>113.8</v>
      </c>
      <c r="AG28" s="19">
        <f>IF(ISNUMBER(RU_Raw!AG28),RU_Raw!AG28,IF(ISNUMBER(RU_Raw!AG29),(AG27+RU_Raw!AG29)/2,IF(ISNUMBER(RU_Raw!AG30),AG27+(RU_Raw!AG30-AG27)/3,"")))</f>
        <v>119.4</v>
      </c>
      <c r="AH28" s="19">
        <f t="shared" si="1"/>
        <v>1448.1</v>
      </c>
    </row>
    <row r="29" spans="1:34">
      <c r="A29" s="6">
        <f>RU_Raw!A29</f>
        <v>2015</v>
      </c>
      <c r="B29" s="6">
        <f>RU_Raw!B29</f>
        <v>1</v>
      </c>
      <c r="C29" s="6" t="str">
        <f>RU_Raw!C29</f>
        <v>January</v>
      </c>
      <c r="D29" s="9">
        <f>RU_Raw!D29</f>
        <v>42005</v>
      </c>
      <c r="E29" s="6">
        <f>COUNTBLANK(RU_Raw!G29:AG29)</f>
        <v>0</v>
      </c>
      <c r="F29" s="6" t="str">
        <f t="shared" si="0"/>
        <v/>
      </c>
      <c r="G29" s="19">
        <f>IF(ISNUMBER(RU_Raw!G29),RU_Raw!G29,IF(ISNUMBER(RU_Raw!G30),(G28+RU_Raw!G30)/2,IF(ISNUMBER(RU_Raw!G31),G28+(RU_Raw!G31-G28)/3,"")))</f>
        <v>123.4</v>
      </c>
      <c r="H29" s="19">
        <f>IF(ISNUMBER(RU_Raw!H29),RU_Raw!H29,IF(ISNUMBER(RU_Raw!H30),(H28+RU_Raw!H30)/2,IF(ISNUMBER(RU_Raw!H31),H28+(RU_Raw!H31-H28)/3,"")))</f>
        <v>123.9</v>
      </c>
      <c r="I29" s="19">
        <f>IF(ISNUMBER(RU_Raw!I29),RU_Raw!I29,IF(ISNUMBER(RU_Raw!I30),(I28+RU_Raw!I30)/2,IF(ISNUMBER(RU_Raw!I31),I28+(RU_Raw!I31-I28)/3,"")))</f>
        <v>123.8</v>
      </c>
      <c r="J29" s="19">
        <f>IF(ISNUMBER(RU_Raw!J29),RU_Raw!J29,IF(ISNUMBER(RU_Raw!J30),(J28+RU_Raw!J30)/2,IF(ISNUMBER(RU_Raw!J31),J28+(RU_Raw!J31-J28)/3,"")))</f>
        <v>125</v>
      </c>
      <c r="K29" s="19">
        <f>IF(ISNUMBER(RU_Raw!K29),RU_Raw!K29,IF(ISNUMBER(RU_Raw!K30),(K28+RU_Raw!K30)/2,IF(ISNUMBER(RU_Raw!K31),K28+(RU_Raw!K31-K28)/3,"")))</f>
        <v>108.5</v>
      </c>
      <c r="L29" s="19">
        <f>IF(ISNUMBER(RU_Raw!L29),RU_Raw!L29,IF(ISNUMBER(RU_Raw!L30),(L28+RU_Raw!L30)/2,IF(ISNUMBER(RU_Raw!L31),L28+(RU_Raw!L31-L28)/3,"")))</f>
        <v>126.2</v>
      </c>
      <c r="M29" s="19">
        <f>IF(ISNUMBER(RU_Raw!M29),RU_Raw!M29,IF(ISNUMBER(RU_Raw!M30),(M28+RU_Raw!M30)/2,IF(ISNUMBER(RU_Raw!M31),M28+(RU_Raw!M31-M28)/3,"")))</f>
        <v>133</v>
      </c>
      <c r="N29" s="19">
        <f>IF(ISNUMBER(RU_Raw!N29),RU_Raw!N29,IF(ISNUMBER(RU_Raw!N30),(N28+RU_Raw!N30)/2,IF(ISNUMBER(RU_Raw!N31),N28+(RU_Raw!N31-N28)/3,"")))</f>
        <v>119.1</v>
      </c>
      <c r="O29" s="19">
        <f>IF(ISNUMBER(RU_Raw!O29),RU_Raw!O29,IF(ISNUMBER(RU_Raw!O30),(O28+RU_Raw!O30)/2,IF(ISNUMBER(RU_Raw!O31),O28+(RU_Raw!O31-O28)/3,"")))</f>
        <v>99</v>
      </c>
      <c r="P29" s="19">
        <f>IF(ISNUMBER(RU_Raw!P29),RU_Raw!P29,IF(ISNUMBER(RU_Raw!P30),(P28+RU_Raw!P30)/2,IF(ISNUMBER(RU_Raw!P31),P28+(RU_Raw!P31-P28)/3,"")))</f>
        <v>120.3</v>
      </c>
      <c r="Q29" s="19">
        <f>IF(ISNUMBER(RU_Raw!Q29),RU_Raw!Q29,IF(ISNUMBER(RU_Raw!Q30),(Q28+RU_Raw!Q30)/2,IF(ISNUMBER(RU_Raw!Q31),Q28+(RU_Raw!Q31-Q28)/3,"")))</f>
        <v>117.3</v>
      </c>
      <c r="R29" s="19">
        <f>IF(ISNUMBER(RU_Raw!R29),RU_Raw!R29,IF(ISNUMBER(RU_Raw!R30),(R28+RU_Raw!R30)/2,IF(ISNUMBER(RU_Raw!R31),R28+(RU_Raw!R31-R28)/3,"")))</f>
        <v>126.7</v>
      </c>
      <c r="S29" s="19">
        <f>IF(ISNUMBER(RU_Raw!S29),RU_Raw!S29,IF(ISNUMBER(RU_Raw!S30),(S28+RU_Raw!S30)/2,IF(ISNUMBER(RU_Raw!S31),S28+(RU_Raw!S31-S28)/3,"")))</f>
        <v>123.1</v>
      </c>
      <c r="T29" s="19">
        <f>IF(ISNUMBER(RU_Raw!T29),RU_Raw!T29,IF(ISNUMBER(RU_Raw!T30),(T28+RU_Raw!T30)/2,IF(ISNUMBER(RU_Raw!T31),T28+(RU_Raw!T31-T28)/3,"")))</f>
        <v>124</v>
      </c>
      <c r="U29" s="19">
        <f>IF(ISNUMBER(RU_Raw!U29),RU_Raw!U29,IF(ISNUMBER(RU_Raw!U30),(U28+RU_Raw!U30)/2,IF(ISNUMBER(RU_Raw!U31),U28+(RU_Raw!U31-U28)/3,"")))</f>
        <v>123.1</v>
      </c>
      <c r="V29" s="19">
        <f>IF(ISNUMBER(RU_Raw!V29),RU_Raw!V29,IF(ISNUMBER(RU_Raw!V30),(V28+RU_Raw!V30)/2,IF(ISNUMBER(RU_Raw!V31),V28+(RU_Raw!V31-V28)/3,"")))</f>
        <v>119.3</v>
      </c>
      <c r="W29" s="19">
        <f>IF(ISNUMBER(RU_Raw!W29),RU_Raw!W29,IF(ISNUMBER(RU_Raw!W30),(W28+RU_Raw!W30)/2,IF(ISNUMBER(RU_Raw!W31),W28+(RU_Raw!W31-W28)/3,"")))</f>
        <v>122.5</v>
      </c>
      <c r="X29" s="19">
        <f>IF(ISNUMBER(RU_Raw!X29),RU_Raw!X29,IF(ISNUMBER(RU_Raw!X30),(X28+RU_Raw!X30)/2,IF(ISNUMBER(RU_Raw!X31),X28+(RU_Raw!X31-X28)/3,"")))</f>
        <v>117.3</v>
      </c>
      <c r="Y29" s="19">
        <f>IF(ISNUMBER(RU_Raw!Y29),RU_Raw!Y29,IF(ISNUMBER(RU_Raw!Y30),(Y28+RU_Raw!Y30)/2,IF(ISNUMBER(RU_Raw!Y31),Y28+(RU_Raw!Y31-Y28)/3,"")))</f>
        <v>116.5</v>
      </c>
      <c r="Z29" s="19">
        <f>IF(ISNUMBER(RU_Raw!Z29),RU_Raw!Z29,IF(ISNUMBER(RU_Raw!Z30),(Z28+RU_Raw!Z30)/2,IF(ISNUMBER(RU_Raw!Z31),Z28+(RU_Raw!Z31-Z28)/3,"")))</f>
        <v>118.1</v>
      </c>
      <c r="AA29" s="19">
        <f>IF(ISNUMBER(RU_Raw!AA29),RU_Raw!AA29,IF(ISNUMBER(RU_Raw!AA30),(AA28+RU_Raw!AA30)/2,IF(ISNUMBER(RU_Raw!AA31),AA28+(RU_Raw!AA31-AA28)/3,"")))</f>
        <v>115.5</v>
      </c>
      <c r="AB29" s="19">
        <f>IF(ISNUMBER(RU_Raw!AB29),RU_Raw!AB29,IF(ISNUMBER(RU_Raw!AB30),(AB28+RU_Raw!AB30)/2,IF(ISNUMBER(RU_Raw!AB31),AB28+(RU_Raw!AB31-AB28)/3,"")))</f>
        <v>109.4</v>
      </c>
      <c r="AC29" s="19">
        <f>IF(ISNUMBER(RU_Raw!AC29),RU_Raw!AC29,IF(ISNUMBER(RU_Raw!AC30),(AC28+RU_Raw!AC30)/2,IF(ISNUMBER(RU_Raw!AC31),AC28+(RU_Raw!AC31-AC28)/3,"")))</f>
        <v>114.3</v>
      </c>
      <c r="AD29" s="19">
        <f>IF(ISNUMBER(RU_Raw!AD29),RU_Raw!AD29,IF(ISNUMBER(RU_Raw!AD30),(AD28+RU_Raw!AD30)/2,IF(ISNUMBER(RU_Raw!AD31),AD28+(RU_Raw!AD31-AD28)/3,"")))</f>
        <v>119.7</v>
      </c>
      <c r="AE29" s="19">
        <f>IF(ISNUMBER(RU_Raw!AE29),RU_Raw!AE29,IF(ISNUMBER(RU_Raw!AE30),(AE28+RU_Raw!AE30)/2,IF(ISNUMBER(RU_Raw!AE31),AE28+(RU_Raw!AE31-AE28)/3,"")))</f>
        <v>110.7</v>
      </c>
      <c r="AF29" s="19">
        <f>IF(ISNUMBER(RU_Raw!AF29),RU_Raw!AF29,IF(ISNUMBER(RU_Raw!AF30),(AF28+RU_Raw!AF30)/2,IF(ISNUMBER(RU_Raw!AF31),AF28+(RU_Raw!AF31-AF28)/3,"")))</f>
        <v>114</v>
      </c>
      <c r="AG29" s="19">
        <f>IF(ISNUMBER(RU_Raw!AG29),RU_Raw!AG29,IF(ISNUMBER(RU_Raw!AG30),(AG28+RU_Raw!AG30)/2,IF(ISNUMBER(RU_Raw!AG31),AG28+(RU_Raw!AG31-AG28)/3,"")))</f>
        <v>119.5</v>
      </c>
      <c r="AH29" s="19">
        <f t="shared" si="1"/>
        <v>1446.2</v>
      </c>
    </row>
    <row r="30" spans="1:34">
      <c r="A30" s="6">
        <f>RU_Raw!A30</f>
        <v>2015</v>
      </c>
      <c r="B30" s="6">
        <f>RU_Raw!B30</f>
        <v>2</v>
      </c>
      <c r="C30" s="6" t="str">
        <f>RU_Raw!C30</f>
        <v>February</v>
      </c>
      <c r="D30" s="9">
        <f>RU_Raw!D30</f>
        <v>42036</v>
      </c>
      <c r="E30" s="6">
        <f>COUNTBLANK(RU_Raw!G30:AG30)</f>
        <v>0</v>
      </c>
      <c r="F30" s="6" t="str">
        <f t="shared" si="0"/>
        <v/>
      </c>
      <c r="G30" s="19">
        <f>IF(ISNUMBER(RU_Raw!G30),RU_Raw!G30,IF(ISNUMBER(RU_Raw!G31),(G29+RU_Raw!G31)/2,IF(ISNUMBER(RU_Raw!G32),G29+(RU_Raw!G32-G29)/3,"")))</f>
        <v>123.7</v>
      </c>
      <c r="H30" s="19">
        <f>IF(ISNUMBER(RU_Raw!H30),RU_Raw!H30,IF(ISNUMBER(RU_Raw!H31),(H29+RU_Raw!H31)/2,IF(ISNUMBER(RU_Raw!H32),H29+(RU_Raw!H32-H29)/3,"")))</f>
        <v>125.1</v>
      </c>
      <c r="I30" s="19">
        <f>IF(ISNUMBER(RU_Raw!I30),RU_Raw!I30,IF(ISNUMBER(RU_Raw!I31),(I29+RU_Raw!I31)/2,IF(ISNUMBER(RU_Raw!I32),I29+(RU_Raw!I32-I29)/3,"")))</f>
        <v>121.1</v>
      </c>
      <c r="J30" s="19">
        <f>IF(ISNUMBER(RU_Raw!J30),RU_Raw!J30,IF(ISNUMBER(RU_Raw!J31),(J29+RU_Raw!J31)/2,IF(ISNUMBER(RU_Raw!J32),J29+(RU_Raw!J32-J29)/3,"")))</f>
        <v>125.7</v>
      </c>
      <c r="K30" s="19">
        <f>IF(ISNUMBER(RU_Raw!K30),RU_Raw!K30,IF(ISNUMBER(RU_Raw!K31),(K29+RU_Raw!K31)/2,IF(ISNUMBER(RU_Raw!K32),K29+(RU_Raw!K32-K29)/3,"")))</f>
        <v>109.1</v>
      </c>
      <c r="L30" s="19">
        <f>IF(ISNUMBER(RU_Raw!L30),RU_Raw!L30,IF(ISNUMBER(RU_Raw!L31),(L29+RU_Raw!L31)/2,IF(ISNUMBER(RU_Raw!L32),L29+(RU_Raw!L32-L29)/3,"")))</f>
        <v>125.8</v>
      </c>
      <c r="M30" s="19">
        <f>IF(ISNUMBER(RU_Raw!M30),RU_Raw!M30,IF(ISNUMBER(RU_Raw!M31),(M29+RU_Raw!M31)/2,IF(ISNUMBER(RU_Raw!M32),M29+(RU_Raw!M32-M29)/3,"")))</f>
        <v>129.4</v>
      </c>
      <c r="N30" s="19">
        <f>IF(ISNUMBER(RU_Raw!N30),RU_Raw!N30,IF(ISNUMBER(RU_Raw!N31),(N29+RU_Raw!N31)/2,IF(ISNUMBER(RU_Raw!N32),N29+(RU_Raw!N32-N29)/3,"")))</f>
        <v>120.9</v>
      </c>
      <c r="O30" s="19">
        <f>IF(ISNUMBER(RU_Raw!O30),RU_Raw!O30,IF(ISNUMBER(RU_Raw!O31),(O29+RU_Raw!O31)/2,IF(ISNUMBER(RU_Raw!O32),O29+(RU_Raw!O32-O29)/3,"")))</f>
        <v>98.3</v>
      </c>
      <c r="P30" s="19">
        <f>IF(ISNUMBER(RU_Raw!P30),RU_Raw!P30,IF(ISNUMBER(RU_Raw!P31),(P29+RU_Raw!P31)/2,IF(ISNUMBER(RU_Raw!P32),P29+(RU_Raw!P32-P29)/3,"")))</f>
        <v>121.6</v>
      </c>
      <c r="Q30" s="19">
        <f>IF(ISNUMBER(RU_Raw!Q30),RU_Raw!Q30,IF(ISNUMBER(RU_Raw!Q31),(Q29+RU_Raw!Q31)/2,IF(ISNUMBER(RU_Raw!Q32),Q29+(RU_Raw!Q32-Q29)/3,"")))</f>
        <v>118</v>
      </c>
      <c r="R30" s="19">
        <f>IF(ISNUMBER(RU_Raw!R30),RU_Raw!R30,IF(ISNUMBER(RU_Raw!R31),(R29+RU_Raw!R31)/2,IF(ISNUMBER(RU_Raw!R32),R29+(RU_Raw!R32-R29)/3,"")))</f>
        <v>127.6</v>
      </c>
      <c r="S30" s="19">
        <f>IF(ISNUMBER(RU_Raw!S30),RU_Raw!S30,IF(ISNUMBER(RU_Raw!S31),(S29+RU_Raw!S31)/2,IF(ISNUMBER(RU_Raw!S32),S29+(RU_Raw!S32-S29)/3,"")))</f>
        <v>123.1</v>
      </c>
      <c r="T30" s="19">
        <f>IF(ISNUMBER(RU_Raw!T30),RU_Raw!T30,IF(ISNUMBER(RU_Raw!T31),(T29+RU_Raw!T31)/2,IF(ISNUMBER(RU_Raw!T32),T29+(RU_Raw!T32-T29)/3,"")))</f>
        <v>125.2</v>
      </c>
      <c r="U30" s="19">
        <f>IF(ISNUMBER(RU_Raw!U30),RU_Raw!U30,IF(ISNUMBER(RU_Raw!U31),(U29+RU_Raw!U31)/2,IF(ISNUMBER(RU_Raw!U32),U29+(RU_Raw!U32-U29)/3,"")))</f>
        <v>123.8</v>
      </c>
      <c r="V30" s="19">
        <f>IF(ISNUMBER(RU_Raw!V30),RU_Raw!V30,IF(ISNUMBER(RU_Raw!V31),(V29+RU_Raw!V31)/2,IF(ISNUMBER(RU_Raw!V32),V29+(RU_Raw!V32-V29)/3,"")))</f>
        <v>120.1</v>
      </c>
      <c r="W30" s="19">
        <f>IF(ISNUMBER(RU_Raw!W30),RU_Raw!W30,IF(ISNUMBER(RU_Raw!W31),(W29+RU_Raw!W31)/2,IF(ISNUMBER(RU_Raw!W32),W29+(RU_Raw!W32-W29)/3,"")))</f>
        <v>123.3</v>
      </c>
      <c r="X30" s="19">
        <f>IF(ISNUMBER(RU_Raw!X30),RU_Raw!X30,IF(ISNUMBER(RU_Raw!X31),(X29+RU_Raw!X31)/2,IF(ISNUMBER(RU_Raw!X32),X29+(RU_Raw!X32-X29)/3,"")))</f>
        <v>118.1</v>
      </c>
      <c r="Y30" s="19">
        <f>IF(ISNUMBER(RU_Raw!Y30),RU_Raw!Y30,IF(ISNUMBER(RU_Raw!Y31),(Y29+RU_Raw!Y31)/2,IF(ISNUMBER(RU_Raw!Y32),Y29+(RU_Raw!Y32-Y29)/3,"")))</f>
        <v>117.7</v>
      </c>
      <c r="Z30" s="19">
        <f>IF(ISNUMBER(RU_Raw!Z30),RU_Raw!Z30,IF(ISNUMBER(RU_Raw!Z31),(Z29+RU_Raw!Z31)/2,IF(ISNUMBER(RU_Raw!Z32),Z29+(RU_Raw!Z32-Z29)/3,"")))</f>
        <v>118.7</v>
      </c>
      <c r="AA30" s="19">
        <f>IF(ISNUMBER(RU_Raw!AA30),RU_Raw!AA30,IF(ISNUMBER(RU_Raw!AA31),(AA29+RU_Raw!AA31)/2,IF(ISNUMBER(RU_Raw!AA32),AA29+(RU_Raw!AA32-AA29)/3,"")))</f>
        <v>116.3</v>
      </c>
      <c r="AB30" s="19">
        <f>IF(ISNUMBER(RU_Raw!AB30),RU_Raw!AB30,IF(ISNUMBER(RU_Raw!AB31),(AB29+RU_Raw!AB31)/2,IF(ISNUMBER(RU_Raw!AB32),AB29+(RU_Raw!AB32-AB29)/3,"")))</f>
        <v>108.7</v>
      </c>
      <c r="AC30" s="19">
        <f>IF(ISNUMBER(RU_Raw!AC30),RU_Raw!AC30,IF(ISNUMBER(RU_Raw!AC31),(AC29+RU_Raw!AC31)/2,IF(ISNUMBER(RU_Raw!AC32),AC29+(RU_Raw!AC32-AC29)/3,"")))</f>
        <v>114.9</v>
      </c>
      <c r="AD30" s="19">
        <f>IF(ISNUMBER(RU_Raw!AD30),RU_Raw!AD30,IF(ISNUMBER(RU_Raw!AD31),(AD29+RU_Raw!AD31)/2,IF(ISNUMBER(RU_Raw!AD32),AD29+(RU_Raw!AD32-AD29)/3,"")))</f>
        <v>119.7</v>
      </c>
      <c r="AE30" s="19">
        <f>IF(ISNUMBER(RU_Raw!AE30),RU_Raw!AE30,IF(ISNUMBER(RU_Raw!AE31),(AE29+RU_Raw!AE31)/2,IF(ISNUMBER(RU_Raw!AE32),AE29+(RU_Raw!AE32-AE29)/3,"")))</f>
        <v>111.2</v>
      </c>
      <c r="AF30" s="19">
        <f>IF(ISNUMBER(RU_Raw!AF30),RU_Raw!AF30,IF(ISNUMBER(RU_Raw!AF31),(AF29+RU_Raw!AF31)/2,IF(ISNUMBER(RU_Raw!AF32),AF29+(RU_Raw!AF32-AF29)/3,"")))</f>
        <v>114.1</v>
      </c>
      <c r="AG30" s="19">
        <f>IF(ISNUMBER(RU_Raw!AG30),RU_Raw!AG30,IF(ISNUMBER(RU_Raw!AG31),(AG29+RU_Raw!AG31)/2,IF(ISNUMBER(RU_Raw!AG32),AG29+(RU_Raw!AG32-AG29)/3,"")))</f>
        <v>119.7</v>
      </c>
      <c r="AH30" s="19">
        <f t="shared" si="1"/>
        <v>1446.3</v>
      </c>
    </row>
    <row r="31" spans="1:34">
      <c r="A31" s="6">
        <f>RU_Raw!A31</f>
        <v>2015</v>
      </c>
      <c r="B31" s="6">
        <f>RU_Raw!B31</f>
        <v>3</v>
      </c>
      <c r="C31" s="6" t="str">
        <f>RU_Raw!C31</f>
        <v>March</v>
      </c>
      <c r="D31" s="9">
        <f>RU_Raw!D31</f>
        <v>42064</v>
      </c>
      <c r="E31" s="6">
        <f>COUNTBLANK(RU_Raw!G31:AG31)</f>
        <v>0</v>
      </c>
      <c r="F31" s="6" t="str">
        <f t="shared" si="0"/>
        <v/>
      </c>
      <c r="G31" s="19">
        <f>IF(ISNUMBER(RU_Raw!G31),RU_Raw!G31,IF(ISNUMBER(RU_Raw!G32),(G30+RU_Raw!G32)/2,IF(ISNUMBER(RU_Raw!G33),G30+(RU_Raw!G33-G30)/3,"")))</f>
        <v>123.5</v>
      </c>
      <c r="H31" s="19">
        <f>IF(ISNUMBER(RU_Raw!H31),RU_Raw!H31,IF(ISNUMBER(RU_Raw!H32),(H30+RU_Raw!H32)/2,IF(ISNUMBER(RU_Raw!H33),H30+(RU_Raw!H33-H30)/3,"")))</f>
        <v>125.4</v>
      </c>
      <c r="I31" s="19">
        <f>IF(ISNUMBER(RU_Raw!I31),RU_Raw!I31,IF(ISNUMBER(RU_Raw!I32),(I30+RU_Raw!I32)/2,IF(ISNUMBER(RU_Raw!I33),I30+(RU_Raw!I33-I30)/3,"")))</f>
        <v>116.8</v>
      </c>
      <c r="J31" s="19">
        <f>IF(ISNUMBER(RU_Raw!J31),RU_Raw!J31,IF(ISNUMBER(RU_Raw!J32),(J30+RU_Raw!J32)/2,IF(ISNUMBER(RU_Raw!J33),J30+(RU_Raw!J33-J30)/3,"")))</f>
        <v>126</v>
      </c>
      <c r="K31" s="19">
        <f>IF(ISNUMBER(RU_Raw!K31),RU_Raw!K31,IF(ISNUMBER(RU_Raw!K32),(K30+RU_Raw!K32)/2,IF(ISNUMBER(RU_Raw!K33),K30+(RU_Raw!K33-K30)/3,"")))</f>
        <v>109.2</v>
      </c>
      <c r="L31" s="19">
        <f>IF(ISNUMBER(RU_Raw!L31),RU_Raw!L31,IF(ISNUMBER(RU_Raw!L32),(L30+RU_Raw!L32)/2,IF(ISNUMBER(RU_Raw!L33),L30+(RU_Raw!L33-L30)/3,"")))</f>
        <v>127.6</v>
      </c>
      <c r="M31" s="19">
        <f>IF(ISNUMBER(RU_Raw!M31),RU_Raw!M31,IF(ISNUMBER(RU_Raw!M32),(M30+RU_Raw!M32)/2,IF(ISNUMBER(RU_Raw!M33),M30+(RU_Raw!M33-M30)/3,"")))</f>
        <v>129.2</v>
      </c>
      <c r="N31" s="19">
        <f>IF(ISNUMBER(RU_Raw!N31),RU_Raw!N31,IF(ISNUMBER(RU_Raw!N32),(N30+RU_Raw!N32)/2,IF(ISNUMBER(RU_Raw!N33),N30+(RU_Raw!N33-N30)/3,"")))</f>
        <v>122.4</v>
      </c>
      <c r="O31" s="19">
        <f>IF(ISNUMBER(RU_Raw!O31),RU_Raw!O31,IF(ISNUMBER(RU_Raw!O32),(O30+RU_Raw!O32)/2,IF(ISNUMBER(RU_Raw!O33),O30+(RU_Raw!O33-O30)/3,"")))</f>
        <v>97</v>
      </c>
      <c r="P31" s="19">
        <f>IF(ISNUMBER(RU_Raw!P31),RU_Raw!P31,IF(ISNUMBER(RU_Raw!P32),(P30+RU_Raw!P32)/2,IF(ISNUMBER(RU_Raw!P33),P30+(RU_Raw!P33-P30)/3,"")))</f>
        <v>122.1</v>
      </c>
      <c r="Q31" s="19">
        <f>IF(ISNUMBER(RU_Raw!Q31),RU_Raw!Q31,IF(ISNUMBER(RU_Raw!Q32),(Q30+RU_Raw!Q32)/2,IF(ISNUMBER(RU_Raw!Q33),Q30+(RU_Raw!Q33-Q30)/3,"")))</f>
        <v>118.1</v>
      </c>
      <c r="R31" s="19">
        <f>IF(ISNUMBER(RU_Raw!R31),RU_Raw!R31,IF(ISNUMBER(RU_Raw!R32),(R30+RU_Raw!R32)/2,IF(ISNUMBER(RU_Raw!R33),R30+(RU_Raw!R33-R30)/3,"")))</f>
        <v>128.4</v>
      </c>
      <c r="S31" s="19">
        <f>IF(ISNUMBER(RU_Raw!S31),RU_Raw!S31,IF(ISNUMBER(RU_Raw!S32),(S30+RU_Raw!S32)/2,IF(ISNUMBER(RU_Raw!S33),S30+(RU_Raw!S33-S30)/3,"")))</f>
        <v>123.4</v>
      </c>
      <c r="T31" s="19">
        <f>IF(ISNUMBER(RU_Raw!T31),RU_Raw!T31,IF(ISNUMBER(RU_Raw!T32),(T30+RU_Raw!T32)/2,IF(ISNUMBER(RU_Raw!T33),T30+(RU_Raw!T33-T30)/3,"")))</f>
        <v>125.8</v>
      </c>
      <c r="U31" s="19">
        <f>IF(ISNUMBER(RU_Raw!U31),RU_Raw!U31,IF(ISNUMBER(RU_Raw!U32),(U30+RU_Raw!U32)/2,IF(ISNUMBER(RU_Raw!U33),U30+(RU_Raw!U33-U30)/3,"")))</f>
        <v>124.3</v>
      </c>
      <c r="V31" s="19">
        <f>IF(ISNUMBER(RU_Raw!V31),RU_Raw!V31,IF(ISNUMBER(RU_Raw!V32),(V30+RU_Raw!V32)/2,IF(ISNUMBER(RU_Raw!V33),V30+(RU_Raw!V33-V30)/3,"")))</f>
        <v>120.4</v>
      </c>
      <c r="W31" s="19">
        <f>IF(ISNUMBER(RU_Raw!W31),RU_Raw!W31,IF(ISNUMBER(RU_Raw!W32),(W30+RU_Raw!W32)/2,IF(ISNUMBER(RU_Raw!W33),W30+(RU_Raw!W33-W30)/3,"")))</f>
        <v>123.7</v>
      </c>
      <c r="X31" s="19">
        <f>IF(ISNUMBER(RU_Raw!X31),RU_Raw!X31,IF(ISNUMBER(RU_Raw!X32),(X30+RU_Raw!X32)/2,IF(ISNUMBER(RU_Raw!X33),X30+(RU_Raw!X33-X30)/3,"")))</f>
        <v>118.6</v>
      </c>
      <c r="Y31" s="19">
        <f>IF(ISNUMBER(RU_Raw!Y31),RU_Raw!Y31,IF(ISNUMBER(RU_Raw!Y32),(Y30+RU_Raw!Y32)/2,IF(ISNUMBER(RU_Raw!Y33),Y30+(RU_Raw!Y33-Y30)/3,"")))</f>
        <v>118.3</v>
      </c>
      <c r="Z31" s="19">
        <f>IF(ISNUMBER(RU_Raw!Z31),RU_Raw!Z31,IF(ISNUMBER(RU_Raw!Z32),(Z30+RU_Raw!Z32)/2,IF(ISNUMBER(RU_Raw!Z33),Z30+(RU_Raw!Z33-Z30)/3,"")))</f>
        <v>119.2</v>
      </c>
      <c r="AA31" s="19">
        <f>IF(ISNUMBER(RU_Raw!AA31),RU_Raw!AA31,IF(ISNUMBER(RU_Raw!AA32),(AA30+RU_Raw!AA32)/2,IF(ISNUMBER(RU_Raw!AA33),AA30+(RU_Raw!AA33-AA30)/3,"")))</f>
        <v>116.7</v>
      </c>
      <c r="AB31" s="19">
        <f>IF(ISNUMBER(RU_Raw!AB31),RU_Raw!AB31,IF(ISNUMBER(RU_Raw!AB32),(AB30+RU_Raw!AB32)/2,IF(ISNUMBER(RU_Raw!AB33),AB30+(RU_Raw!AB33-AB30)/3,"")))</f>
        <v>109.9</v>
      </c>
      <c r="AC31" s="19">
        <f>IF(ISNUMBER(RU_Raw!AC31),RU_Raw!AC31,IF(ISNUMBER(RU_Raw!AC32),(AC30+RU_Raw!AC32)/2,IF(ISNUMBER(RU_Raw!AC33),AC30+(RU_Raw!AC33-AC30)/3,"")))</f>
        <v>115.4</v>
      </c>
      <c r="AD31" s="19">
        <f>IF(ISNUMBER(RU_Raw!AD31),RU_Raw!AD31,IF(ISNUMBER(RU_Raw!AD32),(AD30+RU_Raw!AD32)/2,IF(ISNUMBER(RU_Raw!AD33),AD30+(RU_Raw!AD33-AD30)/3,"")))</f>
        <v>120.1</v>
      </c>
      <c r="AE31" s="19">
        <f>IF(ISNUMBER(RU_Raw!AE31),RU_Raw!AE31,IF(ISNUMBER(RU_Raw!AE32),(AE30+RU_Raw!AE32)/2,IF(ISNUMBER(RU_Raw!AE33),AE30+(RU_Raw!AE33-AE30)/3,"")))</f>
        <v>111</v>
      </c>
      <c r="AF31" s="19">
        <f>IF(ISNUMBER(RU_Raw!AF31),RU_Raw!AF31,IF(ISNUMBER(RU_Raw!AF32),(AF30+RU_Raw!AF32)/2,IF(ISNUMBER(RU_Raw!AF33),AF30+(RU_Raw!AF33-AF30)/3,"")))</f>
        <v>114.7</v>
      </c>
      <c r="AG31" s="19">
        <f>IF(ISNUMBER(RU_Raw!AG31),RU_Raw!AG31,IF(ISNUMBER(RU_Raw!AG32),(AG30+RU_Raw!AG32)/2,IF(ISNUMBER(RU_Raw!AG33),AG30+(RU_Raw!AG33-AG30)/3,"")))</f>
        <v>120.2</v>
      </c>
      <c r="AH31" s="19">
        <f t="shared" si="1"/>
        <v>1445.7</v>
      </c>
    </row>
    <row r="32" spans="1:34">
      <c r="A32" s="6">
        <f>RU_Raw!A32</f>
        <v>2015</v>
      </c>
      <c r="B32" s="6">
        <f>RU_Raw!B32</f>
        <v>4</v>
      </c>
      <c r="C32" s="6" t="str">
        <f>RU_Raw!C32</f>
        <v>April</v>
      </c>
      <c r="D32" s="9">
        <f>RU_Raw!D32</f>
        <v>42095</v>
      </c>
      <c r="E32" s="6">
        <f>COUNTBLANK(RU_Raw!G32:AG32)</f>
        <v>0</v>
      </c>
      <c r="F32" s="6" t="str">
        <f t="shared" si="0"/>
        <v/>
      </c>
      <c r="G32" s="19">
        <f>IF(ISNUMBER(RU_Raw!G32),RU_Raw!G32,IF(ISNUMBER(RU_Raw!G33),(G31+RU_Raw!G33)/2,IF(ISNUMBER(RU_Raw!G34),G31+(RU_Raw!G34-G31)/3,"")))</f>
        <v>123.5</v>
      </c>
      <c r="H32" s="19">
        <f>IF(ISNUMBER(RU_Raw!H32),RU_Raw!H32,IF(ISNUMBER(RU_Raw!H33),(H31+RU_Raw!H33)/2,IF(ISNUMBER(RU_Raw!H34),H31+(RU_Raw!H34-H31)/3,"")))</f>
        <v>126.4</v>
      </c>
      <c r="I32" s="19">
        <f>IF(ISNUMBER(RU_Raw!I32),RU_Raw!I32,IF(ISNUMBER(RU_Raw!I33),(I31+RU_Raw!I33)/2,IF(ISNUMBER(RU_Raw!I34),I31+(RU_Raw!I34-I31)/3,"")))</f>
        <v>114.4</v>
      </c>
      <c r="J32" s="19">
        <f>IF(ISNUMBER(RU_Raw!J32),RU_Raw!J32,IF(ISNUMBER(RU_Raw!J33),(J31+RU_Raw!J33)/2,IF(ISNUMBER(RU_Raw!J34),J31+(RU_Raw!J34-J31)/3,"")))</f>
        <v>126.6</v>
      </c>
      <c r="K32" s="19">
        <f>IF(ISNUMBER(RU_Raw!K32),RU_Raw!K32,IF(ISNUMBER(RU_Raw!K33),(K31+RU_Raw!K33)/2,IF(ISNUMBER(RU_Raw!K34),K31+(RU_Raw!K34-K31)/3,"")))</f>
        <v>109.2</v>
      </c>
      <c r="L32" s="19">
        <f>IF(ISNUMBER(RU_Raw!L32),RU_Raw!L32,IF(ISNUMBER(RU_Raw!L33),(L31+RU_Raw!L33)/2,IF(ISNUMBER(RU_Raw!L34),L31+(RU_Raw!L34-L31)/3,"")))</f>
        <v>132.5</v>
      </c>
      <c r="M32" s="19">
        <f>IF(ISNUMBER(RU_Raw!M32),RU_Raw!M32,IF(ISNUMBER(RU_Raw!M33),(M31+RU_Raw!M33)/2,IF(ISNUMBER(RU_Raw!M34),M31+(RU_Raw!M34-M31)/3,"")))</f>
        <v>128.6</v>
      </c>
      <c r="N32" s="19">
        <f>IF(ISNUMBER(RU_Raw!N32),RU_Raw!N32,IF(ISNUMBER(RU_Raw!N33),(N31+RU_Raw!N33)/2,IF(ISNUMBER(RU_Raw!N34),N31+(RU_Raw!N34-N31)/3,"")))</f>
        <v>124.8</v>
      </c>
      <c r="O32" s="19">
        <f>IF(ISNUMBER(RU_Raw!O32),RU_Raw!O32,IF(ISNUMBER(RU_Raw!O33),(O31+RU_Raw!O33)/2,IF(ISNUMBER(RU_Raw!O34),O31+(RU_Raw!O34-O31)/3,"")))</f>
        <v>95.7</v>
      </c>
      <c r="P32" s="19">
        <f>IF(ISNUMBER(RU_Raw!P32),RU_Raw!P32,IF(ISNUMBER(RU_Raw!P33),(P31+RU_Raw!P33)/2,IF(ISNUMBER(RU_Raw!P34),P31+(RU_Raw!P34-P31)/3,"")))</f>
        <v>122.4</v>
      </c>
      <c r="Q32" s="19">
        <f>IF(ISNUMBER(RU_Raw!Q32),RU_Raw!Q32,IF(ISNUMBER(RU_Raw!Q33),(Q31+RU_Raw!Q33)/2,IF(ISNUMBER(RU_Raw!Q34),Q31+(RU_Raw!Q34-Q31)/3,"")))</f>
        <v>118.5</v>
      </c>
      <c r="R32" s="19">
        <f>IF(ISNUMBER(RU_Raw!R32),RU_Raw!R32,IF(ISNUMBER(RU_Raw!R33),(R31+RU_Raw!R33)/2,IF(ISNUMBER(RU_Raw!R34),R31+(RU_Raw!R34-R31)/3,"")))</f>
        <v>129.1</v>
      </c>
      <c r="S32" s="19">
        <f>IF(ISNUMBER(RU_Raw!S32),RU_Raw!S32,IF(ISNUMBER(RU_Raw!S33),(S31+RU_Raw!S33)/2,IF(ISNUMBER(RU_Raw!S34),S31+(RU_Raw!S34-S31)/3,"")))</f>
        <v>124</v>
      </c>
      <c r="T32" s="19">
        <f>IF(ISNUMBER(RU_Raw!T32),RU_Raw!T32,IF(ISNUMBER(RU_Raw!T33),(T31+RU_Raw!T33)/2,IF(ISNUMBER(RU_Raw!T34),T31+(RU_Raw!T34-T31)/3,"")))</f>
        <v>126.9</v>
      </c>
      <c r="U32" s="19">
        <f>IF(ISNUMBER(RU_Raw!U32),RU_Raw!U32,IF(ISNUMBER(RU_Raw!U33),(U31+RU_Raw!U33)/2,IF(ISNUMBER(RU_Raw!U34),U31+(RU_Raw!U34-U31)/3,"")))</f>
        <v>124.7</v>
      </c>
      <c r="V32" s="19">
        <f>IF(ISNUMBER(RU_Raw!V32),RU_Raw!V32,IF(ISNUMBER(RU_Raw!V33),(V31+RU_Raw!V33)/2,IF(ISNUMBER(RU_Raw!V34),V31+(RU_Raw!V34-V31)/3,"")))</f>
        <v>120.8</v>
      </c>
      <c r="W32" s="19">
        <f>IF(ISNUMBER(RU_Raw!W32),RU_Raw!W32,IF(ISNUMBER(RU_Raw!W33),(W31+RU_Raw!W33)/2,IF(ISNUMBER(RU_Raw!W34),W31+(RU_Raw!W34-W31)/3,"")))</f>
        <v>124.1</v>
      </c>
      <c r="X32" s="19">
        <f>IF(ISNUMBER(RU_Raw!X32),RU_Raw!X32,IF(ISNUMBER(RU_Raw!X33),(X31+RU_Raw!X33)/2,IF(ISNUMBER(RU_Raw!X34),X31+(RU_Raw!X34-X31)/3,"")))</f>
        <v>119.2</v>
      </c>
      <c r="Y32" s="19">
        <f>IF(ISNUMBER(RU_Raw!Y32),RU_Raw!Y32,IF(ISNUMBER(RU_Raw!Y33),(Y31+RU_Raw!Y33)/2,IF(ISNUMBER(RU_Raw!Y34),Y31+(RU_Raw!Y34-Y31)/3,"")))</f>
        <v>118.7</v>
      </c>
      <c r="Z32" s="19">
        <f>IF(ISNUMBER(RU_Raw!Z32),RU_Raw!Z32,IF(ISNUMBER(RU_Raw!Z33),(Z31+RU_Raw!Z33)/2,IF(ISNUMBER(RU_Raw!Z34),Z31+(RU_Raw!Z34-Z31)/3,"")))</f>
        <v>119.7</v>
      </c>
      <c r="AA32" s="19">
        <f>IF(ISNUMBER(RU_Raw!AA32),RU_Raw!AA32,IF(ISNUMBER(RU_Raw!AA33),(AA31+RU_Raw!AA33)/2,IF(ISNUMBER(RU_Raw!AA34),AA31+(RU_Raw!AA34-AA31)/3,"")))</f>
        <v>117.1</v>
      </c>
      <c r="AB32" s="19">
        <f>IF(ISNUMBER(RU_Raw!AB32),RU_Raw!AB32,IF(ISNUMBER(RU_Raw!AB33),(AB31+RU_Raw!AB33)/2,IF(ISNUMBER(RU_Raw!AB34),AB31+(RU_Raw!AB34-AB31)/3,"")))</f>
        <v>110.1</v>
      </c>
      <c r="AC32" s="19">
        <f>IF(ISNUMBER(RU_Raw!AC32),RU_Raw!AC32,IF(ISNUMBER(RU_Raw!AC33),(AC31+RU_Raw!AC33)/2,IF(ISNUMBER(RU_Raw!AC34),AC31+(RU_Raw!AC34-AC31)/3,"")))</f>
        <v>115.9</v>
      </c>
      <c r="AD32" s="19">
        <f>IF(ISNUMBER(RU_Raw!AD32),RU_Raw!AD32,IF(ISNUMBER(RU_Raw!AD33),(AD31+RU_Raw!AD33)/2,IF(ISNUMBER(RU_Raw!AD34),AD31+(RU_Raw!AD34-AD31)/3,"")))</f>
        <v>121</v>
      </c>
      <c r="AE32" s="19">
        <f>IF(ISNUMBER(RU_Raw!AE32),RU_Raw!AE32,IF(ISNUMBER(RU_Raw!AE33),(AE31+RU_Raw!AE33)/2,IF(ISNUMBER(RU_Raw!AE34),AE31+(RU_Raw!AE34-AE31)/3,"")))</f>
        <v>111.7</v>
      </c>
      <c r="AF32" s="19">
        <f>IF(ISNUMBER(RU_Raw!AF32),RU_Raw!AF32,IF(ISNUMBER(RU_Raw!AF33),(AF31+RU_Raw!AF33)/2,IF(ISNUMBER(RU_Raw!AF34),AF31+(RU_Raw!AF34-AF31)/3,"")))</f>
        <v>115.1</v>
      </c>
      <c r="AG32" s="19">
        <f>IF(ISNUMBER(RU_Raw!AG32),RU_Raw!AG32,IF(ISNUMBER(RU_Raw!AG33),(AG31+RU_Raw!AG33)/2,IF(ISNUMBER(RU_Raw!AG34),AG31+(RU_Raw!AG34-AG31)/3,"")))</f>
        <v>120.7</v>
      </c>
      <c r="AH32" s="19">
        <f t="shared" si="1"/>
        <v>1451.7</v>
      </c>
    </row>
    <row r="33" spans="1:34">
      <c r="A33" s="6">
        <f>RU_Raw!A33</f>
        <v>2015</v>
      </c>
      <c r="B33" s="6">
        <f>RU_Raw!B33</f>
        <v>5</v>
      </c>
      <c r="C33" s="6" t="str">
        <f>RU_Raw!C33</f>
        <v>May</v>
      </c>
      <c r="D33" s="9">
        <f>RU_Raw!D33</f>
        <v>42125</v>
      </c>
      <c r="E33" s="6">
        <f>COUNTBLANK(RU_Raw!G33:AG33)</f>
        <v>0</v>
      </c>
      <c r="F33" s="6" t="str">
        <f t="shared" si="0"/>
        <v/>
      </c>
      <c r="G33" s="19">
        <f>IF(ISNUMBER(RU_Raw!G33),RU_Raw!G33,IF(ISNUMBER(RU_Raw!G34),(G32+RU_Raw!G34)/2,IF(ISNUMBER(RU_Raw!G35),G32+(RU_Raw!G35-G32)/3,"")))</f>
        <v>123.6</v>
      </c>
      <c r="H33" s="19">
        <f>IF(ISNUMBER(RU_Raw!H33),RU_Raw!H33,IF(ISNUMBER(RU_Raw!H34),(H32+RU_Raw!H34)/2,IF(ISNUMBER(RU_Raw!H35),H32+(RU_Raw!H35-H32)/3,"")))</f>
        <v>128</v>
      </c>
      <c r="I33" s="19">
        <f>IF(ISNUMBER(RU_Raw!I33),RU_Raw!I33,IF(ISNUMBER(RU_Raw!I34),(I32+RU_Raw!I34)/2,IF(ISNUMBER(RU_Raw!I35),I32+(RU_Raw!I35-I32)/3,"")))</f>
        <v>115</v>
      </c>
      <c r="J33" s="19">
        <f>IF(ISNUMBER(RU_Raw!J33),RU_Raw!J33,IF(ISNUMBER(RU_Raw!J34),(J32+RU_Raw!J34)/2,IF(ISNUMBER(RU_Raw!J35),J32+(RU_Raw!J35-J32)/3,"")))</f>
        <v>127.3</v>
      </c>
      <c r="K33" s="19">
        <f>IF(ISNUMBER(RU_Raw!K33),RU_Raw!K33,IF(ISNUMBER(RU_Raw!K34),(K32+RU_Raw!K34)/2,IF(ISNUMBER(RU_Raw!K35),K32+(RU_Raw!K35-K32)/3,"")))</f>
        <v>109.8</v>
      </c>
      <c r="L33" s="19">
        <f>IF(ISNUMBER(RU_Raw!L33),RU_Raw!L33,IF(ISNUMBER(RU_Raw!L34),(L32+RU_Raw!L34)/2,IF(ISNUMBER(RU_Raw!L35),L32+(RU_Raw!L35-L32)/3,"")))</f>
        <v>132.6</v>
      </c>
      <c r="M33" s="19">
        <f>IF(ISNUMBER(RU_Raw!M33),RU_Raw!M33,IF(ISNUMBER(RU_Raw!M34),(M32+RU_Raw!M34)/2,IF(ISNUMBER(RU_Raw!M35),M32+(RU_Raw!M35-M32)/3,"")))</f>
        <v>130.9</v>
      </c>
      <c r="N33" s="19">
        <f>IF(ISNUMBER(RU_Raw!N33),RU_Raw!N33,IF(ISNUMBER(RU_Raw!N34),(N32+RU_Raw!N34)/2,IF(ISNUMBER(RU_Raw!N35),N32+(RU_Raw!N35-N32)/3,"")))</f>
        <v>130.5</v>
      </c>
      <c r="O33" s="19">
        <f>IF(ISNUMBER(RU_Raw!O33),RU_Raw!O33,IF(ISNUMBER(RU_Raw!O34),(O32+RU_Raw!O34)/2,IF(ISNUMBER(RU_Raw!O35),O32+(RU_Raw!O35-O32)/3,"")))</f>
        <v>95.3</v>
      </c>
      <c r="P33" s="19">
        <f>IF(ISNUMBER(RU_Raw!P33),RU_Raw!P33,IF(ISNUMBER(RU_Raw!P34),(P32+RU_Raw!P34)/2,IF(ISNUMBER(RU_Raw!P35),P32+(RU_Raw!P35-P32)/3,"")))</f>
        <v>123.4</v>
      </c>
      <c r="Q33" s="19">
        <f>IF(ISNUMBER(RU_Raw!Q33),RU_Raw!Q33,IF(ISNUMBER(RU_Raw!Q34),(Q32+RU_Raw!Q34)/2,IF(ISNUMBER(RU_Raw!Q35),Q32+(RU_Raw!Q35-Q32)/3,"")))</f>
        <v>119.2</v>
      </c>
      <c r="R33" s="19">
        <f>IF(ISNUMBER(RU_Raw!R33),RU_Raw!R33,IF(ISNUMBER(RU_Raw!R34),(R32+RU_Raw!R34)/2,IF(ISNUMBER(RU_Raw!R35),R32+(RU_Raw!R35-R32)/3,"")))</f>
        <v>129.8</v>
      </c>
      <c r="S33" s="19">
        <f>IF(ISNUMBER(RU_Raw!S33),RU_Raw!S33,IF(ISNUMBER(RU_Raw!S34),(S32+RU_Raw!S34)/2,IF(ISNUMBER(RU_Raw!S35),S32+(RU_Raw!S35-S32)/3,"")))</f>
        <v>125</v>
      </c>
      <c r="T33" s="19">
        <f>IF(ISNUMBER(RU_Raw!T33),RU_Raw!T33,IF(ISNUMBER(RU_Raw!T34),(T32+RU_Raw!T34)/2,IF(ISNUMBER(RU_Raw!T35),T32+(RU_Raw!T35-T32)/3,"")))</f>
        <v>127.9</v>
      </c>
      <c r="U33" s="19">
        <f>IF(ISNUMBER(RU_Raw!U33),RU_Raw!U33,IF(ISNUMBER(RU_Raw!U34),(U32+RU_Raw!U34)/2,IF(ISNUMBER(RU_Raw!U35),U32+(RU_Raw!U35-U32)/3,"")))</f>
        <v>125.4</v>
      </c>
      <c r="V33" s="19">
        <f>IF(ISNUMBER(RU_Raw!V33),RU_Raw!V33,IF(ISNUMBER(RU_Raw!V34),(V32+RU_Raw!V34)/2,IF(ISNUMBER(RU_Raw!V35),V32+(RU_Raw!V35-V32)/3,"")))</f>
        <v>121.3</v>
      </c>
      <c r="W33" s="19">
        <f>IF(ISNUMBER(RU_Raw!W33),RU_Raw!W33,IF(ISNUMBER(RU_Raw!W34),(W32+RU_Raw!W34)/2,IF(ISNUMBER(RU_Raw!W35),W32+(RU_Raw!W35-W32)/3,"")))</f>
        <v>124.7</v>
      </c>
      <c r="X33" s="19">
        <f>IF(ISNUMBER(RU_Raw!X33),RU_Raw!X33,IF(ISNUMBER(RU_Raw!X34),(X32+RU_Raw!X34)/2,IF(ISNUMBER(RU_Raw!X35),X32+(RU_Raw!X35-X32)/3,"")))</f>
        <v>119.6</v>
      </c>
      <c r="Y33" s="19">
        <f>IF(ISNUMBER(RU_Raw!Y33),RU_Raw!Y33,IF(ISNUMBER(RU_Raw!Y34),(Y32+RU_Raw!Y34)/2,IF(ISNUMBER(RU_Raw!Y35),Y32+(RU_Raw!Y35-Y32)/3,"")))</f>
        <v>119.2</v>
      </c>
      <c r="Z33" s="19">
        <f>IF(ISNUMBER(RU_Raw!Z33),RU_Raw!Z33,IF(ISNUMBER(RU_Raw!Z34),(Z32+RU_Raw!Z34)/2,IF(ISNUMBER(RU_Raw!Z35),Z32+(RU_Raw!Z35-Z32)/3,"")))</f>
        <v>120.2</v>
      </c>
      <c r="AA33" s="19">
        <f>IF(ISNUMBER(RU_Raw!AA33),RU_Raw!AA33,IF(ISNUMBER(RU_Raw!AA34),(AA32+RU_Raw!AA34)/2,IF(ISNUMBER(RU_Raw!AA35),AA32+(RU_Raw!AA35-AA32)/3,"")))</f>
        <v>117.7</v>
      </c>
      <c r="AB33" s="19">
        <f>IF(ISNUMBER(RU_Raw!AB33),RU_Raw!AB33,IF(ISNUMBER(RU_Raw!AB34),(AB32+RU_Raw!AB34)/2,IF(ISNUMBER(RU_Raw!AB35),AB32+(RU_Raw!AB35-AB32)/3,"")))</f>
        <v>112</v>
      </c>
      <c r="AC33" s="19">
        <f>IF(ISNUMBER(RU_Raw!AC33),RU_Raw!AC33,IF(ISNUMBER(RU_Raw!AC34),(AC32+RU_Raw!AC34)/2,IF(ISNUMBER(RU_Raw!AC35),AC32+(RU_Raw!AC35-AC32)/3,"")))</f>
        <v>116.3</v>
      </c>
      <c r="AD33" s="19">
        <f>IF(ISNUMBER(RU_Raw!AD33),RU_Raw!AD33,IF(ISNUMBER(RU_Raw!AD34),(AD32+RU_Raw!AD34)/2,IF(ISNUMBER(RU_Raw!AD35),AD32+(RU_Raw!AD35-AD32)/3,"")))</f>
        <v>121.4</v>
      </c>
      <c r="AE33" s="19">
        <f>IF(ISNUMBER(RU_Raw!AE33),RU_Raw!AE33,IF(ISNUMBER(RU_Raw!AE34),(AE32+RU_Raw!AE34)/2,IF(ISNUMBER(RU_Raw!AE35),AE32+(RU_Raw!AE35-AE32)/3,"")))</f>
        <v>112.3</v>
      </c>
      <c r="AF33" s="19">
        <f>IF(ISNUMBER(RU_Raw!AF33),RU_Raw!AF33,IF(ISNUMBER(RU_Raw!AF34),(AF32+RU_Raw!AF34)/2,IF(ISNUMBER(RU_Raw!AF35),AF32+(RU_Raw!AF35-AF32)/3,"")))</f>
        <v>116.1</v>
      </c>
      <c r="AG33" s="19">
        <f>IF(ISNUMBER(RU_Raw!AG33),RU_Raw!AG33,IF(ISNUMBER(RU_Raw!AG34),(AG32+RU_Raw!AG34)/2,IF(ISNUMBER(RU_Raw!AG35),AG32+(RU_Raw!AG35-AG32)/3,"")))</f>
        <v>121.6</v>
      </c>
      <c r="AH33" s="19">
        <f t="shared" si="1"/>
        <v>1465.4</v>
      </c>
    </row>
    <row r="34" spans="1:34">
      <c r="A34" s="6">
        <f>RU_Raw!A34</f>
        <v>2015</v>
      </c>
      <c r="B34" s="6">
        <f>RU_Raw!B34</f>
        <v>6</v>
      </c>
      <c r="C34" s="6" t="str">
        <f>RU_Raw!C34</f>
        <v>June</v>
      </c>
      <c r="D34" s="9">
        <f>RU_Raw!D34</f>
        <v>42156</v>
      </c>
      <c r="E34" s="6">
        <f>COUNTBLANK(RU_Raw!G34:AG34)</f>
        <v>0</v>
      </c>
      <c r="F34" s="6" t="str">
        <f t="shared" si="0"/>
        <v/>
      </c>
      <c r="G34" s="19">
        <f>IF(ISNUMBER(RU_Raw!G34),RU_Raw!G34,IF(ISNUMBER(RU_Raw!G35),(G33+RU_Raw!G35)/2,IF(ISNUMBER(RU_Raw!G36),G33+(RU_Raw!G36-G33)/3,"")))</f>
        <v>123.9</v>
      </c>
      <c r="H34" s="19">
        <f>IF(ISNUMBER(RU_Raw!H34),RU_Raw!H34,IF(ISNUMBER(RU_Raw!H35),(H33+RU_Raw!H35)/2,IF(ISNUMBER(RU_Raw!H36),H33+(RU_Raw!H36-H33)/3,"")))</f>
        <v>131.8</v>
      </c>
      <c r="I34" s="19">
        <f>IF(ISNUMBER(RU_Raw!I34),RU_Raw!I34,IF(ISNUMBER(RU_Raw!I35),(I33+RU_Raw!I35)/2,IF(ISNUMBER(RU_Raw!I36),I33+(RU_Raw!I36-I33)/3,"")))</f>
        <v>121.6</v>
      </c>
      <c r="J34" s="19">
        <f>IF(ISNUMBER(RU_Raw!J34),RU_Raw!J34,IF(ISNUMBER(RU_Raw!J35),(J33+RU_Raw!J35)/2,IF(ISNUMBER(RU_Raw!J36),J33+(RU_Raw!J36-J33)/3,"")))</f>
        <v>128.2</v>
      </c>
      <c r="K34" s="19">
        <f>IF(ISNUMBER(RU_Raw!K34),RU_Raw!K34,IF(ISNUMBER(RU_Raw!K35),(K33+RU_Raw!K35)/2,IF(ISNUMBER(RU_Raw!K36),K33+(RU_Raw!K36-K33)/3,"")))</f>
        <v>111.1</v>
      </c>
      <c r="L34" s="19">
        <f>IF(ISNUMBER(RU_Raw!L34),RU_Raw!L34,IF(ISNUMBER(RU_Raw!L35),(L33+RU_Raw!L35)/2,IF(ISNUMBER(RU_Raw!L36),L33+(RU_Raw!L36-L33)/3,"")))</f>
        <v>132.8</v>
      </c>
      <c r="M34" s="19">
        <f>IF(ISNUMBER(RU_Raw!M34),RU_Raw!M34,IF(ISNUMBER(RU_Raw!M35),(M33+RU_Raw!M35)/2,IF(ISNUMBER(RU_Raw!M36),M33+(RU_Raw!M36-M33)/3,"")))</f>
        <v>139.1</v>
      </c>
      <c r="N34" s="19">
        <f>IF(ISNUMBER(RU_Raw!N34),RU_Raw!N34,IF(ISNUMBER(RU_Raw!N35),(N33+RU_Raw!N35)/2,IF(ISNUMBER(RU_Raw!N36),N33+(RU_Raw!N36-N33)/3,"")))</f>
        <v>137.4</v>
      </c>
      <c r="O34" s="19">
        <f>IF(ISNUMBER(RU_Raw!O34),RU_Raw!O34,IF(ISNUMBER(RU_Raw!O35),(O33+RU_Raw!O35)/2,IF(ISNUMBER(RU_Raw!O36),O33+(RU_Raw!O36-O33)/3,"")))</f>
        <v>94.1</v>
      </c>
      <c r="P34" s="19">
        <f>IF(ISNUMBER(RU_Raw!P34),RU_Raw!P34,IF(ISNUMBER(RU_Raw!P35),(P33+RU_Raw!P35)/2,IF(ISNUMBER(RU_Raw!P36),P33+(RU_Raw!P36-P33)/3,"")))</f>
        <v>125.5</v>
      </c>
      <c r="Q34" s="19">
        <f>IF(ISNUMBER(RU_Raw!Q34),RU_Raw!Q34,IF(ISNUMBER(RU_Raw!Q35),(Q33+RU_Raw!Q35)/2,IF(ISNUMBER(RU_Raw!Q36),Q33+(RU_Raw!Q36-Q33)/3,"")))</f>
        <v>119.8</v>
      </c>
      <c r="R34" s="19">
        <f>IF(ISNUMBER(RU_Raw!R34),RU_Raw!R34,IF(ISNUMBER(RU_Raw!R35),(R33+RU_Raw!R35)/2,IF(ISNUMBER(RU_Raw!R36),R33+(RU_Raw!R36-R33)/3,"")))</f>
        <v>130.9</v>
      </c>
      <c r="S34" s="19">
        <f>IF(ISNUMBER(RU_Raw!S34),RU_Raw!S34,IF(ISNUMBER(RU_Raw!S35),(S33+RU_Raw!S35)/2,IF(ISNUMBER(RU_Raw!S36),S33+(RU_Raw!S36-S33)/3,"")))</f>
        <v>127.3</v>
      </c>
      <c r="T34" s="19">
        <f>IF(ISNUMBER(RU_Raw!T34),RU_Raw!T34,IF(ISNUMBER(RU_Raw!T35),(T33+RU_Raw!T35)/2,IF(ISNUMBER(RU_Raw!T36),T33+(RU_Raw!T36-T33)/3,"")))</f>
        <v>129.2</v>
      </c>
      <c r="U34" s="19">
        <f>IF(ISNUMBER(RU_Raw!U34),RU_Raw!U34,IF(ISNUMBER(RU_Raw!U35),(U33+RU_Raw!U35)/2,IF(ISNUMBER(RU_Raw!U36),U33+(RU_Raw!U36-U33)/3,"")))</f>
        <v>126.4</v>
      </c>
      <c r="V34" s="19">
        <f>IF(ISNUMBER(RU_Raw!V34),RU_Raw!V34,IF(ISNUMBER(RU_Raw!V35),(V33+RU_Raw!V35)/2,IF(ISNUMBER(RU_Raw!V36),V33+(RU_Raw!V36-V33)/3,"")))</f>
        <v>122</v>
      </c>
      <c r="W34" s="19">
        <f>IF(ISNUMBER(RU_Raw!W34),RU_Raw!W34,IF(ISNUMBER(RU_Raw!W35),(W33+RU_Raw!W35)/2,IF(ISNUMBER(RU_Raw!W36),W33+(RU_Raw!W36-W33)/3,"")))</f>
        <v>125.7</v>
      </c>
      <c r="X34" s="19">
        <f>IF(ISNUMBER(RU_Raw!X34),RU_Raw!X34,IF(ISNUMBER(RU_Raw!X35),(X33+RU_Raw!X35)/2,IF(ISNUMBER(RU_Raw!X36),X33+(RU_Raw!X36-X33)/3,"")))</f>
        <v>119</v>
      </c>
      <c r="Y34" s="19">
        <f>IF(ISNUMBER(RU_Raw!Y34),RU_Raw!Y34,IF(ISNUMBER(RU_Raw!Y35),(Y33+RU_Raw!Y35)/2,IF(ISNUMBER(RU_Raw!Y36),Y33+(RU_Raw!Y36-Y33)/3,"")))</f>
        <v>119.8</v>
      </c>
      <c r="Z34" s="19">
        <f>IF(ISNUMBER(RU_Raw!Z34),RU_Raw!Z34,IF(ISNUMBER(RU_Raw!Z35),(Z33+RU_Raw!Z35)/2,IF(ISNUMBER(RU_Raw!Z36),Z33+(RU_Raw!Z36-Z33)/3,"")))</f>
        <v>121.1</v>
      </c>
      <c r="AA34" s="19">
        <f>IF(ISNUMBER(RU_Raw!AA34),RU_Raw!AA34,IF(ISNUMBER(RU_Raw!AA35),(AA33+RU_Raw!AA35)/2,IF(ISNUMBER(RU_Raw!AA36),AA33+(RU_Raw!AA36-AA33)/3,"")))</f>
        <v>118.5</v>
      </c>
      <c r="AB34" s="19">
        <f>IF(ISNUMBER(RU_Raw!AB34),RU_Raw!AB34,IF(ISNUMBER(RU_Raw!AB35),(AB33+RU_Raw!AB35)/2,IF(ISNUMBER(RU_Raw!AB36),AB33+(RU_Raw!AB36-AB33)/3,"")))</f>
        <v>112.9</v>
      </c>
      <c r="AC34" s="19">
        <f>IF(ISNUMBER(RU_Raw!AC34),RU_Raw!AC34,IF(ISNUMBER(RU_Raw!AC35),(AC33+RU_Raw!AC35)/2,IF(ISNUMBER(RU_Raw!AC36),AC33+(RU_Raw!AC36-AC33)/3,"")))</f>
        <v>116.9</v>
      </c>
      <c r="AD34" s="19">
        <f>IF(ISNUMBER(RU_Raw!AD34),RU_Raw!AD34,IF(ISNUMBER(RU_Raw!AD35),(AD33+RU_Raw!AD35)/2,IF(ISNUMBER(RU_Raw!AD36),AD33+(RU_Raw!AD36-AD33)/3,"")))</f>
        <v>123.1</v>
      </c>
      <c r="AE34" s="19">
        <f>IF(ISNUMBER(RU_Raw!AE34),RU_Raw!AE34,IF(ISNUMBER(RU_Raw!AE35),(AE33+RU_Raw!AE35)/2,IF(ISNUMBER(RU_Raw!AE36),AE33+(RU_Raw!AE36-AE33)/3,"")))</f>
        <v>112.8</v>
      </c>
      <c r="AF34" s="19">
        <f>IF(ISNUMBER(RU_Raw!AF34),RU_Raw!AF34,IF(ISNUMBER(RU_Raw!AF35),(AF33+RU_Raw!AF35)/2,IF(ISNUMBER(RU_Raw!AF36),AF33+(RU_Raw!AF36-AF33)/3,"")))</f>
        <v>117</v>
      </c>
      <c r="AG34" s="19">
        <f>IF(ISNUMBER(RU_Raw!AG34),RU_Raw!AG34,IF(ISNUMBER(RU_Raw!AG35),(AG33+RU_Raw!AG35)/2,IF(ISNUMBER(RU_Raw!AG36),AG33+(RU_Raw!AG36-AG33)/3,"")))</f>
        <v>123</v>
      </c>
      <c r="AH34" s="19">
        <f t="shared" si="1"/>
        <v>1496.2</v>
      </c>
    </row>
    <row r="35" spans="1:34">
      <c r="A35" s="6">
        <f>RU_Raw!A35</f>
        <v>2015</v>
      </c>
      <c r="B35" s="6">
        <f>RU_Raw!B35</f>
        <v>7</v>
      </c>
      <c r="C35" s="6" t="str">
        <f>RU_Raw!C35</f>
        <v>July</v>
      </c>
      <c r="D35" s="9">
        <f>RU_Raw!D35</f>
        <v>42186</v>
      </c>
      <c r="E35" s="6">
        <f>COUNTBLANK(RU_Raw!G35:AG35)</f>
        <v>0</v>
      </c>
      <c r="F35" s="6" t="str">
        <f t="shared" si="0"/>
        <v/>
      </c>
      <c r="G35" s="19">
        <f>IF(ISNUMBER(RU_Raw!G35),RU_Raw!G35,IF(ISNUMBER(RU_Raw!G36),(G34+RU_Raw!G36)/2,IF(ISNUMBER(RU_Raw!G37),G34+(RU_Raw!G37-G34)/3,"")))</f>
        <v>123.7</v>
      </c>
      <c r="H35" s="19">
        <f>IF(ISNUMBER(RU_Raw!H35),RU_Raw!H35,IF(ISNUMBER(RU_Raw!H36),(H34+RU_Raw!H36)/2,IF(ISNUMBER(RU_Raw!H37),H34+(RU_Raw!H37-H34)/3,"")))</f>
        <v>132.5</v>
      </c>
      <c r="I35" s="19">
        <f>IF(ISNUMBER(RU_Raw!I35),RU_Raw!I35,IF(ISNUMBER(RU_Raw!I36),(I34+RU_Raw!I36)/2,IF(ISNUMBER(RU_Raw!I37),I34+(RU_Raw!I37-I34)/3,"")))</f>
        <v>121</v>
      </c>
      <c r="J35" s="19">
        <f>IF(ISNUMBER(RU_Raw!J35),RU_Raw!J35,IF(ISNUMBER(RU_Raw!J36),(J34+RU_Raw!J36)/2,IF(ISNUMBER(RU_Raw!J37),J34+(RU_Raw!J37-J34)/3,"")))</f>
        <v>128.3</v>
      </c>
      <c r="K35" s="19">
        <f>IF(ISNUMBER(RU_Raw!K35),RU_Raw!K35,IF(ISNUMBER(RU_Raw!K36),(K34+RU_Raw!K36)/2,IF(ISNUMBER(RU_Raw!K37),K34+(RU_Raw!K37-K34)/3,"")))</f>
        <v>110.9</v>
      </c>
      <c r="L35" s="19">
        <f>IF(ISNUMBER(RU_Raw!L35),RU_Raw!L35,IF(ISNUMBER(RU_Raw!L36),(L34+RU_Raw!L36)/2,IF(ISNUMBER(RU_Raw!L37),L34+(RU_Raw!L37-L34)/3,"")))</f>
        <v>133.1</v>
      </c>
      <c r="M35" s="19">
        <f>IF(ISNUMBER(RU_Raw!M35),RU_Raw!M35,IF(ISNUMBER(RU_Raw!M36),(M34+RU_Raw!M36)/2,IF(ISNUMBER(RU_Raw!M37),M34+(RU_Raw!M37-M34)/3,"")))</f>
        <v>145.1</v>
      </c>
      <c r="N35" s="19">
        <f>IF(ISNUMBER(RU_Raw!N35),RU_Raw!N35,IF(ISNUMBER(RU_Raw!N36),(N34+RU_Raw!N36)/2,IF(ISNUMBER(RU_Raw!N37),N34+(RU_Raw!N37-N34)/3,"")))</f>
        <v>139.1</v>
      </c>
      <c r="O35" s="19">
        <f>IF(ISNUMBER(RU_Raw!O35),RU_Raw!O35,IF(ISNUMBER(RU_Raw!O36),(O34+RU_Raw!O36)/2,IF(ISNUMBER(RU_Raw!O37),O34+(RU_Raw!O37-O34)/3,"")))</f>
        <v>91.3</v>
      </c>
      <c r="P35" s="19">
        <f>IF(ISNUMBER(RU_Raw!P35),RU_Raw!P35,IF(ISNUMBER(RU_Raw!P36),(P34+RU_Raw!P36)/2,IF(ISNUMBER(RU_Raw!P37),P34+(RU_Raw!P37-P34)/3,"")))</f>
        <v>126.1</v>
      </c>
      <c r="Q35" s="19">
        <f>IF(ISNUMBER(RU_Raw!Q35),RU_Raw!Q35,IF(ISNUMBER(RU_Raw!Q36),(Q34+RU_Raw!Q36)/2,IF(ISNUMBER(RU_Raw!Q37),Q34+(RU_Raw!Q37-Q34)/3,"")))</f>
        <v>119.9</v>
      </c>
      <c r="R35" s="19">
        <f>IF(ISNUMBER(RU_Raw!R35),RU_Raw!R35,IF(ISNUMBER(RU_Raw!R36),(R34+RU_Raw!R36)/2,IF(ISNUMBER(RU_Raw!R37),R34+(RU_Raw!R37-R34)/3,"")))</f>
        <v>131.4</v>
      </c>
      <c r="S35" s="19">
        <f>IF(ISNUMBER(RU_Raw!S35),RU_Raw!S35,IF(ISNUMBER(RU_Raw!S36),(S34+RU_Raw!S36)/2,IF(ISNUMBER(RU_Raw!S37),S34+(RU_Raw!S37-S34)/3,"")))</f>
        <v>128.2</v>
      </c>
      <c r="T35" s="19">
        <f>IF(ISNUMBER(RU_Raw!T35),RU_Raw!T35,IF(ISNUMBER(RU_Raw!T36),(T34+RU_Raw!T36)/2,IF(ISNUMBER(RU_Raw!T37),T34+(RU_Raw!T37-T34)/3,"")))</f>
        <v>130.4</v>
      </c>
      <c r="U35" s="19">
        <f>IF(ISNUMBER(RU_Raw!U35),RU_Raw!U35,IF(ISNUMBER(RU_Raw!U36),(U34+RU_Raw!U36)/2,IF(ISNUMBER(RU_Raw!U37),U34+(RU_Raw!U37-U34)/3,"")))</f>
        <v>126.7</v>
      </c>
      <c r="V35" s="19">
        <f>IF(ISNUMBER(RU_Raw!V35),RU_Raw!V35,IF(ISNUMBER(RU_Raw!V36),(V34+RU_Raw!V36)/2,IF(ISNUMBER(RU_Raw!V37),V34+(RU_Raw!V37-V34)/3,"")))</f>
        <v>122.3</v>
      </c>
      <c r="W35" s="19">
        <f>IF(ISNUMBER(RU_Raw!W35),RU_Raw!W35,IF(ISNUMBER(RU_Raw!W36),(W34+RU_Raw!W36)/2,IF(ISNUMBER(RU_Raw!W37),W34+(RU_Raw!W37-W34)/3,"")))</f>
        <v>126.1</v>
      </c>
      <c r="X35" s="19">
        <f>IF(ISNUMBER(RU_Raw!X35),RU_Raw!X35,IF(ISNUMBER(RU_Raw!X36),(X34+RU_Raw!X36)/2,IF(ISNUMBER(RU_Raw!X37),X34+(RU_Raw!X37-X34)/3,"")))</f>
        <v>119.9</v>
      </c>
      <c r="Y35" s="19">
        <f>IF(ISNUMBER(RU_Raw!Y35),RU_Raw!Y35,IF(ISNUMBER(RU_Raw!Y36),(Y34+RU_Raw!Y36)/2,IF(ISNUMBER(RU_Raw!Y37),Y34+(RU_Raw!Y37-Y34)/3,"")))</f>
        <v>120.1</v>
      </c>
      <c r="Z35" s="19">
        <f>IF(ISNUMBER(RU_Raw!Z35),RU_Raw!Z35,IF(ISNUMBER(RU_Raw!Z36),(Z34+RU_Raw!Z36)/2,IF(ISNUMBER(RU_Raw!Z37),Z34+(RU_Raw!Z37-Z34)/3,"")))</f>
        <v>121.3</v>
      </c>
      <c r="AA35" s="19">
        <f>IF(ISNUMBER(RU_Raw!AA35),RU_Raw!AA35,IF(ISNUMBER(RU_Raw!AA36),(AA34+RU_Raw!AA36)/2,IF(ISNUMBER(RU_Raw!AA37),AA34+(RU_Raw!AA37-AA34)/3,"")))</f>
        <v>119</v>
      </c>
      <c r="AB35" s="19">
        <f>IF(ISNUMBER(RU_Raw!AB35),RU_Raw!AB35,IF(ISNUMBER(RU_Raw!AB36),(AB34+RU_Raw!AB36)/2,IF(ISNUMBER(RU_Raw!AB37),AB34+(RU_Raw!AB37-AB34)/3,"")))</f>
        <v>112.7</v>
      </c>
      <c r="AC35" s="19">
        <f>IF(ISNUMBER(RU_Raw!AC35),RU_Raw!AC35,IF(ISNUMBER(RU_Raw!AC36),(AC34+RU_Raw!AC36)/2,IF(ISNUMBER(RU_Raw!AC37),AC34+(RU_Raw!AC37-AC34)/3,"")))</f>
        <v>117.2</v>
      </c>
      <c r="AD35" s="19">
        <f>IF(ISNUMBER(RU_Raw!AD35),RU_Raw!AD35,IF(ISNUMBER(RU_Raw!AD36),(AD34+RU_Raw!AD36)/2,IF(ISNUMBER(RU_Raw!AD37),AD34+(RU_Raw!AD37-AD34)/3,"")))</f>
        <v>124.4</v>
      </c>
      <c r="AE35" s="19">
        <f>IF(ISNUMBER(RU_Raw!AE35),RU_Raw!AE35,IF(ISNUMBER(RU_Raw!AE36),(AE34+RU_Raw!AE36)/2,IF(ISNUMBER(RU_Raw!AE37),AE34+(RU_Raw!AE37-AE34)/3,"")))</f>
        <v>112.3</v>
      </c>
      <c r="AF35" s="19">
        <f>IF(ISNUMBER(RU_Raw!AF35),RU_Raw!AF35,IF(ISNUMBER(RU_Raw!AF36),(AF34+RU_Raw!AF36)/2,IF(ISNUMBER(RU_Raw!AF37),AF34+(RU_Raw!AF37-AF34)/3,"")))</f>
        <v>117.2</v>
      </c>
      <c r="AG35" s="19">
        <f>IF(ISNUMBER(RU_Raw!AG35),RU_Raw!AG35,IF(ISNUMBER(RU_Raw!AG36),(AG34+RU_Raw!AG36)/2,IF(ISNUMBER(RU_Raw!AG37),AG34+(RU_Raw!AG37-AG34)/3,"")))</f>
        <v>123.6</v>
      </c>
      <c r="AH35" s="19">
        <f t="shared" si="1"/>
        <v>1502.4</v>
      </c>
    </row>
    <row r="36" spans="1:34">
      <c r="A36" s="6">
        <f>RU_Raw!A36</f>
        <v>2015</v>
      </c>
      <c r="B36" s="6">
        <f>RU_Raw!B36</f>
        <v>8</v>
      </c>
      <c r="C36" s="6" t="str">
        <f>RU_Raw!C36</f>
        <v>August</v>
      </c>
      <c r="D36" s="9">
        <f>RU_Raw!D36</f>
        <v>42217</v>
      </c>
      <c r="E36" s="6">
        <f>COUNTBLANK(RU_Raw!G36:AG36)</f>
        <v>0</v>
      </c>
      <c r="F36" s="6" t="str">
        <f t="shared" si="0"/>
        <v/>
      </c>
      <c r="G36" s="19">
        <f>IF(ISNUMBER(RU_Raw!G36),RU_Raw!G36,IF(ISNUMBER(RU_Raw!G37),(G35+RU_Raw!G37)/2,IF(ISNUMBER(RU_Raw!G38),G35+(RU_Raw!G38-G35)/3,"")))</f>
        <v>124.2</v>
      </c>
      <c r="H36" s="19">
        <f>IF(ISNUMBER(RU_Raw!H36),RU_Raw!H36,IF(ISNUMBER(RU_Raw!H37),(H35+RU_Raw!H37)/2,IF(ISNUMBER(RU_Raw!H38),H35+(RU_Raw!H38-H35)/3,"")))</f>
        <v>131.4</v>
      </c>
      <c r="I36" s="19">
        <f>IF(ISNUMBER(RU_Raw!I36),RU_Raw!I36,IF(ISNUMBER(RU_Raw!I37),(I35+RU_Raw!I37)/2,IF(ISNUMBER(RU_Raw!I38),I35+(RU_Raw!I38-I35)/3,"")))</f>
        <v>120.1</v>
      </c>
      <c r="J36" s="19">
        <f>IF(ISNUMBER(RU_Raw!J36),RU_Raw!J36,IF(ISNUMBER(RU_Raw!J37),(J35+RU_Raw!J37)/2,IF(ISNUMBER(RU_Raw!J38),J35+(RU_Raw!J38-J35)/3,"")))</f>
        <v>128.5</v>
      </c>
      <c r="K36" s="19">
        <f>IF(ISNUMBER(RU_Raw!K36),RU_Raw!K36,IF(ISNUMBER(RU_Raw!K37),(K35+RU_Raw!K37)/2,IF(ISNUMBER(RU_Raw!K38),K35+(RU_Raw!K38-K35)/3,"")))</f>
        <v>111.4</v>
      </c>
      <c r="L36" s="19">
        <f>IF(ISNUMBER(RU_Raw!L36),RU_Raw!L36,IF(ISNUMBER(RU_Raw!L37),(L35+RU_Raw!L37)/2,IF(ISNUMBER(RU_Raw!L38),L35+(RU_Raw!L38-L35)/3,"")))</f>
        <v>132.3</v>
      </c>
      <c r="M36" s="19">
        <f>IF(ISNUMBER(RU_Raw!M36),RU_Raw!M36,IF(ISNUMBER(RU_Raw!M37),(M35+RU_Raw!M37)/2,IF(ISNUMBER(RU_Raw!M38),M35+(RU_Raw!M38-M35)/3,"")))</f>
        <v>157.6</v>
      </c>
      <c r="N36" s="19">
        <f>IF(ISNUMBER(RU_Raw!N36),RU_Raw!N36,IF(ISNUMBER(RU_Raw!N37),(N35+RU_Raw!N37)/2,IF(ISNUMBER(RU_Raw!N38),N35+(RU_Raw!N38-N35)/3,"")))</f>
        <v>144</v>
      </c>
      <c r="O36" s="19">
        <f>IF(ISNUMBER(RU_Raw!O36),RU_Raw!O36,IF(ISNUMBER(RU_Raw!O37),(O35+RU_Raw!O37)/2,IF(ISNUMBER(RU_Raw!O38),O35+(RU_Raw!O38-O35)/3,"")))</f>
        <v>90.5</v>
      </c>
      <c r="P36" s="19">
        <f>IF(ISNUMBER(RU_Raw!P36),RU_Raw!P36,IF(ISNUMBER(RU_Raw!P37),(P35+RU_Raw!P37)/2,IF(ISNUMBER(RU_Raw!P38),P35+(RU_Raw!P38-P35)/3,"")))</f>
        <v>126.8</v>
      </c>
      <c r="Q36" s="19">
        <f>IF(ISNUMBER(RU_Raw!Q36),RU_Raw!Q36,IF(ISNUMBER(RU_Raw!Q37),(Q35+RU_Raw!Q37)/2,IF(ISNUMBER(RU_Raw!Q38),Q35+(RU_Raw!Q38-Q35)/3,"")))</f>
        <v>120.4</v>
      </c>
      <c r="R36" s="19">
        <f>IF(ISNUMBER(RU_Raw!R36),RU_Raw!R36,IF(ISNUMBER(RU_Raw!R37),(R35+RU_Raw!R37)/2,IF(ISNUMBER(RU_Raw!R38),R35+(RU_Raw!R38-R35)/3,"")))</f>
        <v>132.1</v>
      </c>
      <c r="S36" s="19">
        <f>IF(ISNUMBER(RU_Raw!S36),RU_Raw!S36,IF(ISNUMBER(RU_Raw!S37),(S35+RU_Raw!S37)/2,IF(ISNUMBER(RU_Raw!S38),S35+(RU_Raw!S38-S35)/3,"")))</f>
        <v>130.3</v>
      </c>
      <c r="T36" s="19">
        <f>IF(ISNUMBER(RU_Raw!T36),RU_Raw!T36,IF(ISNUMBER(RU_Raw!T37),(T35+RU_Raw!T37)/2,IF(ISNUMBER(RU_Raw!T38),T35+(RU_Raw!T38-T35)/3,"")))</f>
        <v>131.2</v>
      </c>
      <c r="U36" s="19">
        <f>IF(ISNUMBER(RU_Raw!U36),RU_Raw!U36,IF(ISNUMBER(RU_Raw!U37),(U35+RU_Raw!U37)/2,IF(ISNUMBER(RU_Raw!U38),U35+(RU_Raw!U38-U35)/3,"")))</f>
        <v>127.2</v>
      </c>
      <c r="V36" s="19">
        <f>IF(ISNUMBER(RU_Raw!V36),RU_Raw!V36,IF(ISNUMBER(RU_Raw!V37),(V35+RU_Raw!V37)/2,IF(ISNUMBER(RU_Raw!V38),V35+(RU_Raw!V38-V35)/3,"")))</f>
        <v>122.9</v>
      </c>
      <c r="W36" s="19">
        <f>IF(ISNUMBER(RU_Raw!W36),RU_Raw!W36,IF(ISNUMBER(RU_Raw!W37),(W35+RU_Raw!W37)/2,IF(ISNUMBER(RU_Raw!W38),W35+(RU_Raw!W38-W35)/3,"")))</f>
        <v>126.6</v>
      </c>
      <c r="X36" s="19">
        <f>IF(ISNUMBER(RU_Raw!X36),RU_Raw!X36,IF(ISNUMBER(RU_Raw!X37),(X35+RU_Raw!X37)/2,IF(ISNUMBER(RU_Raw!X38),X35+(RU_Raw!X38-X35)/3,"")))</f>
        <v>120.9</v>
      </c>
      <c r="Y36" s="19">
        <f>IF(ISNUMBER(RU_Raw!Y36),RU_Raw!Y36,IF(ISNUMBER(RU_Raw!Y37),(Y35+RU_Raw!Y37)/2,IF(ISNUMBER(RU_Raw!Y38),Y35+(RU_Raw!Y38-Y35)/3,"")))</f>
        <v>120.6</v>
      </c>
      <c r="Z36" s="19">
        <f>IF(ISNUMBER(RU_Raw!Z36),RU_Raw!Z36,IF(ISNUMBER(RU_Raw!Z37),(Z35+RU_Raw!Z37)/2,IF(ISNUMBER(RU_Raw!Z38),Z35+(RU_Raw!Z38-Z35)/3,"")))</f>
        <v>122</v>
      </c>
      <c r="AA36" s="19">
        <f>IF(ISNUMBER(RU_Raw!AA36),RU_Raw!AA36,IF(ISNUMBER(RU_Raw!AA37),(AA35+RU_Raw!AA37)/2,IF(ISNUMBER(RU_Raw!AA38),AA35+(RU_Raw!AA38-AA35)/3,"")))</f>
        <v>119.4</v>
      </c>
      <c r="AB36" s="19">
        <f>IF(ISNUMBER(RU_Raw!AB36),RU_Raw!AB36,IF(ISNUMBER(RU_Raw!AB37),(AB35+RU_Raw!AB37)/2,IF(ISNUMBER(RU_Raw!AB38),AB35+(RU_Raw!AB38-AB35)/3,"")))</f>
        <v>111.7</v>
      </c>
      <c r="AC36" s="19">
        <f>IF(ISNUMBER(RU_Raw!AC36),RU_Raw!AC36,IF(ISNUMBER(RU_Raw!AC37),(AC35+RU_Raw!AC37)/2,IF(ISNUMBER(RU_Raw!AC38),AC35+(RU_Raw!AC38-AC35)/3,"")))</f>
        <v>117.8</v>
      </c>
      <c r="AD36" s="19">
        <f>IF(ISNUMBER(RU_Raw!AD36),RU_Raw!AD36,IF(ISNUMBER(RU_Raw!AD37),(AD35+RU_Raw!AD37)/2,IF(ISNUMBER(RU_Raw!AD38),AD35+(RU_Raw!AD38-AD35)/3,"")))</f>
        <v>125.1</v>
      </c>
      <c r="AE36" s="19">
        <f>IF(ISNUMBER(RU_Raw!AE36),RU_Raw!AE36,IF(ISNUMBER(RU_Raw!AE37),(AE35+RU_Raw!AE37)/2,IF(ISNUMBER(RU_Raw!AE38),AE35+(RU_Raw!AE38-AE35)/3,"")))</f>
        <v>112.3</v>
      </c>
      <c r="AF36" s="19">
        <f>IF(ISNUMBER(RU_Raw!AF36),RU_Raw!AF36,IF(ISNUMBER(RU_Raw!AF37),(AF35+RU_Raw!AF37)/2,IF(ISNUMBER(RU_Raw!AF38),AF35+(RU_Raw!AF38-AF35)/3,"")))</f>
        <v>117.2</v>
      </c>
      <c r="AG36" s="19">
        <f>IF(ISNUMBER(RU_Raw!AG36),RU_Raw!AG36,IF(ISNUMBER(RU_Raw!AG37),(AG35+RU_Raw!AG37)/2,IF(ISNUMBER(RU_Raw!AG38),AG35+(RU_Raw!AG38-AG35)/3,"")))</f>
        <v>124.8</v>
      </c>
      <c r="AH36" s="19">
        <f t="shared" si="1"/>
        <v>1519.3</v>
      </c>
    </row>
    <row r="37" spans="1:34">
      <c r="A37" s="6">
        <f>RU_Raw!A37</f>
        <v>2015</v>
      </c>
      <c r="B37" s="6">
        <f>RU_Raw!B37</f>
        <v>9</v>
      </c>
      <c r="C37" s="6" t="str">
        <f>RU_Raw!C37</f>
        <v>September</v>
      </c>
      <c r="D37" s="9">
        <f>RU_Raw!D37</f>
        <v>42248</v>
      </c>
      <c r="E37" s="6">
        <f>COUNTBLANK(RU_Raw!G37:AG37)</f>
        <v>0</v>
      </c>
      <c r="F37" s="6" t="str">
        <f t="shared" si="0"/>
        <v/>
      </c>
      <c r="G37" s="19">
        <f>IF(ISNUMBER(RU_Raw!G37),RU_Raw!G37,IF(ISNUMBER(RU_Raw!G38),(G36+RU_Raw!G38)/2,IF(ISNUMBER(RU_Raw!G39),G36+(RU_Raw!G39-G36)/3,"")))</f>
        <v>124.6</v>
      </c>
      <c r="H37" s="19">
        <f>IF(ISNUMBER(RU_Raw!H37),RU_Raw!H37,IF(ISNUMBER(RU_Raw!H38),(H36+RU_Raw!H38)/2,IF(ISNUMBER(RU_Raw!H39),H36+(RU_Raw!H39-H36)/3,"")))</f>
        <v>130.4</v>
      </c>
      <c r="I37" s="19">
        <f>IF(ISNUMBER(RU_Raw!I37),RU_Raw!I37,IF(ISNUMBER(RU_Raw!I38),(I36+RU_Raw!I38)/2,IF(ISNUMBER(RU_Raw!I39),I36+(RU_Raw!I39-I36)/3,"")))</f>
        <v>118.7</v>
      </c>
      <c r="J37" s="19">
        <f>IF(ISNUMBER(RU_Raw!J37),RU_Raw!J37,IF(ISNUMBER(RU_Raw!J38),(J36+RU_Raw!J38)/2,IF(ISNUMBER(RU_Raw!J39),J36+(RU_Raw!J39-J36)/3,"")))</f>
        <v>128.9</v>
      </c>
      <c r="K37" s="19">
        <f>IF(ISNUMBER(RU_Raw!K37),RU_Raw!K37,IF(ISNUMBER(RU_Raw!K38),(K36+RU_Raw!K38)/2,IF(ISNUMBER(RU_Raw!K39),K36+(RU_Raw!K39-K36)/3,"")))</f>
        <v>111.9</v>
      </c>
      <c r="L37" s="19">
        <f>IF(ISNUMBER(RU_Raw!L37),RU_Raw!L37,IF(ISNUMBER(RU_Raw!L38),(L36+RU_Raw!L38)/2,IF(ISNUMBER(RU_Raw!L39),L36+(RU_Raw!L39-L36)/3,"")))</f>
        <v>128.4</v>
      </c>
      <c r="M37" s="19">
        <f>IF(ISNUMBER(RU_Raw!M37),RU_Raw!M37,IF(ISNUMBER(RU_Raw!M38),(M36+RU_Raw!M38)/2,IF(ISNUMBER(RU_Raw!M39),M36+(RU_Raw!M39-M36)/3,"")))</f>
        <v>162.2</v>
      </c>
      <c r="N37" s="19">
        <f>IF(ISNUMBER(RU_Raw!N37),RU_Raw!N37,IF(ISNUMBER(RU_Raw!N38),(N36+RU_Raw!N38)/2,IF(ISNUMBER(RU_Raw!N39),N36+(RU_Raw!N39-N36)/3,"")))</f>
        <v>150</v>
      </c>
      <c r="O37" s="19">
        <f>IF(ISNUMBER(RU_Raw!O37),RU_Raw!O37,IF(ISNUMBER(RU_Raw!O38),(O36+RU_Raw!O38)/2,IF(ISNUMBER(RU_Raw!O39),O36+(RU_Raw!O39-O36)/3,"")))</f>
        <v>90.4</v>
      </c>
      <c r="P37" s="19">
        <f>IF(ISNUMBER(RU_Raw!P37),RU_Raw!P37,IF(ISNUMBER(RU_Raw!P38),(P36+RU_Raw!P38)/2,IF(ISNUMBER(RU_Raw!P39),P36+(RU_Raw!P39-P36)/3,"")))</f>
        <v>128.4</v>
      </c>
      <c r="Q37" s="19">
        <f>IF(ISNUMBER(RU_Raw!Q37),RU_Raw!Q37,IF(ISNUMBER(RU_Raw!Q38),(Q36+RU_Raw!Q38)/2,IF(ISNUMBER(RU_Raw!Q39),Q36+(RU_Raw!Q39-Q36)/3,"")))</f>
        <v>120.7</v>
      </c>
      <c r="R37" s="19">
        <f>IF(ISNUMBER(RU_Raw!R37),RU_Raw!R37,IF(ISNUMBER(RU_Raw!R38),(R36+RU_Raw!R38)/2,IF(ISNUMBER(RU_Raw!R39),R36+(RU_Raw!R39-R36)/3,"")))</f>
        <v>132.5</v>
      </c>
      <c r="S37" s="19">
        <f>IF(ISNUMBER(RU_Raw!S37),RU_Raw!S37,IF(ISNUMBER(RU_Raw!S38),(S36+RU_Raw!S38)/2,IF(ISNUMBER(RU_Raw!S39),S36+(RU_Raw!S39-S36)/3,"")))</f>
        <v>131.2</v>
      </c>
      <c r="T37" s="19">
        <f>IF(ISNUMBER(RU_Raw!T37),RU_Raw!T37,IF(ISNUMBER(RU_Raw!T38),(T36+RU_Raw!T38)/2,IF(ISNUMBER(RU_Raw!T39),T36+(RU_Raw!T39-T36)/3,"")))</f>
        <v>132</v>
      </c>
      <c r="U37" s="19">
        <f>IF(ISNUMBER(RU_Raw!U37),RU_Raw!U37,IF(ISNUMBER(RU_Raw!U38),(U36+RU_Raw!U38)/2,IF(ISNUMBER(RU_Raw!U39),U36+(RU_Raw!U39-U36)/3,"")))</f>
        <v>127.9</v>
      </c>
      <c r="V37" s="19">
        <f>IF(ISNUMBER(RU_Raw!V37),RU_Raw!V37,IF(ISNUMBER(RU_Raw!V38),(V36+RU_Raw!V38)/2,IF(ISNUMBER(RU_Raw!V39),V36+(RU_Raw!V39-V36)/3,"")))</f>
        <v>123.4</v>
      </c>
      <c r="W37" s="19">
        <f>IF(ISNUMBER(RU_Raw!W37),RU_Raw!W37,IF(ISNUMBER(RU_Raw!W38),(W36+RU_Raw!W38)/2,IF(ISNUMBER(RU_Raw!W39),W36+(RU_Raw!W39-W36)/3,"")))</f>
        <v>127.2</v>
      </c>
      <c r="X37" s="19">
        <f>IF(ISNUMBER(RU_Raw!X37),RU_Raw!X37,IF(ISNUMBER(RU_Raw!X38),(X36+RU_Raw!X38)/2,IF(ISNUMBER(RU_Raw!X39),X36+(RU_Raw!X39-X36)/3,"")))</f>
        <v>121.6</v>
      </c>
      <c r="Y37" s="19">
        <f>IF(ISNUMBER(RU_Raw!Y37),RU_Raw!Y37,IF(ISNUMBER(RU_Raw!Y38),(Y36+RU_Raw!Y38)/2,IF(ISNUMBER(RU_Raw!Y39),Y36+(RU_Raw!Y39-Y36)/3,"")))</f>
        <v>120.4</v>
      </c>
      <c r="Z37" s="19">
        <f>IF(ISNUMBER(RU_Raw!Z37),RU_Raw!Z37,IF(ISNUMBER(RU_Raw!Z38),(Z36+RU_Raw!Z38)/2,IF(ISNUMBER(RU_Raw!Z39),Z36+(RU_Raw!Z39-Z36)/3,"")))</f>
        <v>122.6</v>
      </c>
      <c r="AA37" s="19">
        <f>IF(ISNUMBER(RU_Raw!AA37),RU_Raw!AA37,IF(ISNUMBER(RU_Raw!AA38),(AA36+RU_Raw!AA38)/2,IF(ISNUMBER(RU_Raw!AA39),AA36+(RU_Raw!AA39-AA36)/3,"")))</f>
        <v>119.8</v>
      </c>
      <c r="AB37" s="19">
        <f>IF(ISNUMBER(RU_Raw!AB37),RU_Raw!AB37,IF(ISNUMBER(RU_Raw!AB38),(AB36+RU_Raw!AB38)/2,IF(ISNUMBER(RU_Raw!AB39),AB36+(RU_Raw!AB39-AB36)/3,"")))</f>
        <v>111.3</v>
      </c>
      <c r="AC37" s="19">
        <f>IF(ISNUMBER(RU_Raw!AC37),RU_Raw!AC37,IF(ISNUMBER(RU_Raw!AC38),(AC36+RU_Raw!AC38)/2,IF(ISNUMBER(RU_Raw!AC39),AC36+(RU_Raw!AC39-AC36)/3,"")))</f>
        <v>118.3</v>
      </c>
      <c r="AD37" s="19">
        <f>IF(ISNUMBER(RU_Raw!AD37),RU_Raw!AD37,IF(ISNUMBER(RU_Raw!AD38),(AD36+RU_Raw!AD38)/2,IF(ISNUMBER(RU_Raw!AD39),AD36+(RU_Raw!AD39-AD36)/3,"")))</f>
        <v>125.7</v>
      </c>
      <c r="AE37" s="19">
        <f>IF(ISNUMBER(RU_Raw!AE37),RU_Raw!AE37,IF(ISNUMBER(RU_Raw!AE38),(AE36+RU_Raw!AE38)/2,IF(ISNUMBER(RU_Raw!AE39),AE36+(RU_Raw!AE39-AE36)/3,"")))</f>
        <v>113.4</v>
      </c>
      <c r="AF37" s="19">
        <f>IF(ISNUMBER(RU_Raw!AF37),RU_Raw!AF37,IF(ISNUMBER(RU_Raw!AF38),(AF36+RU_Raw!AF38)/2,IF(ISNUMBER(RU_Raw!AF39),AF36+(RU_Raw!AF39-AF36)/3,"")))</f>
        <v>117.5</v>
      </c>
      <c r="AG37" s="19">
        <f>IF(ISNUMBER(RU_Raw!AG37),RU_Raw!AG37,IF(ISNUMBER(RU_Raw!AG38),(AG36+RU_Raw!AG38)/2,IF(ISNUMBER(RU_Raw!AG39),AG36+(RU_Raw!AG39-AG36)/3,"")))</f>
        <v>125.4</v>
      </c>
      <c r="AH37" s="19">
        <f t="shared" si="1"/>
        <v>1527.1</v>
      </c>
    </row>
    <row r="38" spans="1:34">
      <c r="A38" s="6">
        <f>RU_Raw!A38</f>
        <v>2015</v>
      </c>
      <c r="B38" s="6">
        <f>RU_Raw!B38</f>
        <v>10</v>
      </c>
      <c r="C38" s="6" t="str">
        <f>RU_Raw!C38</f>
        <v>October</v>
      </c>
      <c r="D38" s="9">
        <f>RU_Raw!D38</f>
        <v>42278</v>
      </c>
      <c r="E38" s="6">
        <f>COUNTBLANK(RU_Raw!G38:AG38)</f>
        <v>0</v>
      </c>
      <c r="F38" s="6" t="str">
        <f t="shared" si="0"/>
        <v/>
      </c>
      <c r="G38" s="19">
        <f>IF(ISNUMBER(RU_Raw!G38),RU_Raw!G38,IF(ISNUMBER(RU_Raw!G39),(G37+RU_Raw!G39)/2,IF(ISNUMBER(RU_Raw!G40),G37+(RU_Raw!G40-G37)/3,"")))</f>
        <v>125</v>
      </c>
      <c r="H38" s="19">
        <f>IF(ISNUMBER(RU_Raw!H38),RU_Raw!H38,IF(ISNUMBER(RU_Raw!H39),(H37+RU_Raw!H39)/2,IF(ISNUMBER(RU_Raw!H40),H37+(RU_Raw!H40-H37)/3,"")))</f>
        <v>129.8</v>
      </c>
      <c r="I38" s="19">
        <f>IF(ISNUMBER(RU_Raw!I38),RU_Raw!I38,IF(ISNUMBER(RU_Raw!I39),(I37+RU_Raw!I39)/2,IF(ISNUMBER(RU_Raw!I40),I37+(RU_Raw!I40-I37)/3,"")))</f>
        <v>118.9</v>
      </c>
      <c r="J38" s="19">
        <f>IF(ISNUMBER(RU_Raw!J38),RU_Raw!J38,IF(ISNUMBER(RU_Raw!J39),(J37+RU_Raw!J39)/2,IF(ISNUMBER(RU_Raw!J40),J37+(RU_Raw!J40-J37)/3,"")))</f>
        <v>129.1</v>
      </c>
      <c r="K38" s="19">
        <f>IF(ISNUMBER(RU_Raw!K38),RU_Raw!K38,IF(ISNUMBER(RU_Raw!K39),(K37+RU_Raw!K39)/2,IF(ISNUMBER(RU_Raw!K40),K37+(RU_Raw!K40-K37)/3,"")))</f>
        <v>113.3</v>
      </c>
      <c r="L38" s="19">
        <f>IF(ISNUMBER(RU_Raw!L38),RU_Raw!L38,IF(ISNUMBER(RU_Raw!L39),(L37+RU_Raw!L39)/2,IF(ISNUMBER(RU_Raw!L40),L37+(RU_Raw!L40-L37)/3,"")))</f>
        <v>129</v>
      </c>
      <c r="M38" s="19">
        <f>IF(ISNUMBER(RU_Raw!M38),RU_Raw!M38,IF(ISNUMBER(RU_Raw!M39),(M37+RU_Raw!M39)/2,IF(ISNUMBER(RU_Raw!M40),M37+(RU_Raw!M40-M37)/3,"")))</f>
        <v>160.4</v>
      </c>
      <c r="N38" s="19">
        <f>IF(ISNUMBER(RU_Raw!N38),RU_Raw!N38,IF(ISNUMBER(RU_Raw!N39),(N37+RU_Raw!N39)/2,IF(ISNUMBER(RU_Raw!N40),N37+(RU_Raw!N40-N37)/3,"")))</f>
        <v>165.3</v>
      </c>
      <c r="O38" s="19">
        <f>IF(ISNUMBER(RU_Raw!O38),RU_Raw!O38,IF(ISNUMBER(RU_Raw!O39),(O37+RU_Raw!O39)/2,IF(ISNUMBER(RU_Raw!O40),O37+(RU_Raw!O40-O37)/3,"")))</f>
        <v>92.3</v>
      </c>
      <c r="P38" s="19">
        <f>IF(ISNUMBER(RU_Raw!P38),RU_Raw!P38,IF(ISNUMBER(RU_Raw!P39),(P37+RU_Raw!P39)/2,IF(ISNUMBER(RU_Raw!P40),P37+(RU_Raw!P40-P37)/3,"")))</f>
        <v>129.7</v>
      </c>
      <c r="Q38" s="19">
        <f>IF(ISNUMBER(RU_Raw!Q38),RU_Raw!Q38,IF(ISNUMBER(RU_Raw!Q39),(Q37+RU_Raw!Q39)/2,IF(ISNUMBER(RU_Raw!Q40),Q37+(RU_Raw!Q40-Q37)/3,"")))</f>
        <v>121.1</v>
      </c>
      <c r="R38" s="19">
        <f>IF(ISNUMBER(RU_Raw!R38),RU_Raw!R38,IF(ISNUMBER(RU_Raw!R39),(R37+RU_Raw!R39)/2,IF(ISNUMBER(RU_Raw!R40),R37+(RU_Raw!R40-R37)/3,"")))</f>
        <v>133</v>
      </c>
      <c r="S38" s="19">
        <f>IF(ISNUMBER(RU_Raw!S38),RU_Raw!S38,IF(ISNUMBER(RU_Raw!S39),(S37+RU_Raw!S39)/2,IF(ISNUMBER(RU_Raw!S40),S37+(RU_Raw!S40-S37)/3,"")))</f>
        <v>132.1</v>
      </c>
      <c r="T38" s="19">
        <f>IF(ISNUMBER(RU_Raw!T38),RU_Raw!T38,IF(ISNUMBER(RU_Raw!T39),(T37+RU_Raw!T39)/2,IF(ISNUMBER(RU_Raw!T40),T37+(RU_Raw!T40-T37)/3,"")))</f>
        <v>132.5</v>
      </c>
      <c r="U38" s="19">
        <f>IF(ISNUMBER(RU_Raw!U38),RU_Raw!U38,IF(ISNUMBER(RU_Raw!U39),(U37+RU_Raw!U39)/2,IF(ISNUMBER(RU_Raw!U40),U37+(RU_Raw!U40-U37)/3,"")))</f>
        <v>128.5</v>
      </c>
      <c r="V38" s="19">
        <f>IF(ISNUMBER(RU_Raw!V38),RU_Raw!V38,IF(ISNUMBER(RU_Raw!V39),(V37+RU_Raw!V39)/2,IF(ISNUMBER(RU_Raw!V40),V37+(RU_Raw!V40-V37)/3,"")))</f>
        <v>123.8</v>
      </c>
      <c r="W38" s="19">
        <f>IF(ISNUMBER(RU_Raw!W38),RU_Raw!W38,IF(ISNUMBER(RU_Raw!W39),(W37+RU_Raw!W39)/2,IF(ISNUMBER(RU_Raw!W40),W37+(RU_Raw!W40-W37)/3,"")))</f>
        <v>127.8</v>
      </c>
      <c r="X38" s="19">
        <f>IF(ISNUMBER(RU_Raw!X38),RU_Raw!X38,IF(ISNUMBER(RU_Raw!X39),(X37+RU_Raw!X39)/2,IF(ISNUMBER(RU_Raw!X40),X37+(RU_Raw!X40-X37)/3,"")))</f>
        <v>122.4</v>
      </c>
      <c r="Y38" s="19">
        <f>IF(ISNUMBER(RU_Raw!Y38),RU_Raw!Y38,IF(ISNUMBER(RU_Raw!Y39),(Y37+RU_Raw!Y39)/2,IF(ISNUMBER(RU_Raw!Y40),Y37+(RU_Raw!Y40-Y37)/3,"")))</f>
        <v>120.8</v>
      </c>
      <c r="Z38" s="19">
        <f>IF(ISNUMBER(RU_Raw!Z38),RU_Raw!Z38,IF(ISNUMBER(RU_Raw!Z39),(Z37+RU_Raw!Z39)/2,IF(ISNUMBER(RU_Raw!Z40),Z37+(RU_Raw!Z40-Z37)/3,"")))</f>
        <v>123</v>
      </c>
      <c r="AA38" s="19">
        <f>IF(ISNUMBER(RU_Raw!AA38),RU_Raw!AA38,IF(ISNUMBER(RU_Raw!AA39),(AA37+RU_Raw!AA39)/2,IF(ISNUMBER(RU_Raw!AA40),AA37+(RU_Raw!AA40-AA37)/3,"")))</f>
        <v>120.4</v>
      </c>
      <c r="AB38" s="19">
        <f>IF(ISNUMBER(RU_Raw!AB38),RU_Raw!AB38,IF(ISNUMBER(RU_Raw!AB39),(AB37+RU_Raw!AB39)/2,IF(ISNUMBER(RU_Raw!AB40),AB37+(RU_Raw!AB40-AB37)/3,"")))</f>
        <v>111.4</v>
      </c>
      <c r="AC38" s="19">
        <f>IF(ISNUMBER(RU_Raw!AC38),RU_Raw!AC38,IF(ISNUMBER(RU_Raw!AC39),(AC37+RU_Raw!AC39)/2,IF(ISNUMBER(RU_Raw!AC40),AC37+(RU_Raw!AC40-AC37)/3,"")))</f>
        <v>118.7</v>
      </c>
      <c r="AD38" s="19">
        <f>IF(ISNUMBER(RU_Raw!AD38),RU_Raw!AD38,IF(ISNUMBER(RU_Raw!AD39),(AD37+RU_Raw!AD39)/2,IF(ISNUMBER(RU_Raw!AD40),AD37+(RU_Raw!AD40-AD37)/3,"")))</f>
        <v>125.9</v>
      </c>
      <c r="AE38" s="19">
        <f>IF(ISNUMBER(RU_Raw!AE38),RU_Raw!AE38,IF(ISNUMBER(RU_Raw!AE39),(AE37+RU_Raw!AE39)/2,IF(ISNUMBER(RU_Raw!AE40),AE37+(RU_Raw!AE40-AE37)/3,"")))</f>
        <v>113.9</v>
      </c>
      <c r="AF38" s="19">
        <f>IF(ISNUMBER(RU_Raw!AF38),RU_Raw!AF38,IF(ISNUMBER(RU_Raw!AF39),(AF37+RU_Raw!AF39)/2,IF(ISNUMBER(RU_Raw!AF40),AF37+(RU_Raw!AF40-AF37)/3,"")))</f>
        <v>117.9</v>
      </c>
      <c r="AG38" s="19">
        <f>IF(ISNUMBER(RU_Raw!AG38),RU_Raw!AG38,IF(ISNUMBER(RU_Raw!AG39),(AG37+RU_Raw!AG39)/2,IF(ISNUMBER(RU_Raw!AG40),AG37+(RU_Raw!AG40-AG37)/3,"")))</f>
        <v>126.1</v>
      </c>
      <c r="AH38" s="19">
        <f t="shared" si="1"/>
        <v>1546.9</v>
      </c>
    </row>
    <row r="39" spans="1:34">
      <c r="A39" s="6">
        <f>RU_Raw!A39</f>
        <v>2015</v>
      </c>
      <c r="B39" s="6">
        <f>RU_Raw!B39</f>
        <v>11</v>
      </c>
      <c r="C39" s="6" t="str">
        <f>RU_Raw!C39</f>
        <v>November</v>
      </c>
      <c r="D39" s="9">
        <f>RU_Raw!D39</f>
        <v>42309</v>
      </c>
      <c r="E39" s="6">
        <f>COUNTBLANK(RU_Raw!G39:AG39)</f>
        <v>0</v>
      </c>
      <c r="F39" s="6" t="str">
        <f t="shared" si="0"/>
        <v/>
      </c>
      <c r="G39" s="19">
        <f>IF(ISNUMBER(RU_Raw!G39),RU_Raw!G39,IF(ISNUMBER(RU_Raw!G40),(G38+RU_Raw!G40)/2,IF(ISNUMBER(RU_Raw!G41),G38+(RU_Raw!G41-G38)/3,"")))</f>
        <v>125.4</v>
      </c>
      <c r="H39" s="19">
        <f>IF(ISNUMBER(RU_Raw!H39),RU_Raw!H39,IF(ISNUMBER(RU_Raw!H40),(H38+RU_Raw!H40)/2,IF(ISNUMBER(RU_Raw!H41),H38+(RU_Raw!H41-H38)/3,"")))</f>
        <v>130.3</v>
      </c>
      <c r="I39" s="19">
        <f>IF(ISNUMBER(RU_Raw!I39),RU_Raw!I39,IF(ISNUMBER(RU_Raw!I40),(I38+RU_Raw!I40)/2,IF(ISNUMBER(RU_Raw!I41),I38+(RU_Raw!I41-I38)/3,"")))</f>
        <v>121.6</v>
      </c>
      <c r="J39" s="19">
        <f>IF(ISNUMBER(RU_Raw!J39),RU_Raw!J39,IF(ISNUMBER(RU_Raw!J40),(J38+RU_Raw!J40)/2,IF(ISNUMBER(RU_Raw!J41),J38+(RU_Raw!J41-J38)/3,"")))</f>
        <v>129.2</v>
      </c>
      <c r="K39" s="19">
        <f>IF(ISNUMBER(RU_Raw!K39),RU_Raw!K39,IF(ISNUMBER(RU_Raw!K40),(K38+RU_Raw!K40)/2,IF(ISNUMBER(RU_Raw!K41),K38+(RU_Raw!K41-K38)/3,"")))</f>
        <v>114.9</v>
      </c>
      <c r="L39" s="19">
        <f>IF(ISNUMBER(RU_Raw!L39),RU_Raw!L39,IF(ISNUMBER(RU_Raw!L40),(L38+RU_Raw!L40)/2,IF(ISNUMBER(RU_Raw!L41),L38+(RU_Raw!L41-L38)/3,"")))</f>
        <v>128.2</v>
      </c>
      <c r="M39" s="19">
        <f>IF(ISNUMBER(RU_Raw!M39),RU_Raw!M39,IF(ISNUMBER(RU_Raw!M40),(M38+RU_Raw!M40)/2,IF(ISNUMBER(RU_Raw!M41),M38+(RU_Raw!M41-M38)/3,"")))</f>
        <v>158.4</v>
      </c>
      <c r="N39" s="19">
        <f>IF(ISNUMBER(RU_Raw!N39),RU_Raw!N39,IF(ISNUMBER(RU_Raw!N40),(N38+RU_Raw!N40)/2,IF(ISNUMBER(RU_Raw!N41),N38+(RU_Raw!N41-N38)/3,"")))</f>
        <v>171.2</v>
      </c>
      <c r="O39" s="19">
        <f>IF(ISNUMBER(RU_Raw!O39),RU_Raw!O39,IF(ISNUMBER(RU_Raw!O40),(O38+RU_Raw!O40)/2,IF(ISNUMBER(RU_Raw!O41),O38+(RU_Raw!O41-O38)/3,"")))</f>
        <v>93.3</v>
      </c>
      <c r="P39" s="19">
        <f>IF(ISNUMBER(RU_Raw!P39),RU_Raw!P39,IF(ISNUMBER(RU_Raw!P40),(P38+RU_Raw!P40)/2,IF(ISNUMBER(RU_Raw!P41),P38+(RU_Raw!P41-P38)/3,"")))</f>
        <v>131.2</v>
      </c>
      <c r="Q39" s="19">
        <f>IF(ISNUMBER(RU_Raw!Q39),RU_Raw!Q39,IF(ISNUMBER(RU_Raw!Q40),(Q38+RU_Raw!Q40)/2,IF(ISNUMBER(RU_Raw!Q41),Q38+(RU_Raw!Q41-Q38)/3,"")))</f>
        <v>121.7</v>
      </c>
      <c r="R39" s="19">
        <f>IF(ISNUMBER(RU_Raw!R39),RU_Raw!R39,IF(ISNUMBER(RU_Raw!R40),(R38+RU_Raw!R40)/2,IF(ISNUMBER(RU_Raw!R41),R38+(RU_Raw!R41-R38)/3,"")))</f>
        <v>134</v>
      </c>
      <c r="S39" s="19">
        <f>IF(ISNUMBER(RU_Raw!S39),RU_Raw!S39,IF(ISNUMBER(RU_Raw!S40),(S38+RU_Raw!S40)/2,IF(ISNUMBER(RU_Raw!S41),S38+(RU_Raw!S41-S38)/3,"")))</f>
        <v>132.7</v>
      </c>
      <c r="T39" s="19">
        <f>IF(ISNUMBER(RU_Raw!T39),RU_Raw!T39,IF(ISNUMBER(RU_Raw!T40),(T38+RU_Raw!T40)/2,IF(ISNUMBER(RU_Raw!T41),T38+(RU_Raw!T41-T38)/3,"")))</f>
        <v>133.6</v>
      </c>
      <c r="U39" s="19">
        <f>IF(ISNUMBER(RU_Raw!U39),RU_Raw!U39,IF(ISNUMBER(RU_Raw!U40),(U38+RU_Raw!U40)/2,IF(ISNUMBER(RU_Raw!U41),U38+(RU_Raw!U41-U38)/3,"")))</f>
        <v>129.3</v>
      </c>
      <c r="V39" s="19">
        <f>IF(ISNUMBER(RU_Raw!V39),RU_Raw!V39,IF(ISNUMBER(RU_Raw!V40),(V38+RU_Raw!V40)/2,IF(ISNUMBER(RU_Raw!V41),V38+(RU_Raw!V41-V38)/3,"")))</f>
        <v>124.5</v>
      </c>
      <c r="W39" s="19">
        <f>IF(ISNUMBER(RU_Raw!W39),RU_Raw!W39,IF(ISNUMBER(RU_Raw!W40),(W38+RU_Raw!W40)/2,IF(ISNUMBER(RU_Raw!W41),W38+(RU_Raw!W41-W38)/3,"")))</f>
        <v>128.6</v>
      </c>
      <c r="X39" s="19">
        <f>IF(ISNUMBER(RU_Raw!X39),RU_Raw!X39,IF(ISNUMBER(RU_Raw!X40),(X38+RU_Raw!X40)/2,IF(ISNUMBER(RU_Raw!X41),X38+(RU_Raw!X41-X38)/3,"")))</f>
        <v>122.9</v>
      </c>
      <c r="Y39" s="19">
        <f>IF(ISNUMBER(RU_Raw!Y39),RU_Raw!Y39,IF(ISNUMBER(RU_Raw!Y40),(Y38+RU_Raw!Y40)/2,IF(ISNUMBER(RU_Raw!Y41),Y38+(RU_Raw!Y41-Y38)/3,"")))</f>
        <v>121.6</v>
      </c>
      <c r="Z39" s="19">
        <f>IF(ISNUMBER(RU_Raw!Z39),RU_Raw!Z39,IF(ISNUMBER(RU_Raw!Z40),(Z38+RU_Raw!Z40)/2,IF(ISNUMBER(RU_Raw!Z41),Z38+(RU_Raw!Z41-Z38)/3,"")))</f>
        <v>123.4</v>
      </c>
      <c r="AA39" s="19">
        <f>IF(ISNUMBER(RU_Raw!AA39),RU_Raw!AA39,IF(ISNUMBER(RU_Raw!AA40),(AA38+RU_Raw!AA40)/2,IF(ISNUMBER(RU_Raw!AA41),AA38+(RU_Raw!AA41-AA38)/3,"")))</f>
        <v>120.9</v>
      </c>
      <c r="AB39" s="19">
        <f>IF(ISNUMBER(RU_Raw!AB39),RU_Raw!AB39,IF(ISNUMBER(RU_Raw!AB40),(AB38+RU_Raw!AB40)/2,IF(ISNUMBER(RU_Raw!AB41),AB38+(RU_Raw!AB41-AB38)/3,"")))</f>
        <v>111.5</v>
      </c>
      <c r="AC39" s="19">
        <f>IF(ISNUMBER(RU_Raw!AC39),RU_Raw!AC39,IF(ISNUMBER(RU_Raw!AC40),(AC38+RU_Raw!AC40)/2,IF(ISNUMBER(RU_Raw!AC41),AC38+(RU_Raw!AC41-AC38)/3,"")))</f>
        <v>119.2</v>
      </c>
      <c r="AD39" s="19">
        <f>IF(ISNUMBER(RU_Raw!AD39),RU_Raw!AD39,IF(ISNUMBER(RU_Raw!AD40),(AD38+RU_Raw!AD40)/2,IF(ISNUMBER(RU_Raw!AD41),AD38+(RU_Raw!AD41-AD38)/3,"")))</f>
        <v>126.3</v>
      </c>
      <c r="AE39" s="19">
        <f>IF(ISNUMBER(RU_Raw!AE39),RU_Raw!AE39,IF(ISNUMBER(RU_Raw!AE40),(AE38+RU_Raw!AE40)/2,IF(ISNUMBER(RU_Raw!AE41),AE38+(RU_Raw!AE41-AE38)/3,"")))</f>
        <v>113.8</v>
      </c>
      <c r="AF39" s="19">
        <f>IF(ISNUMBER(RU_Raw!AF39),RU_Raw!AF39,IF(ISNUMBER(RU_Raw!AF40),(AF38+RU_Raw!AF40)/2,IF(ISNUMBER(RU_Raw!AF41),AF38+(RU_Raw!AF41-AF38)/3,"")))</f>
        <v>118.1</v>
      </c>
      <c r="AG39" s="19">
        <f>IF(ISNUMBER(RU_Raw!AG39),RU_Raw!AG39,IF(ISNUMBER(RU_Raw!AG40),(AG38+RU_Raw!AG40)/2,IF(ISNUMBER(RU_Raw!AG41),AG38+(RU_Raw!AG41-AG38)/3,"")))</f>
        <v>126.6</v>
      </c>
      <c r="AH39" s="19">
        <f t="shared" si="1"/>
        <v>1559.4</v>
      </c>
    </row>
    <row r="40" spans="1:34">
      <c r="A40" s="6">
        <f>RU_Raw!A40</f>
        <v>2015</v>
      </c>
      <c r="B40" s="6">
        <f>RU_Raw!B40</f>
        <v>12</v>
      </c>
      <c r="C40" s="6" t="str">
        <f>RU_Raw!C40</f>
        <v>December</v>
      </c>
      <c r="D40" s="9">
        <f>RU_Raw!D40</f>
        <v>42339</v>
      </c>
      <c r="E40" s="6">
        <f>COUNTBLANK(RU_Raw!G40:AG40)</f>
        <v>0</v>
      </c>
      <c r="F40" s="6" t="str">
        <f t="shared" si="0"/>
        <v/>
      </c>
      <c r="G40" s="19">
        <f>IF(ISNUMBER(RU_Raw!G40),RU_Raw!G40,IF(ISNUMBER(RU_Raw!G41),(G39+RU_Raw!G41)/2,IF(ISNUMBER(RU_Raw!G42),G39+(RU_Raw!G42-G39)/3,"")))</f>
        <v>125.7</v>
      </c>
      <c r="H40" s="19">
        <f>IF(ISNUMBER(RU_Raw!H40),RU_Raw!H40,IF(ISNUMBER(RU_Raw!H41),(H39+RU_Raw!H41)/2,IF(ISNUMBER(RU_Raw!H42),H39+(RU_Raw!H42-H39)/3,"")))</f>
        <v>131.4</v>
      </c>
      <c r="I40" s="19">
        <f>IF(ISNUMBER(RU_Raw!I40),RU_Raw!I40,IF(ISNUMBER(RU_Raw!I41),(I39+RU_Raw!I41)/2,IF(ISNUMBER(RU_Raw!I42),I39+(RU_Raw!I42-I39)/3,"")))</f>
        <v>124.8</v>
      </c>
      <c r="J40" s="19">
        <f>IF(ISNUMBER(RU_Raw!J40),RU_Raw!J40,IF(ISNUMBER(RU_Raw!J41),(J39+RU_Raw!J41)/2,IF(ISNUMBER(RU_Raw!J42),J39+(RU_Raw!J42-J39)/3,"")))</f>
        <v>129.4</v>
      </c>
      <c r="K40" s="19">
        <f>IF(ISNUMBER(RU_Raw!K40),RU_Raw!K40,IF(ISNUMBER(RU_Raw!K41),(K39+RU_Raw!K41)/2,IF(ISNUMBER(RU_Raw!K42),K39+(RU_Raw!K42-K39)/3,"")))</f>
        <v>115.3</v>
      </c>
      <c r="L40" s="19">
        <f>IF(ISNUMBER(RU_Raw!L40),RU_Raw!L40,IF(ISNUMBER(RU_Raw!L41),(L39+RU_Raw!L41)/2,IF(ISNUMBER(RU_Raw!L42),L39+(RU_Raw!L42-L39)/3,"")))</f>
        <v>126.6</v>
      </c>
      <c r="M40" s="19">
        <f>IF(ISNUMBER(RU_Raw!M40),RU_Raw!M40,IF(ISNUMBER(RU_Raw!M41),(M39+RU_Raw!M41)/2,IF(ISNUMBER(RU_Raw!M42),M39+(RU_Raw!M42-M39)/3,"")))</f>
        <v>146.7</v>
      </c>
      <c r="N40" s="19">
        <f>IF(ISNUMBER(RU_Raw!N40),RU_Raw!N40,IF(ISNUMBER(RU_Raw!N41),(N39+RU_Raw!N41)/2,IF(ISNUMBER(RU_Raw!N42),N39+(RU_Raw!N42-N39)/3,"")))</f>
        <v>171.5</v>
      </c>
      <c r="O40" s="19">
        <f>IF(ISNUMBER(RU_Raw!O40),RU_Raw!O40,IF(ISNUMBER(RU_Raw!O41),(O39+RU_Raw!O41)/2,IF(ISNUMBER(RU_Raw!O42),O39+(RU_Raw!O42-O39)/3,"")))</f>
        <v>94.5</v>
      </c>
      <c r="P40" s="19">
        <f>IF(ISNUMBER(RU_Raw!P40),RU_Raw!P40,IF(ISNUMBER(RU_Raw!P41),(P39+RU_Raw!P41)/2,IF(ISNUMBER(RU_Raw!P42),P39+(RU_Raw!P42-P39)/3,"")))</f>
        <v>132.1</v>
      </c>
      <c r="Q40" s="19">
        <f>IF(ISNUMBER(RU_Raw!Q40),RU_Raw!Q40,IF(ISNUMBER(RU_Raw!Q41),(Q39+RU_Raw!Q41)/2,IF(ISNUMBER(RU_Raw!Q42),Q39+(RU_Raw!Q42-Q39)/3,"")))</f>
        <v>122</v>
      </c>
      <c r="R40" s="19">
        <f>IF(ISNUMBER(RU_Raw!R40),RU_Raw!R40,IF(ISNUMBER(RU_Raw!R41),(R39+RU_Raw!R41)/2,IF(ISNUMBER(RU_Raw!R42),R39+(RU_Raw!R42-R39)/3,"")))</f>
        <v>134.7</v>
      </c>
      <c r="S40" s="19">
        <f>IF(ISNUMBER(RU_Raw!S40),RU_Raw!S40,IF(ISNUMBER(RU_Raw!S41),(S39+RU_Raw!S41)/2,IF(ISNUMBER(RU_Raw!S42),S39+(RU_Raw!S42-S39)/3,"")))</f>
        <v>131.4</v>
      </c>
      <c r="T40" s="19">
        <f>IF(ISNUMBER(RU_Raw!T40),RU_Raw!T40,IF(ISNUMBER(RU_Raw!T41),(T39+RU_Raw!T41)/2,IF(ISNUMBER(RU_Raw!T42),T39+(RU_Raw!T42-T39)/3,"")))</f>
        <v>134.5</v>
      </c>
      <c r="U40" s="19">
        <f>IF(ISNUMBER(RU_Raw!U40),RU_Raw!U40,IF(ISNUMBER(RU_Raw!U41),(U39+RU_Raw!U41)/2,IF(ISNUMBER(RU_Raw!U42),U39+(RU_Raw!U42-U39)/3,"")))</f>
        <v>129.7</v>
      </c>
      <c r="V40" s="19">
        <f>IF(ISNUMBER(RU_Raw!V40),RU_Raw!V40,IF(ISNUMBER(RU_Raw!V41),(V39+RU_Raw!V41)/2,IF(ISNUMBER(RU_Raw!V42),V39+(RU_Raw!V42-V39)/3,"")))</f>
        <v>124.8</v>
      </c>
      <c r="W40" s="19">
        <f>IF(ISNUMBER(RU_Raw!W40),RU_Raw!W40,IF(ISNUMBER(RU_Raw!W41),(W39+RU_Raw!W41)/2,IF(ISNUMBER(RU_Raw!W42),W39+(RU_Raw!W42-W39)/3,"")))</f>
        <v>129</v>
      </c>
      <c r="X40" s="19">
        <f>IF(ISNUMBER(RU_Raw!X40),RU_Raw!X40,IF(ISNUMBER(RU_Raw!X41),(X39+RU_Raw!X41)/2,IF(ISNUMBER(RU_Raw!X42),X39+(RU_Raw!X42-X39)/3,"")))</f>
        <v>122.4</v>
      </c>
      <c r="Y40" s="19">
        <f>IF(ISNUMBER(RU_Raw!Y40),RU_Raw!Y40,IF(ISNUMBER(RU_Raw!Y41),(Y39+RU_Raw!Y41)/2,IF(ISNUMBER(RU_Raw!Y42),Y39+(RU_Raw!Y42-Y39)/3,"")))</f>
        <v>122</v>
      </c>
      <c r="Z40" s="19">
        <f>IF(ISNUMBER(RU_Raw!Z40),RU_Raw!Z40,IF(ISNUMBER(RU_Raw!Z41),(Z39+RU_Raw!Z41)/2,IF(ISNUMBER(RU_Raw!Z42),Z39+(RU_Raw!Z42-Z39)/3,"")))</f>
        <v>123.6</v>
      </c>
      <c r="AA40" s="19">
        <f>IF(ISNUMBER(RU_Raw!AA40),RU_Raw!AA40,IF(ISNUMBER(RU_Raw!AA41),(AA39+RU_Raw!AA41)/2,IF(ISNUMBER(RU_Raw!AA42),AA39+(RU_Raw!AA42-AA39)/3,"")))</f>
        <v>121.4</v>
      </c>
      <c r="AB40" s="19">
        <f>IF(ISNUMBER(RU_Raw!AB40),RU_Raw!AB40,IF(ISNUMBER(RU_Raw!AB41),(AB39+RU_Raw!AB41)/2,IF(ISNUMBER(RU_Raw!AB42),AB39+(RU_Raw!AB42-AB39)/3,"")))</f>
        <v>111.5</v>
      </c>
      <c r="AC40" s="19">
        <f>IF(ISNUMBER(RU_Raw!AC40),RU_Raw!AC40,IF(ISNUMBER(RU_Raw!AC41),(AC39+RU_Raw!AC41)/2,IF(ISNUMBER(RU_Raw!AC42),AC39+(RU_Raw!AC42-AC39)/3,"")))</f>
        <v>119.6</v>
      </c>
      <c r="AD40" s="19">
        <f>IF(ISNUMBER(RU_Raw!AD40),RU_Raw!AD40,IF(ISNUMBER(RU_Raw!AD41),(AD39+RU_Raw!AD41)/2,IF(ISNUMBER(RU_Raw!AD42),AD39+(RU_Raw!AD42-AD39)/3,"")))</f>
        <v>126.2</v>
      </c>
      <c r="AE40" s="19">
        <f>IF(ISNUMBER(RU_Raw!AE40),RU_Raw!AE40,IF(ISNUMBER(RU_Raw!AE41),(AE39+RU_Raw!AE41)/2,IF(ISNUMBER(RU_Raw!AE42),AE39+(RU_Raw!AE42-AE39)/3,"")))</f>
        <v>113.7</v>
      </c>
      <c r="AF40" s="19">
        <f>IF(ISNUMBER(RU_Raw!AF40),RU_Raw!AF40,IF(ISNUMBER(RU_Raw!AF41),(AF39+RU_Raw!AF41)/2,IF(ISNUMBER(RU_Raw!AF42),AF39+(RU_Raw!AF42-AF39)/3,"")))</f>
        <v>118.3</v>
      </c>
      <c r="AG40" s="19">
        <f>IF(ISNUMBER(RU_Raw!AG40),RU_Raw!AG40,IF(ISNUMBER(RU_Raw!AG41),(AG39+RU_Raw!AG41)/2,IF(ISNUMBER(RU_Raw!AG42),AG39+(RU_Raw!AG42-AG39)/3,"")))</f>
        <v>126.1</v>
      </c>
      <c r="AH40" s="19">
        <f t="shared" si="1"/>
        <v>1554.7</v>
      </c>
    </row>
    <row r="41" spans="1:34">
      <c r="A41" s="6">
        <f>RU_Raw!A41</f>
        <v>2016</v>
      </c>
      <c r="B41" s="6">
        <f>RU_Raw!B41</f>
        <v>1</v>
      </c>
      <c r="C41" s="6" t="str">
        <f>RU_Raw!C41</f>
        <v>January</v>
      </c>
      <c r="D41" s="9">
        <f>RU_Raw!D41</f>
        <v>42370</v>
      </c>
      <c r="E41" s="6">
        <f>COUNTBLANK(RU_Raw!G41:AG41)</f>
        <v>0</v>
      </c>
      <c r="F41" s="6" t="str">
        <f t="shared" si="0"/>
        <v/>
      </c>
      <c r="G41" s="19">
        <f>IF(ISNUMBER(RU_Raw!G41),RU_Raw!G41,IF(ISNUMBER(RU_Raw!G42),(G40+RU_Raw!G42)/2,IF(ISNUMBER(RU_Raw!G43),G40+(RU_Raw!G43-G40)/3,"")))</f>
        <v>126.1</v>
      </c>
      <c r="H41" s="19">
        <f>IF(ISNUMBER(RU_Raw!H41),RU_Raw!H41,IF(ISNUMBER(RU_Raw!H42),(H40+RU_Raw!H42)/2,IF(ISNUMBER(RU_Raw!H43),H40+(RU_Raw!H43-H40)/3,"")))</f>
        <v>134.1</v>
      </c>
      <c r="I41" s="19">
        <f>IF(ISNUMBER(RU_Raw!I41),RU_Raw!I41,IF(ISNUMBER(RU_Raw!I42),(I40+RU_Raw!I42)/2,IF(ISNUMBER(RU_Raw!I43),I40+(RU_Raw!I43-I40)/3,"")))</f>
        <v>128.6</v>
      </c>
      <c r="J41" s="19">
        <f>IF(ISNUMBER(RU_Raw!J41),RU_Raw!J41,IF(ISNUMBER(RU_Raw!J42),(J40+RU_Raw!J42)/2,IF(ISNUMBER(RU_Raw!J43),J40+(RU_Raw!J43-J40)/3,"")))</f>
        <v>129.9</v>
      </c>
      <c r="K41" s="19">
        <f>IF(ISNUMBER(RU_Raw!K41),RU_Raw!K41,IF(ISNUMBER(RU_Raw!K42),(K40+RU_Raw!K42)/2,IF(ISNUMBER(RU_Raw!K43),K40+(RU_Raw!K43-K40)/3,"")))</f>
        <v>115.5</v>
      </c>
      <c r="L41" s="19">
        <f>IF(ISNUMBER(RU_Raw!L41),RU_Raw!L41,IF(ISNUMBER(RU_Raw!L42),(L40+RU_Raw!L42)/2,IF(ISNUMBER(RU_Raw!L43),L40+(RU_Raw!L43-L40)/3,"")))</f>
        <v>125.7</v>
      </c>
      <c r="M41" s="19">
        <f>IF(ISNUMBER(RU_Raw!M41),RU_Raw!M41,IF(ISNUMBER(RU_Raw!M42),(M40+RU_Raw!M42)/2,IF(ISNUMBER(RU_Raw!M43),M40+(RU_Raw!M43-M40)/3,"")))</f>
        <v>141.5</v>
      </c>
      <c r="N41" s="19">
        <f>IF(ISNUMBER(RU_Raw!N41),RU_Raw!N41,IF(ISNUMBER(RU_Raw!N42),(N40+RU_Raw!N42)/2,IF(ISNUMBER(RU_Raw!N43),N40+(RU_Raw!N43-N40)/3,"")))</f>
        <v>170.7</v>
      </c>
      <c r="O41" s="19">
        <f>IF(ISNUMBER(RU_Raw!O41),RU_Raw!O41,IF(ISNUMBER(RU_Raw!O42),(O40+RU_Raw!O42)/2,IF(ISNUMBER(RU_Raw!O43),O40+(RU_Raw!O43-O40)/3,"")))</f>
        <v>97.4</v>
      </c>
      <c r="P41" s="19">
        <f>IF(ISNUMBER(RU_Raw!P41),RU_Raw!P41,IF(ISNUMBER(RU_Raw!P42),(P40+RU_Raw!P42)/2,IF(ISNUMBER(RU_Raw!P43),P40+(RU_Raw!P43-P40)/3,"")))</f>
        <v>132.9</v>
      </c>
      <c r="Q41" s="19">
        <f>IF(ISNUMBER(RU_Raw!Q41),RU_Raw!Q41,IF(ISNUMBER(RU_Raw!Q42),(Q40+RU_Raw!Q42)/2,IF(ISNUMBER(RU_Raw!Q43),Q40+(RU_Raw!Q43-Q40)/3,"")))</f>
        <v>122.7</v>
      </c>
      <c r="R41" s="19">
        <f>IF(ISNUMBER(RU_Raw!R41),RU_Raw!R41,IF(ISNUMBER(RU_Raw!R42),(R40+RU_Raw!R42)/2,IF(ISNUMBER(RU_Raw!R43),R40+(RU_Raw!R43-R40)/3,"")))</f>
        <v>135.3</v>
      </c>
      <c r="S41" s="19">
        <f>IF(ISNUMBER(RU_Raw!S41),RU_Raw!S41,IF(ISNUMBER(RU_Raw!S42),(S40+RU_Raw!S42)/2,IF(ISNUMBER(RU_Raw!S43),S40+(RU_Raw!S43-S40)/3,"")))</f>
        <v>131.3</v>
      </c>
      <c r="T41" s="19">
        <f>IF(ISNUMBER(RU_Raw!T41),RU_Raw!T41,IF(ISNUMBER(RU_Raw!T42),(T40+RU_Raw!T42)/2,IF(ISNUMBER(RU_Raw!T43),T40+(RU_Raw!T43-T40)/3,"")))</f>
        <v>135.2</v>
      </c>
      <c r="U41" s="19">
        <f>IF(ISNUMBER(RU_Raw!U41),RU_Raw!U41,IF(ISNUMBER(RU_Raw!U42),(U40+RU_Raw!U42)/2,IF(ISNUMBER(RU_Raw!U43),U40+(RU_Raw!U43-U40)/3,"")))</f>
        <v>130.3</v>
      </c>
      <c r="V41" s="19">
        <f>IF(ISNUMBER(RU_Raw!V41),RU_Raw!V41,IF(ISNUMBER(RU_Raw!V42),(V40+RU_Raw!V42)/2,IF(ISNUMBER(RU_Raw!V43),V40+(RU_Raw!V43-V40)/3,"")))</f>
        <v>125.1</v>
      </c>
      <c r="W41" s="19">
        <f>IF(ISNUMBER(RU_Raw!W41),RU_Raw!W41,IF(ISNUMBER(RU_Raw!W42),(W40+RU_Raw!W42)/2,IF(ISNUMBER(RU_Raw!W43),W40+(RU_Raw!W43-W40)/3,"")))</f>
        <v>129.5</v>
      </c>
      <c r="X41" s="19">
        <f>IF(ISNUMBER(RU_Raw!X41),RU_Raw!X41,IF(ISNUMBER(RU_Raw!X42),(X40+RU_Raw!X42)/2,IF(ISNUMBER(RU_Raw!X43),X40+(RU_Raw!X43-X40)/3,"")))</f>
        <v>123.4</v>
      </c>
      <c r="Y41" s="19">
        <f>IF(ISNUMBER(RU_Raw!Y41),RU_Raw!Y41,IF(ISNUMBER(RU_Raw!Y42),(Y40+RU_Raw!Y42)/2,IF(ISNUMBER(RU_Raw!Y43),Y40+(RU_Raw!Y43-Y40)/3,"")))</f>
        <v>122.7</v>
      </c>
      <c r="Z41" s="19">
        <f>IF(ISNUMBER(RU_Raw!Z41),RU_Raw!Z41,IF(ISNUMBER(RU_Raw!Z42),(Z40+RU_Raw!Z42)/2,IF(ISNUMBER(RU_Raw!Z43),Z40+(RU_Raw!Z43-Z40)/3,"")))</f>
        <v>124.2</v>
      </c>
      <c r="AA41" s="19">
        <f>IF(ISNUMBER(RU_Raw!AA41),RU_Raw!AA41,IF(ISNUMBER(RU_Raw!AA42),(AA40+RU_Raw!AA42)/2,IF(ISNUMBER(RU_Raw!AA43),AA40+(RU_Raw!AA43-AA40)/3,"")))</f>
        <v>122</v>
      </c>
      <c r="AB41" s="19">
        <f>IF(ISNUMBER(RU_Raw!AB41),RU_Raw!AB41,IF(ISNUMBER(RU_Raw!AB42),(AB40+RU_Raw!AB42)/2,IF(ISNUMBER(RU_Raw!AB43),AB40+(RU_Raw!AB43-AB40)/3,"")))</f>
        <v>111.1</v>
      </c>
      <c r="AC41" s="19">
        <f>IF(ISNUMBER(RU_Raw!AC41),RU_Raw!AC41,IF(ISNUMBER(RU_Raw!AC42),(AC40+RU_Raw!AC42)/2,IF(ISNUMBER(RU_Raw!AC43),AC40+(RU_Raw!AC43-AC40)/3,"")))</f>
        <v>119.8</v>
      </c>
      <c r="AD41" s="19">
        <f>IF(ISNUMBER(RU_Raw!AD41),RU_Raw!AD41,IF(ISNUMBER(RU_Raw!AD42),(AD40+RU_Raw!AD42)/2,IF(ISNUMBER(RU_Raw!AD43),AD40+(RU_Raw!AD43-AD40)/3,"")))</f>
        <v>126.3</v>
      </c>
      <c r="AE41" s="19">
        <f>IF(ISNUMBER(RU_Raw!AE41),RU_Raw!AE41,IF(ISNUMBER(RU_Raw!AE42),(AE40+RU_Raw!AE42)/2,IF(ISNUMBER(RU_Raw!AE43),AE40+(RU_Raw!AE43-AE40)/3,"")))</f>
        <v>114.5</v>
      </c>
      <c r="AF41" s="19">
        <f>IF(ISNUMBER(RU_Raw!AF41),RU_Raw!AF41,IF(ISNUMBER(RU_Raw!AF42),(AF40+RU_Raw!AF42)/2,IF(ISNUMBER(RU_Raw!AF43),AF40+(RU_Raw!AF43-AF40)/3,"")))</f>
        <v>118.5</v>
      </c>
      <c r="AG41" s="19">
        <f>IF(ISNUMBER(RU_Raw!AG41),RU_Raw!AG41,IF(ISNUMBER(RU_Raw!AG42),(AG40+RU_Raw!AG42)/2,IF(ISNUMBER(RU_Raw!AG43),AG40+(RU_Raw!AG43-AG40)/3,"")))</f>
        <v>126.3</v>
      </c>
      <c r="AH41" s="19">
        <f t="shared" si="1"/>
        <v>1560.4</v>
      </c>
    </row>
    <row r="42" spans="1:34">
      <c r="A42" s="6">
        <f>RU_Raw!A42</f>
        <v>2016</v>
      </c>
      <c r="B42" s="6">
        <f>RU_Raw!B42</f>
        <v>2</v>
      </c>
      <c r="C42" s="6" t="str">
        <f>RU_Raw!C42</f>
        <v>February</v>
      </c>
      <c r="D42" s="9">
        <f>RU_Raw!D42</f>
        <v>42401</v>
      </c>
      <c r="E42" s="6">
        <f>COUNTBLANK(RU_Raw!G42:AG42)</f>
        <v>0</v>
      </c>
      <c r="F42" s="6" t="str">
        <f t="shared" si="0"/>
        <v/>
      </c>
      <c r="G42" s="19">
        <f>IF(ISNUMBER(RU_Raw!G42),RU_Raw!G42,IF(ISNUMBER(RU_Raw!G43),(G41+RU_Raw!G43)/2,IF(ISNUMBER(RU_Raw!G44),G41+(RU_Raw!G44-G41)/3,"")))</f>
        <v>126.4</v>
      </c>
      <c r="H42" s="19">
        <f>IF(ISNUMBER(RU_Raw!H42),RU_Raw!H42,IF(ISNUMBER(RU_Raw!H43),(H41+RU_Raw!H43)/2,IF(ISNUMBER(RU_Raw!H44),H41+(RU_Raw!H44-H41)/3,"")))</f>
        <v>134.2</v>
      </c>
      <c r="I42" s="19">
        <f>IF(ISNUMBER(RU_Raw!I42),RU_Raw!I42,IF(ISNUMBER(RU_Raw!I43),(I41+RU_Raw!I43)/2,IF(ISNUMBER(RU_Raw!I44),I41+(RU_Raw!I44-I41)/3,"")))</f>
        <v>128.7</v>
      </c>
      <c r="J42" s="19">
        <f>IF(ISNUMBER(RU_Raw!J42),RU_Raw!J42,IF(ISNUMBER(RU_Raw!J43),(J41+RU_Raw!J43)/2,IF(ISNUMBER(RU_Raw!J44),J41+(RU_Raw!J44-J41)/3,"")))</f>
        <v>130.3</v>
      </c>
      <c r="K42" s="19">
        <f>IF(ISNUMBER(RU_Raw!K42),RU_Raw!K42,IF(ISNUMBER(RU_Raw!K43),(K41+RU_Raw!K43)/2,IF(ISNUMBER(RU_Raw!K44),K41+(RU_Raw!K44-K41)/3,"")))</f>
        <v>114.8</v>
      </c>
      <c r="L42" s="19">
        <f>IF(ISNUMBER(RU_Raw!L42),RU_Raw!L42,IF(ISNUMBER(RU_Raw!L43),(L41+RU_Raw!L43)/2,IF(ISNUMBER(RU_Raw!L44),L41+(RU_Raw!L44-L41)/3,"")))</f>
        <v>124.9</v>
      </c>
      <c r="M42" s="19">
        <f>IF(ISNUMBER(RU_Raw!M42),RU_Raw!M42,IF(ISNUMBER(RU_Raw!M43),(M41+RU_Raw!M43)/2,IF(ISNUMBER(RU_Raw!M44),M41+(RU_Raw!M44-M41)/3,"")))</f>
        <v>130.3</v>
      </c>
      <c r="N42" s="19">
        <f>IF(ISNUMBER(RU_Raw!N42),RU_Raw!N42,IF(ISNUMBER(RU_Raw!N43),(N41+RU_Raw!N43)/2,IF(ISNUMBER(RU_Raw!N44),N41+(RU_Raw!N44-N41)/3,"")))</f>
        <v>167.4</v>
      </c>
      <c r="O42" s="19">
        <f>IF(ISNUMBER(RU_Raw!O42),RU_Raw!O42,IF(ISNUMBER(RU_Raw!O43),(O41+RU_Raw!O43)/2,IF(ISNUMBER(RU_Raw!O44),O41+(RU_Raw!O44-O41)/3,"")))</f>
        <v>98.8</v>
      </c>
      <c r="P42" s="19">
        <f>IF(ISNUMBER(RU_Raw!P42),RU_Raw!P42,IF(ISNUMBER(RU_Raw!P43),(P41+RU_Raw!P43)/2,IF(ISNUMBER(RU_Raw!P44),P41+(RU_Raw!P44-P41)/3,"")))</f>
        <v>133.6</v>
      </c>
      <c r="Q42" s="19">
        <f>IF(ISNUMBER(RU_Raw!Q42),RU_Raw!Q42,IF(ISNUMBER(RU_Raw!Q43),(Q41+RU_Raw!Q43)/2,IF(ISNUMBER(RU_Raw!Q44),Q41+(RU_Raw!Q44-Q41)/3,"")))</f>
        <v>123</v>
      </c>
      <c r="R42" s="19">
        <f>IF(ISNUMBER(RU_Raw!R42),RU_Raw!R42,IF(ISNUMBER(RU_Raw!R43),(R41+RU_Raw!R43)/2,IF(ISNUMBER(RU_Raw!R44),R41+(RU_Raw!R44-R41)/3,"")))</f>
        <v>135.8</v>
      </c>
      <c r="S42" s="19">
        <f>IF(ISNUMBER(RU_Raw!S42),RU_Raw!S42,IF(ISNUMBER(RU_Raw!S43),(S41+RU_Raw!S43)/2,IF(ISNUMBER(RU_Raw!S44),S41+(RU_Raw!S44-S41)/3,"")))</f>
        <v>129.9</v>
      </c>
      <c r="T42" s="19">
        <f>IF(ISNUMBER(RU_Raw!T42),RU_Raw!T42,IF(ISNUMBER(RU_Raw!T43),(T41+RU_Raw!T43)/2,IF(ISNUMBER(RU_Raw!T44),T41+(RU_Raw!T44-T41)/3,"")))</f>
        <v>135.9</v>
      </c>
      <c r="U42" s="19">
        <f>IF(ISNUMBER(RU_Raw!U42),RU_Raw!U42,IF(ISNUMBER(RU_Raw!U43),(U41+RU_Raw!U43)/2,IF(ISNUMBER(RU_Raw!U44),U41+(RU_Raw!U44-U41)/3,"")))</f>
        <v>130.9</v>
      </c>
      <c r="V42" s="19">
        <f>IF(ISNUMBER(RU_Raw!V42),RU_Raw!V42,IF(ISNUMBER(RU_Raw!V43),(V41+RU_Raw!V43)/2,IF(ISNUMBER(RU_Raw!V44),V41+(RU_Raw!V44-V41)/3,"")))</f>
        <v>125.8</v>
      </c>
      <c r="W42" s="19">
        <f>IF(ISNUMBER(RU_Raw!W42),RU_Raw!W42,IF(ISNUMBER(RU_Raw!W43),(W41+RU_Raw!W43)/2,IF(ISNUMBER(RU_Raw!W44),W41+(RU_Raw!W44-W41)/3,"")))</f>
        <v>130.2</v>
      </c>
      <c r="X42" s="19">
        <f>IF(ISNUMBER(RU_Raw!X42),RU_Raw!X42,IF(ISNUMBER(RU_Raw!X43),(X41+RU_Raw!X43)/2,IF(ISNUMBER(RU_Raw!X44),X41+(RU_Raw!X44-X41)/3,"")))</f>
        <v>124.4</v>
      </c>
      <c r="Y42" s="19">
        <f>IF(ISNUMBER(RU_Raw!Y42),RU_Raw!Y42,IF(ISNUMBER(RU_Raw!Y43),(Y41+RU_Raw!Y43)/2,IF(ISNUMBER(RU_Raw!Y44),Y41+(RU_Raw!Y44-Y41)/3,"")))</f>
        <v>123.1</v>
      </c>
      <c r="Z42" s="19">
        <f>IF(ISNUMBER(RU_Raw!Z42),RU_Raw!Z42,IF(ISNUMBER(RU_Raw!Z43),(Z41+RU_Raw!Z43)/2,IF(ISNUMBER(RU_Raw!Z44),Z41+(RU_Raw!Z44-Z41)/3,"")))</f>
        <v>124.6</v>
      </c>
      <c r="AA42" s="19">
        <f>IF(ISNUMBER(RU_Raw!AA42),RU_Raw!AA42,IF(ISNUMBER(RU_Raw!AA43),(AA41+RU_Raw!AA43)/2,IF(ISNUMBER(RU_Raw!AA44),AA41+(RU_Raw!AA44-AA41)/3,"")))</f>
        <v>122.5</v>
      </c>
      <c r="AB42" s="19">
        <f>IF(ISNUMBER(RU_Raw!AB42),RU_Raw!AB42,IF(ISNUMBER(RU_Raw!AB43),(AB41+RU_Raw!AB43)/2,IF(ISNUMBER(RU_Raw!AB44),AB41+(RU_Raw!AB44-AB41)/3,"")))</f>
        <v>111.4</v>
      </c>
      <c r="AC42" s="19">
        <f>IF(ISNUMBER(RU_Raw!AC42),RU_Raw!AC42,IF(ISNUMBER(RU_Raw!AC43),(AC41+RU_Raw!AC43)/2,IF(ISNUMBER(RU_Raw!AC44),AC41+(RU_Raw!AC44-AC41)/3,"")))</f>
        <v>120.3</v>
      </c>
      <c r="AD42" s="19">
        <f>IF(ISNUMBER(RU_Raw!AD42),RU_Raw!AD42,IF(ISNUMBER(RU_Raw!AD43),(AD41+RU_Raw!AD43)/2,IF(ISNUMBER(RU_Raw!AD44),AD41+(RU_Raw!AD44-AD41)/3,"")))</f>
        <v>126.6</v>
      </c>
      <c r="AE42" s="19">
        <f>IF(ISNUMBER(RU_Raw!AE42),RU_Raw!AE42,IF(ISNUMBER(RU_Raw!AE43),(AE41+RU_Raw!AE43)/2,IF(ISNUMBER(RU_Raw!AE44),AE41+(RU_Raw!AE44-AE41)/3,"")))</f>
        <v>116.6</v>
      </c>
      <c r="AF42" s="19">
        <f>IF(ISNUMBER(RU_Raw!AF42),RU_Raw!AF42,IF(ISNUMBER(RU_Raw!AF43),(AF41+RU_Raw!AF43)/2,IF(ISNUMBER(RU_Raw!AF44),AF41+(RU_Raw!AF44-AF41)/3,"")))</f>
        <v>119.1</v>
      </c>
      <c r="AG42" s="19">
        <f>IF(ISNUMBER(RU_Raw!AG42),RU_Raw!AG42,IF(ISNUMBER(RU_Raw!AG43),(AG41+RU_Raw!AG43)/2,IF(ISNUMBER(RU_Raw!AG44),AG41+(RU_Raw!AG44-AG41)/3,"")))</f>
        <v>126</v>
      </c>
      <c r="AH42" s="19">
        <f t="shared" si="1"/>
        <v>1548.2</v>
      </c>
    </row>
    <row r="43" spans="1:34">
      <c r="A43" s="6">
        <f>RU_Raw!A43</f>
        <v>2016</v>
      </c>
      <c r="B43" s="6">
        <f>RU_Raw!B43</f>
        <v>3</v>
      </c>
      <c r="C43" s="6" t="str">
        <f>RU_Raw!C43</f>
        <v>March</v>
      </c>
      <c r="D43" s="9">
        <f>RU_Raw!D43</f>
        <v>42430</v>
      </c>
      <c r="E43" s="6">
        <f>COUNTBLANK(RU_Raw!G43:AG43)</f>
        <v>0</v>
      </c>
      <c r="F43" s="6" t="str">
        <f t="shared" si="0"/>
        <v/>
      </c>
      <c r="G43" s="19">
        <f>IF(ISNUMBER(RU_Raw!G43),RU_Raw!G43,IF(ISNUMBER(RU_Raw!G44),(G42+RU_Raw!G44)/2,IF(ISNUMBER(RU_Raw!G45),G42+(RU_Raw!G45-G42)/3,"")))</f>
        <v>126.5</v>
      </c>
      <c r="H43" s="19">
        <f>IF(ISNUMBER(RU_Raw!H43),RU_Raw!H43,IF(ISNUMBER(RU_Raw!H44),(H42+RU_Raw!H44)/2,IF(ISNUMBER(RU_Raw!H45),H42+(RU_Raw!H45-H42)/3,"")))</f>
        <v>135.1</v>
      </c>
      <c r="I43" s="19">
        <f>IF(ISNUMBER(RU_Raw!I43),RU_Raw!I43,IF(ISNUMBER(RU_Raw!I44),(I42+RU_Raw!I44)/2,IF(ISNUMBER(RU_Raw!I45),I42+(RU_Raw!I45-I42)/3,"")))</f>
        <v>124.6</v>
      </c>
      <c r="J43" s="19">
        <f>IF(ISNUMBER(RU_Raw!J43),RU_Raw!J43,IF(ISNUMBER(RU_Raw!J44),(J42+RU_Raw!J44)/2,IF(ISNUMBER(RU_Raw!J45),J42+(RU_Raw!J45-J42)/3,"")))</f>
        <v>130.2</v>
      </c>
      <c r="K43" s="19">
        <f>IF(ISNUMBER(RU_Raw!K43),RU_Raw!K43,IF(ISNUMBER(RU_Raw!K44),(K42+RU_Raw!K44)/2,IF(ISNUMBER(RU_Raw!K45),K42+(RU_Raw!K45-K42)/3,"")))</f>
        <v>114.5</v>
      </c>
      <c r="L43" s="19">
        <f>IF(ISNUMBER(RU_Raw!L43),RU_Raw!L43,IF(ISNUMBER(RU_Raw!L44),(L42+RU_Raw!L44)/2,IF(ISNUMBER(RU_Raw!L45),L42+(RU_Raw!L45-L42)/3,"")))</f>
        <v>126.2</v>
      </c>
      <c r="M43" s="19">
        <f>IF(ISNUMBER(RU_Raw!M43),RU_Raw!M43,IF(ISNUMBER(RU_Raw!M44),(M42+RU_Raw!M44)/2,IF(ISNUMBER(RU_Raw!M45),M42+(RU_Raw!M45-M42)/3,"")))</f>
        <v>129.8</v>
      </c>
      <c r="N43" s="19">
        <f>IF(ISNUMBER(RU_Raw!N43),RU_Raw!N43,IF(ISNUMBER(RU_Raw!N44),(N42+RU_Raw!N44)/2,IF(ISNUMBER(RU_Raw!N45),N42+(RU_Raw!N45-N42)/3,"")))</f>
        <v>164.3</v>
      </c>
      <c r="O43" s="19">
        <f>IF(ISNUMBER(RU_Raw!O43),RU_Raw!O43,IF(ISNUMBER(RU_Raw!O44),(O42+RU_Raw!O44)/2,IF(ISNUMBER(RU_Raw!O45),O42+(RU_Raw!O45-O42)/3,"")))</f>
        <v>100.9</v>
      </c>
      <c r="P43" s="19">
        <f>IF(ISNUMBER(RU_Raw!P43),RU_Raw!P43,IF(ISNUMBER(RU_Raw!P44),(P42+RU_Raw!P44)/2,IF(ISNUMBER(RU_Raw!P45),P42+(RU_Raw!P45-P42)/3,"")))</f>
        <v>133.9</v>
      </c>
      <c r="Q43" s="19">
        <f>IF(ISNUMBER(RU_Raw!Q43),RU_Raw!Q43,IF(ISNUMBER(RU_Raw!Q44),(Q42+RU_Raw!Q44)/2,IF(ISNUMBER(RU_Raw!Q45),Q42+(RU_Raw!Q45-Q42)/3,"")))</f>
        <v>123.1</v>
      </c>
      <c r="R43" s="19">
        <f>IF(ISNUMBER(RU_Raw!R43),RU_Raw!R43,IF(ISNUMBER(RU_Raw!R44),(R42+RU_Raw!R44)/2,IF(ISNUMBER(RU_Raw!R45),R42+(RU_Raw!R45-R42)/3,"")))</f>
        <v>136.3</v>
      </c>
      <c r="S43" s="19">
        <f>IF(ISNUMBER(RU_Raw!S43),RU_Raw!S43,IF(ISNUMBER(RU_Raw!S44),(S42+RU_Raw!S44)/2,IF(ISNUMBER(RU_Raw!S45),S42+(RU_Raw!S45-S42)/3,"")))</f>
        <v>129.8</v>
      </c>
      <c r="T43" s="19">
        <f>IF(ISNUMBER(RU_Raw!T43),RU_Raw!T43,IF(ISNUMBER(RU_Raw!T44),(T42+RU_Raw!T44)/2,IF(ISNUMBER(RU_Raw!T45),T42+(RU_Raw!T45-T42)/3,"")))</f>
        <v>136.5</v>
      </c>
      <c r="U43" s="19">
        <f>IF(ISNUMBER(RU_Raw!U43),RU_Raw!U43,IF(ISNUMBER(RU_Raw!U44),(U42+RU_Raw!U44)/2,IF(ISNUMBER(RU_Raw!U45),U42+(RU_Raw!U45-U42)/3,"")))</f>
        <v>131.3</v>
      </c>
      <c r="V43" s="19">
        <f>IF(ISNUMBER(RU_Raw!V43),RU_Raw!V43,IF(ISNUMBER(RU_Raw!V44),(V42+RU_Raw!V44)/2,IF(ISNUMBER(RU_Raw!V45),V42+(RU_Raw!V45-V42)/3,"")))</f>
        <v>126.1</v>
      </c>
      <c r="W43" s="19">
        <f>IF(ISNUMBER(RU_Raw!W43),RU_Raw!W43,IF(ISNUMBER(RU_Raw!W44),(W42+RU_Raw!W44)/2,IF(ISNUMBER(RU_Raw!W45),W42+(RU_Raw!W45-W42)/3,"")))</f>
        <v>130.5</v>
      </c>
      <c r="X43" s="19">
        <f>IF(ISNUMBER(RU_Raw!X43),RU_Raw!X43,IF(ISNUMBER(RU_Raw!X44),(X42+RU_Raw!X44)/2,IF(ISNUMBER(RU_Raw!X45),X42+(RU_Raw!X45-X42)/3,"")))</f>
        <v>124.9</v>
      </c>
      <c r="Y43" s="19">
        <f>IF(ISNUMBER(RU_Raw!Y43),RU_Raw!Y43,IF(ISNUMBER(RU_Raw!Y44),(Y42+RU_Raw!Y44)/2,IF(ISNUMBER(RU_Raw!Y45),Y42+(RU_Raw!Y45-Y42)/3,"")))</f>
        <v>122.4</v>
      </c>
      <c r="Z43" s="19">
        <f>IF(ISNUMBER(RU_Raw!Z43),RU_Raw!Z43,IF(ISNUMBER(RU_Raw!Z44),(Z42+RU_Raw!Z44)/2,IF(ISNUMBER(RU_Raw!Z45),Z42+(RU_Raw!Z45-Z42)/3,"")))</f>
        <v>125.1</v>
      </c>
      <c r="AA43" s="19">
        <f>IF(ISNUMBER(RU_Raw!AA43),RU_Raw!AA43,IF(ISNUMBER(RU_Raw!AA44),(AA42+RU_Raw!AA44)/2,IF(ISNUMBER(RU_Raw!AA45),AA42+(RU_Raw!AA45-AA42)/3,"")))</f>
        <v>122.9</v>
      </c>
      <c r="AB43" s="19">
        <f>IF(ISNUMBER(RU_Raw!AB43),RU_Raw!AB43,IF(ISNUMBER(RU_Raw!AB44),(AB42+RU_Raw!AB44)/2,IF(ISNUMBER(RU_Raw!AB45),AB42+(RU_Raw!AB45-AB42)/3,"")))</f>
        <v>110.9</v>
      </c>
      <c r="AC43" s="19">
        <f>IF(ISNUMBER(RU_Raw!AC43),RU_Raw!AC43,IF(ISNUMBER(RU_Raw!AC44),(AC42+RU_Raw!AC44)/2,IF(ISNUMBER(RU_Raw!AC45),AC42+(RU_Raw!AC45-AC42)/3,"")))</f>
        <v>120.6</v>
      </c>
      <c r="AD43" s="19">
        <f>IF(ISNUMBER(RU_Raw!AD43),RU_Raw!AD43,IF(ISNUMBER(RU_Raw!AD44),(AD42+RU_Raw!AD44)/2,IF(ISNUMBER(RU_Raw!AD45),AD42+(RU_Raw!AD45-AD42)/3,"")))</f>
        <v>126.9</v>
      </c>
      <c r="AE43" s="19">
        <f>IF(ISNUMBER(RU_Raw!AE43),RU_Raw!AE43,IF(ISNUMBER(RU_Raw!AE44),(AE42+RU_Raw!AE44)/2,IF(ISNUMBER(RU_Raw!AE45),AE42+(RU_Raw!AE45-AE42)/3,"")))</f>
        <v>117.3</v>
      </c>
      <c r="AF43" s="19">
        <f>IF(ISNUMBER(RU_Raw!AF43),RU_Raw!AF43,IF(ISNUMBER(RU_Raw!AF44),(AF42+RU_Raw!AF44)/2,IF(ISNUMBER(RU_Raw!AF45),AF42+(RU_Raw!AF45-AF42)/3,"")))</f>
        <v>119.3</v>
      </c>
      <c r="AG43" s="19">
        <f>IF(ISNUMBER(RU_Raw!AG43),RU_Raw!AG43,IF(ISNUMBER(RU_Raw!AG44),(AG42+RU_Raw!AG44)/2,IF(ISNUMBER(RU_Raw!AG45),AG42+(RU_Raw!AG45-AG42)/3,"")))</f>
        <v>126</v>
      </c>
      <c r="AH43" s="19">
        <f t="shared" si="1"/>
        <v>1545.4</v>
      </c>
    </row>
    <row r="44" spans="1:34">
      <c r="A44" s="6">
        <f>RU_Raw!A44</f>
        <v>2016</v>
      </c>
      <c r="B44" s="6">
        <f>RU_Raw!B44</f>
        <v>4</v>
      </c>
      <c r="C44" s="6" t="str">
        <f>RU_Raw!C44</f>
        <v>April</v>
      </c>
      <c r="D44" s="9">
        <f>RU_Raw!D44</f>
        <v>42461</v>
      </c>
      <c r="E44" s="6">
        <f>COUNTBLANK(RU_Raw!G44:AG44)</f>
        <v>0</v>
      </c>
      <c r="F44" s="6" t="str">
        <f t="shared" si="0"/>
        <v/>
      </c>
      <c r="G44" s="19">
        <f>IF(ISNUMBER(RU_Raw!G44),RU_Raw!G44,IF(ISNUMBER(RU_Raw!G45),(G43+RU_Raw!G45)/2,IF(ISNUMBER(RU_Raw!G46),G43+(RU_Raw!G46-G43)/3,"")))</f>
        <v>126.6</v>
      </c>
      <c r="H44" s="19">
        <f>IF(ISNUMBER(RU_Raw!H44),RU_Raw!H44,IF(ISNUMBER(RU_Raw!H45),(H43+RU_Raw!H45)/2,IF(ISNUMBER(RU_Raw!H46),H43+(RU_Raw!H46-H43)/3,"")))</f>
        <v>136.8</v>
      </c>
      <c r="I44" s="19">
        <f>IF(ISNUMBER(RU_Raw!I44),RU_Raw!I44,IF(ISNUMBER(RU_Raw!I45),(I43+RU_Raw!I45)/2,IF(ISNUMBER(RU_Raw!I46),I43+(RU_Raw!I46-I43)/3,"")))</f>
        <v>122</v>
      </c>
      <c r="J44" s="19">
        <f>IF(ISNUMBER(RU_Raw!J44),RU_Raw!J44,IF(ISNUMBER(RU_Raw!J45),(J43+RU_Raw!J45)/2,IF(ISNUMBER(RU_Raw!J46),J43+(RU_Raw!J46-J43)/3,"")))</f>
        <v>130.9</v>
      </c>
      <c r="K44" s="19">
        <f>IF(ISNUMBER(RU_Raw!K44),RU_Raw!K44,IF(ISNUMBER(RU_Raw!K45),(K43+RU_Raw!K45)/2,IF(ISNUMBER(RU_Raw!K46),K43+(RU_Raw!K46-K43)/3,"")))</f>
        <v>114.8</v>
      </c>
      <c r="L44" s="19">
        <f>IF(ISNUMBER(RU_Raw!L44),RU_Raw!L44,IF(ISNUMBER(RU_Raw!L45),(L43+RU_Raw!L45)/2,IF(ISNUMBER(RU_Raw!L46),L43+(RU_Raw!L46-L43)/3,"")))</f>
        <v>134.8</v>
      </c>
      <c r="M44" s="19">
        <f>IF(ISNUMBER(RU_Raw!M44),RU_Raw!M44,IF(ISNUMBER(RU_Raw!M45),(M43+RU_Raw!M45)/2,IF(ISNUMBER(RU_Raw!M46),M43+(RU_Raw!M46-M43)/3,"")))</f>
        <v>135</v>
      </c>
      <c r="N44" s="19">
        <f>IF(ISNUMBER(RU_Raw!N44),RU_Raw!N44,IF(ISNUMBER(RU_Raw!N45),(N43+RU_Raw!N45)/2,IF(ISNUMBER(RU_Raw!N46),N43+(RU_Raw!N46-N43)/3,"")))</f>
        <v>167.5</v>
      </c>
      <c r="O44" s="19">
        <f>IF(ISNUMBER(RU_Raw!O44),RU_Raw!O44,IF(ISNUMBER(RU_Raw!O45),(O43+RU_Raw!O45)/2,IF(ISNUMBER(RU_Raw!O46),O43+(RU_Raw!O46-O43)/3,"")))</f>
        <v>106.4</v>
      </c>
      <c r="P44" s="19">
        <f>IF(ISNUMBER(RU_Raw!P44),RU_Raw!P44,IF(ISNUMBER(RU_Raw!P45),(P43+RU_Raw!P45)/2,IF(ISNUMBER(RU_Raw!P46),P43+(RU_Raw!P46-P43)/3,"")))</f>
        <v>134.4</v>
      </c>
      <c r="Q44" s="19">
        <f>IF(ISNUMBER(RU_Raw!Q44),RU_Raw!Q44,IF(ISNUMBER(RU_Raw!Q45),(Q43+RU_Raw!Q45)/2,IF(ISNUMBER(RU_Raw!Q46),Q43+(RU_Raw!Q46-Q43)/3,"")))</f>
        <v>123.6</v>
      </c>
      <c r="R44" s="19">
        <f>IF(ISNUMBER(RU_Raw!R44),RU_Raw!R44,IF(ISNUMBER(RU_Raw!R45),(R43+RU_Raw!R45)/2,IF(ISNUMBER(RU_Raw!R46),R43+(RU_Raw!R46-R43)/3,"")))</f>
        <v>136.7</v>
      </c>
      <c r="S44" s="19">
        <f>IF(ISNUMBER(RU_Raw!S44),RU_Raw!S44,IF(ISNUMBER(RU_Raw!S45),(S43+RU_Raw!S45)/2,IF(ISNUMBER(RU_Raw!S46),S43+(RU_Raw!S46-S43)/3,"")))</f>
        <v>131.8</v>
      </c>
      <c r="T44" s="19">
        <f>IF(ISNUMBER(RU_Raw!T44),RU_Raw!T44,IF(ISNUMBER(RU_Raw!T45),(T43+RU_Raw!T45)/2,IF(ISNUMBER(RU_Raw!T46),T43+(RU_Raw!T46-T43)/3,"")))</f>
        <v>137.1</v>
      </c>
      <c r="U44" s="19">
        <f>IF(ISNUMBER(RU_Raw!U44),RU_Raw!U44,IF(ISNUMBER(RU_Raw!U45),(U43+RU_Raw!U45)/2,IF(ISNUMBER(RU_Raw!U46),U43+(RU_Raw!U46-U43)/3,"")))</f>
        <v>131.8</v>
      </c>
      <c r="V44" s="19">
        <f>IF(ISNUMBER(RU_Raw!V44),RU_Raw!V44,IF(ISNUMBER(RU_Raw!V45),(V43+RU_Raw!V45)/2,IF(ISNUMBER(RU_Raw!V46),V43+(RU_Raw!V46-V43)/3,"")))</f>
        <v>126.4</v>
      </c>
      <c r="W44" s="19">
        <f>IF(ISNUMBER(RU_Raw!W44),RU_Raw!W44,IF(ISNUMBER(RU_Raw!W45),(W43+RU_Raw!W45)/2,IF(ISNUMBER(RU_Raw!W46),W43+(RU_Raw!W46-W43)/3,"")))</f>
        <v>131</v>
      </c>
      <c r="X44" s="19">
        <f>IF(ISNUMBER(RU_Raw!X44),RU_Raw!X44,IF(ISNUMBER(RU_Raw!X45),(X43+RU_Raw!X45)/2,IF(ISNUMBER(RU_Raw!X46),X43+(RU_Raw!X46-X43)/3,"")))</f>
        <v>125.6</v>
      </c>
      <c r="Y44" s="19">
        <f>IF(ISNUMBER(RU_Raw!Y44),RU_Raw!Y44,IF(ISNUMBER(RU_Raw!Y45),(Y43+RU_Raw!Y45)/2,IF(ISNUMBER(RU_Raw!Y46),Y43+(RU_Raw!Y46-Y43)/3,"")))</f>
        <v>122.3</v>
      </c>
      <c r="Z44" s="19">
        <f>IF(ISNUMBER(RU_Raw!Z44),RU_Raw!Z44,IF(ISNUMBER(RU_Raw!Z45),(Z43+RU_Raw!Z45)/2,IF(ISNUMBER(RU_Raw!Z46),Z43+(RU_Raw!Z46-Z43)/3,"")))</f>
        <v>125.5</v>
      </c>
      <c r="AA44" s="19">
        <f>IF(ISNUMBER(RU_Raw!AA44),RU_Raw!AA44,IF(ISNUMBER(RU_Raw!AA45),(AA43+RU_Raw!AA45)/2,IF(ISNUMBER(RU_Raw!AA46),AA43+(RU_Raw!AA46-AA43)/3,"")))</f>
        <v>123.2</v>
      </c>
      <c r="AB44" s="19">
        <f>IF(ISNUMBER(RU_Raw!AB44),RU_Raw!AB44,IF(ISNUMBER(RU_Raw!AB45),(AB43+RU_Raw!AB45)/2,IF(ISNUMBER(RU_Raw!AB46),AB43+(RU_Raw!AB46-AB43)/3,"")))</f>
        <v>112.1</v>
      </c>
      <c r="AC44" s="19">
        <f>IF(ISNUMBER(RU_Raw!AC44),RU_Raw!AC44,IF(ISNUMBER(RU_Raw!AC45),(AC43+RU_Raw!AC45)/2,IF(ISNUMBER(RU_Raw!AC46),AC43+(RU_Raw!AC46-AC43)/3,"")))</f>
        <v>121.1</v>
      </c>
      <c r="AD44" s="19">
        <f>IF(ISNUMBER(RU_Raw!AD44),RU_Raw!AD44,IF(ISNUMBER(RU_Raw!AD45),(AD43+RU_Raw!AD45)/2,IF(ISNUMBER(RU_Raw!AD46),AD43+(RU_Raw!AD46-AD43)/3,"")))</f>
        <v>127.7</v>
      </c>
      <c r="AE44" s="19">
        <f>IF(ISNUMBER(RU_Raw!AE44),RU_Raw!AE44,IF(ISNUMBER(RU_Raw!AE45),(AE43+RU_Raw!AE45)/2,IF(ISNUMBER(RU_Raw!AE46),AE43+(RU_Raw!AE46-AE43)/3,"")))</f>
        <v>118.1</v>
      </c>
      <c r="AF44" s="19">
        <f>IF(ISNUMBER(RU_Raw!AF44),RU_Raw!AF44,IF(ISNUMBER(RU_Raw!AF45),(AF43+RU_Raw!AF45)/2,IF(ISNUMBER(RU_Raw!AF46),AF43+(RU_Raw!AF46-AF43)/3,"")))</f>
        <v>120</v>
      </c>
      <c r="AG44" s="19">
        <f>IF(ISNUMBER(RU_Raw!AG44),RU_Raw!AG44,IF(ISNUMBER(RU_Raw!AG45),(AG43+RU_Raw!AG45)/2,IF(ISNUMBER(RU_Raw!AG46),AG43+(RU_Raw!AG46-AG43)/3,"")))</f>
        <v>127.3</v>
      </c>
      <c r="AH44" s="19">
        <f t="shared" si="1"/>
        <v>1569.5</v>
      </c>
    </row>
    <row r="45" spans="1:34">
      <c r="A45" s="6">
        <f>RU_Raw!A45</f>
        <v>2016</v>
      </c>
      <c r="B45" s="6">
        <f>RU_Raw!B45</f>
        <v>5</v>
      </c>
      <c r="C45" s="6" t="str">
        <f>RU_Raw!C45</f>
        <v>May</v>
      </c>
      <c r="D45" s="9">
        <f>RU_Raw!D45</f>
        <v>42491</v>
      </c>
      <c r="E45" s="6">
        <f>COUNTBLANK(RU_Raw!G45:AG45)</f>
        <v>0</v>
      </c>
      <c r="F45" s="6" t="str">
        <f t="shared" si="0"/>
        <v/>
      </c>
      <c r="G45" s="19">
        <f>IF(ISNUMBER(RU_Raw!G45),RU_Raw!G45,IF(ISNUMBER(RU_Raw!G46),(G44+RU_Raw!G46)/2,IF(ISNUMBER(RU_Raw!G47),G44+(RU_Raw!G47-G44)/3,"")))</f>
        <v>126.8</v>
      </c>
      <c r="H45" s="19">
        <f>IF(ISNUMBER(RU_Raw!H45),RU_Raw!H45,IF(ISNUMBER(RU_Raw!H46),(H44+RU_Raw!H46)/2,IF(ISNUMBER(RU_Raw!H47),H44+(RU_Raw!H47-H44)/3,"")))</f>
        <v>139.1</v>
      </c>
      <c r="I45" s="19">
        <f>IF(ISNUMBER(RU_Raw!I45),RU_Raw!I45,IF(ISNUMBER(RU_Raw!I46),(I44+RU_Raw!I46)/2,IF(ISNUMBER(RU_Raw!I47),I44+(RU_Raw!I47-I44)/3,"")))</f>
        <v>125.4</v>
      </c>
      <c r="J45" s="19">
        <f>IF(ISNUMBER(RU_Raw!J45),RU_Raw!J45,IF(ISNUMBER(RU_Raw!J46),(J44+RU_Raw!J46)/2,IF(ISNUMBER(RU_Raw!J47),J44+(RU_Raw!J47-J44)/3,"")))</f>
        <v>131.7</v>
      </c>
      <c r="K45" s="19">
        <f>IF(ISNUMBER(RU_Raw!K45),RU_Raw!K45,IF(ISNUMBER(RU_Raw!K46),(K44+RU_Raw!K46)/2,IF(ISNUMBER(RU_Raw!K47),K44+(RU_Raw!K47-K44)/3,"")))</f>
        <v>115</v>
      </c>
      <c r="L45" s="19">
        <f>IF(ISNUMBER(RU_Raw!L45),RU_Raw!L45,IF(ISNUMBER(RU_Raw!L46),(L44+RU_Raw!L46)/2,IF(ISNUMBER(RU_Raw!L47),L44+(RU_Raw!L47-L44)/3,"")))</f>
        <v>136</v>
      </c>
      <c r="M45" s="19">
        <f>IF(ISNUMBER(RU_Raw!M45),RU_Raw!M45,IF(ISNUMBER(RU_Raw!M46),(M44+RU_Raw!M46)/2,IF(ISNUMBER(RU_Raw!M47),M44+(RU_Raw!M47-M44)/3,"")))</f>
        <v>145.1</v>
      </c>
      <c r="N45" s="19">
        <f>IF(ISNUMBER(RU_Raw!N45),RU_Raw!N45,IF(ISNUMBER(RU_Raw!N46),(N44+RU_Raw!N46)/2,IF(ISNUMBER(RU_Raw!N47),N44+(RU_Raw!N47-N44)/3,"")))</f>
        <v>171.7</v>
      </c>
      <c r="O45" s="19">
        <f>IF(ISNUMBER(RU_Raw!O45),RU_Raw!O45,IF(ISNUMBER(RU_Raw!O46),(O44+RU_Raw!O46)/2,IF(ISNUMBER(RU_Raw!O47),O44+(RU_Raw!O47-O44)/3,"")))</f>
        <v>108.7</v>
      </c>
      <c r="P45" s="19">
        <f>IF(ISNUMBER(RU_Raw!P45),RU_Raw!P45,IF(ISNUMBER(RU_Raw!P46),(P44+RU_Raw!P46)/2,IF(ISNUMBER(RU_Raw!P47),P44+(RU_Raw!P47-P44)/3,"")))</f>
        <v>135.3</v>
      </c>
      <c r="Q45" s="19">
        <f>IF(ISNUMBER(RU_Raw!Q45),RU_Raw!Q45,IF(ISNUMBER(RU_Raw!Q46),(Q44+RU_Raw!Q46)/2,IF(ISNUMBER(RU_Raw!Q47),Q44+(RU_Raw!Q47-Q44)/3,"")))</f>
        <v>124.2</v>
      </c>
      <c r="R45" s="19">
        <f>IF(ISNUMBER(RU_Raw!R45),RU_Raw!R45,IF(ISNUMBER(RU_Raw!R46),(R44+RU_Raw!R46)/2,IF(ISNUMBER(RU_Raw!R47),R44+(RU_Raw!R47-R44)/3,"")))</f>
        <v>137.4</v>
      </c>
      <c r="S45" s="19">
        <f>IF(ISNUMBER(RU_Raw!S45),RU_Raw!S45,IF(ISNUMBER(RU_Raw!S46),(S44+RU_Raw!S46)/2,IF(ISNUMBER(RU_Raw!S47),S44+(RU_Raw!S47-S44)/3,"")))</f>
        <v>134</v>
      </c>
      <c r="T45" s="19">
        <f>IF(ISNUMBER(RU_Raw!T45),RU_Raw!T45,IF(ISNUMBER(RU_Raw!T46),(T44+RU_Raw!T46)/2,IF(ISNUMBER(RU_Raw!T47),T44+(RU_Raw!T47-T44)/3,"")))</f>
        <v>137.7</v>
      </c>
      <c r="U45" s="19">
        <f>IF(ISNUMBER(RU_Raw!U45),RU_Raw!U45,IF(ISNUMBER(RU_Raw!U46),(U44+RU_Raw!U46)/2,IF(ISNUMBER(RU_Raw!U47),U44+(RU_Raw!U47-U44)/3,"")))</f>
        <v>132.2</v>
      </c>
      <c r="V45" s="19">
        <f>IF(ISNUMBER(RU_Raw!V45),RU_Raw!V45,IF(ISNUMBER(RU_Raw!V46),(V44+RU_Raw!V46)/2,IF(ISNUMBER(RU_Raw!V47),V44+(RU_Raw!V47-V44)/3,"")))</f>
        <v>126.8</v>
      </c>
      <c r="W45" s="19">
        <f>IF(ISNUMBER(RU_Raw!W45),RU_Raw!W45,IF(ISNUMBER(RU_Raw!W46),(W44+RU_Raw!W46)/2,IF(ISNUMBER(RU_Raw!W47),W44+(RU_Raw!W47-W44)/3,"")))</f>
        <v>131.4</v>
      </c>
      <c r="X45" s="19">
        <f>IF(ISNUMBER(RU_Raw!X45),RU_Raw!X45,IF(ISNUMBER(RU_Raw!X46),(X44+RU_Raw!X46)/2,IF(ISNUMBER(RU_Raw!X47),X44+(RU_Raw!X47-X44)/3,"")))</f>
        <v>126</v>
      </c>
      <c r="Y45" s="19">
        <f>IF(ISNUMBER(RU_Raw!Y45),RU_Raw!Y45,IF(ISNUMBER(RU_Raw!Y46),(Y44+RU_Raw!Y46)/2,IF(ISNUMBER(RU_Raw!Y47),Y44+(RU_Raw!Y47-Y44)/3,"")))</f>
        <v>122.7</v>
      </c>
      <c r="Z45" s="19">
        <f>IF(ISNUMBER(RU_Raw!Z45),RU_Raw!Z45,IF(ISNUMBER(RU_Raw!Z46),(Z44+RU_Raw!Z46)/2,IF(ISNUMBER(RU_Raw!Z47),Z44+(RU_Raw!Z47-Z44)/3,"")))</f>
        <v>126</v>
      </c>
      <c r="AA45" s="19">
        <f>IF(ISNUMBER(RU_Raw!AA45),RU_Raw!AA45,IF(ISNUMBER(RU_Raw!AA46),(AA44+RU_Raw!AA46)/2,IF(ISNUMBER(RU_Raw!AA47),AA44+(RU_Raw!AA47-AA44)/3,"")))</f>
        <v>123.7</v>
      </c>
      <c r="AB45" s="19">
        <f>IF(ISNUMBER(RU_Raw!AB45),RU_Raw!AB45,IF(ISNUMBER(RU_Raw!AB46),(AB44+RU_Raw!AB46)/2,IF(ISNUMBER(RU_Raw!AB47),AB44+(RU_Raw!AB47-AB44)/3,"")))</f>
        <v>112.8</v>
      </c>
      <c r="AC45" s="19">
        <f>IF(ISNUMBER(RU_Raw!AC45),RU_Raw!AC45,IF(ISNUMBER(RU_Raw!AC46),(AC44+RU_Raw!AC46)/2,IF(ISNUMBER(RU_Raw!AC47),AC44+(RU_Raw!AC47-AC44)/3,"")))</f>
        <v>121.5</v>
      </c>
      <c r="AD45" s="19">
        <f>IF(ISNUMBER(RU_Raw!AD45),RU_Raw!AD45,IF(ISNUMBER(RU_Raw!AD46),(AD44+RU_Raw!AD46)/2,IF(ISNUMBER(RU_Raw!AD47),AD44+(RU_Raw!AD47-AD44)/3,"")))</f>
        <v>128.5</v>
      </c>
      <c r="AE45" s="19">
        <f>IF(ISNUMBER(RU_Raw!AE45),RU_Raw!AE45,IF(ISNUMBER(RU_Raw!AE46),(AE44+RU_Raw!AE46)/2,IF(ISNUMBER(RU_Raw!AE47),AE44+(RU_Raw!AE47-AE44)/3,"")))</f>
        <v>119.2</v>
      </c>
      <c r="AF45" s="19">
        <f>IF(ISNUMBER(RU_Raw!AF45),RU_Raw!AF45,IF(ISNUMBER(RU_Raw!AF46),(AF44+RU_Raw!AF46)/2,IF(ISNUMBER(RU_Raw!AF47),AF44+(RU_Raw!AF47-AF44)/3,"")))</f>
        <v>120.7</v>
      </c>
      <c r="AG45" s="19">
        <f>IF(ISNUMBER(RU_Raw!AG45),RU_Raw!AG45,IF(ISNUMBER(RU_Raw!AG46),(AG44+RU_Raw!AG46)/2,IF(ISNUMBER(RU_Raw!AG47),AG44+(RU_Raw!AG47-AG44)/3,"")))</f>
        <v>128.6</v>
      </c>
      <c r="AH45" s="19">
        <f t="shared" si="1"/>
        <v>1596.4</v>
      </c>
    </row>
    <row r="46" spans="1:34">
      <c r="A46" s="6">
        <f>RU_Raw!A46</f>
        <v>2016</v>
      </c>
      <c r="B46" s="6">
        <f>RU_Raw!B46</f>
        <v>6</v>
      </c>
      <c r="C46" s="6" t="str">
        <f>RU_Raw!C46</f>
        <v>June</v>
      </c>
      <c r="D46" s="9">
        <f>RU_Raw!D46</f>
        <v>42522</v>
      </c>
      <c r="E46" s="6">
        <f>COUNTBLANK(RU_Raw!G46:AG46)</f>
        <v>0</v>
      </c>
      <c r="F46" s="6" t="str">
        <f t="shared" si="0"/>
        <v/>
      </c>
      <c r="G46" s="19">
        <f>IF(ISNUMBER(RU_Raw!G46),RU_Raw!G46,IF(ISNUMBER(RU_Raw!G47),(G45+RU_Raw!G47)/2,IF(ISNUMBER(RU_Raw!G48),G45+(RU_Raw!G48-G45)/3,"")))</f>
        <v>127.7</v>
      </c>
      <c r="H46" s="19">
        <f>IF(ISNUMBER(RU_Raw!H46),RU_Raw!H46,IF(ISNUMBER(RU_Raw!H47),(H45+RU_Raw!H47)/2,IF(ISNUMBER(RU_Raw!H48),H45+(RU_Raw!H48-H45)/3,"")))</f>
        <v>140.5</v>
      </c>
      <c r="I46" s="19">
        <f>IF(ISNUMBER(RU_Raw!I46),RU_Raw!I46,IF(ISNUMBER(RU_Raw!I47),(I45+RU_Raw!I47)/2,IF(ISNUMBER(RU_Raw!I48),I45+(RU_Raw!I48-I45)/3,"")))</f>
        <v>128.3</v>
      </c>
      <c r="J46" s="19">
        <f>IF(ISNUMBER(RU_Raw!J46),RU_Raw!J46,IF(ISNUMBER(RU_Raw!J47),(J45+RU_Raw!J47)/2,IF(ISNUMBER(RU_Raw!J48),J45+(RU_Raw!J48-J45)/3,"")))</f>
        <v>132.6</v>
      </c>
      <c r="K46" s="19">
        <f>IF(ISNUMBER(RU_Raw!K46),RU_Raw!K46,IF(ISNUMBER(RU_Raw!K47),(K45+RU_Raw!K47)/2,IF(ISNUMBER(RU_Raw!K48),K45+(RU_Raw!K48-K45)/3,"")))</f>
        <v>115.5</v>
      </c>
      <c r="L46" s="19">
        <f>IF(ISNUMBER(RU_Raw!L46),RU_Raw!L46,IF(ISNUMBER(RU_Raw!L47),(L45+RU_Raw!L47)/2,IF(ISNUMBER(RU_Raw!L48),L45+(RU_Raw!L48-L45)/3,"")))</f>
        <v>136.5</v>
      </c>
      <c r="M46" s="19">
        <f>IF(ISNUMBER(RU_Raw!M46),RU_Raw!M46,IF(ISNUMBER(RU_Raw!M47),(M45+RU_Raw!M47)/2,IF(ISNUMBER(RU_Raw!M48),M45+(RU_Raw!M48-M45)/3,"")))</f>
        <v>159.7</v>
      </c>
      <c r="N46" s="19">
        <f>IF(ISNUMBER(RU_Raw!N46),RU_Raw!N46,IF(ISNUMBER(RU_Raw!N47),(N45+RU_Raw!N47)/2,IF(ISNUMBER(RU_Raw!N48),N45+(RU_Raw!N48-N45)/3,"")))</f>
        <v>174.3</v>
      </c>
      <c r="O46" s="19">
        <f>IF(ISNUMBER(RU_Raw!O46),RU_Raw!O46,IF(ISNUMBER(RU_Raw!O47),(O45+RU_Raw!O47)/2,IF(ISNUMBER(RU_Raw!O48),O45+(RU_Raw!O48-O45)/3,"")))</f>
        <v>109.9</v>
      </c>
      <c r="P46" s="19">
        <f>IF(ISNUMBER(RU_Raw!P46),RU_Raw!P46,IF(ISNUMBER(RU_Raw!P47),(P45+RU_Raw!P47)/2,IF(ISNUMBER(RU_Raw!P48),P45+(RU_Raw!P48-P45)/3,"")))</f>
        <v>136.3</v>
      </c>
      <c r="Q46" s="19">
        <f>IF(ISNUMBER(RU_Raw!Q46),RU_Raw!Q46,IF(ISNUMBER(RU_Raw!Q47),(Q45+RU_Raw!Q47)/2,IF(ISNUMBER(RU_Raw!Q48),Q45+(RU_Raw!Q48-Q45)/3,"")))</f>
        <v>124.4</v>
      </c>
      <c r="R46" s="19">
        <f>IF(ISNUMBER(RU_Raw!R46),RU_Raw!R46,IF(ISNUMBER(RU_Raw!R47),(R45+RU_Raw!R47)/2,IF(ISNUMBER(RU_Raw!R48),R45+(RU_Raw!R48-R45)/3,"")))</f>
        <v>138.1</v>
      </c>
      <c r="S46" s="19">
        <f>IF(ISNUMBER(RU_Raw!S46),RU_Raw!S46,IF(ISNUMBER(RU_Raw!S47),(S45+RU_Raw!S47)/2,IF(ISNUMBER(RU_Raw!S48),S45+(RU_Raw!S48-S45)/3,"")))</f>
        <v>136.8</v>
      </c>
      <c r="T46" s="19">
        <f>IF(ISNUMBER(RU_Raw!T46),RU_Raw!T46,IF(ISNUMBER(RU_Raw!T47),(T45+RU_Raw!T47)/2,IF(ISNUMBER(RU_Raw!T48),T45+(RU_Raw!T48-T45)/3,"")))</f>
        <v>138.7</v>
      </c>
      <c r="U46" s="19">
        <f>IF(ISNUMBER(RU_Raw!U46),RU_Raw!U46,IF(ISNUMBER(RU_Raw!U47),(U45+RU_Raw!U47)/2,IF(ISNUMBER(RU_Raw!U48),U45+(RU_Raw!U48-U45)/3,"")))</f>
        <v>132.9</v>
      </c>
      <c r="V46" s="19">
        <f>IF(ISNUMBER(RU_Raw!V46),RU_Raw!V46,IF(ISNUMBER(RU_Raw!V47),(V45+RU_Raw!V47)/2,IF(ISNUMBER(RU_Raw!V48),V45+(RU_Raw!V48-V45)/3,"")))</f>
        <v>127.2</v>
      </c>
      <c r="W46" s="19">
        <f>IF(ISNUMBER(RU_Raw!W46),RU_Raw!W46,IF(ISNUMBER(RU_Raw!W47),(W45+RU_Raw!W47)/2,IF(ISNUMBER(RU_Raw!W48),W45+(RU_Raw!W48-W45)/3,"")))</f>
        <v>132</v>
      </c>
      <c r="X46" s="19">
        <f>IF(ISNUMBER(RU_Raw!X46),RU_Raw!X46,IF(ISNUMBER(RU_Raw!X47),(X45+RU_Raw!X47)/2,IF(ISNUMBER(RU_Raw!X48),X45+(RU_Raw!X48-X45)/3,"")))</f>
        <v>125.5</v>
      </c>
      <c r="Y46" s="19">
        <f>IF(ISNUMBER(RU_Raw!Y46),RU_Raw!Y46,IF(ISNUMBER(RU_Raw!Y47),(Y45+RU_Raw!Y47)/2,IF(ISNUMBER(RU_Raw!Y48),Y45+(RU_Raw!Y48-Y45)/3,"")))</f>
        <v>123.3</v>
      </c>
      <c r="Z46" s="19">
        <f>IF(ISNUMBER(RU_Raw!Z46),RU_Raw!Z46,IF(ISNUMBER(RU_Raw!Z47),(Z45+RU_Raw!Z47)/2,IF(ISNUMBER(RU_Raw!Z48),Z45+(RU_Raw!Z48-Z45)/3,"")))</f>
        <v>126.4</v>
      </c>
      <c r="AA46" s="19">
        <f>IF(ISNUMBER(RU_Raw!AA46),RU_Raw!AA46,IF(ISNUMBER(RU_Raw!AA47),(AA45+RU_Raw!AA47)/2,IF(ISNUMBER(RU_Raw!AA48),AA45+(RU_Raw!AA48-AA45)/3,"")))</f>
        <v>124.1</v>
      </c>
      <c r="AB46" s="19">
        <f>IF(ISNUMBER(RU_Raw!AB46),RU_Raw!AB46,IF(ISNUMBER(RU_Raw!AB47),(AB45+RU_Raw!AB47)/2,IF(ISNUMBER(RU_Raw!AB48),AB45+(RU_Raw!AB48-AB45)/3,"")))</f>
        <v>114.2</v>
      </c>
      <c r="AC46" s="19">
        <f>IF(ISNUMBER(RU_Raw!AC46),RU_Raw!AC46,IF(ISNUMBER(RU_Raw!AC47),(AC45+RU_Raw!AC47)/2,IF(ISNUMBER(RU_Raw!AC48),AC45+(RU_Raw!AC48-AC45)/3,"")))</f>
        <v>121.7</v>
      </c>
      <c r="AD46" s="19">
        <f>IF(ISNUMBER(RU_Raw!AD46),RU_Raw!AD46,IF(ISNUMBER(RU_Raw!AD47),(AD45+RU_Raw!AD47)/2,IF(ISNUMBER(RU_Raw!AD48),AD45+(RU_Raw!AD48-AD45)/3,"")))</f>
        <v>129.7</v>
      </c>
      <c r="AE46" s="19">
        <f>IF(ISNUMBER(RU_Raw!AE46),RU_Raw!AE46,IF(ISNUMBER(RU_Raw!AE47),(AE45+RU_Raw!AE47)/2,IF(ISNUMBER(RU_Raw!AE48),AE45+(RU_Raw!AE48-AE45)/3,"")))</f>
        <v>119.4</v>
      </c>
      <c r="AF46" s="19">
        <f>IF(ISNUMBER(RU_Raw!AF46),RU_Raw!AF46,IF(ISNUMBER(RU_Raw!AF47),(AF45+RU_Raw!AF47)/2,IF(ISNUMBER(RU_Raw!AF48),AF45+(RU_Raw!AF48-AF45)/3,"")))</f>
        <v>121.5</v>
      </c>
      <c r="AG46" s="19">
        <f>IF(ISNUMBER(RU_Raw!AG46),RU_Raw!AG46,IF(ISNUMBER(RU_Raw!AG47),(AG45+RU_Raw!AG47)/2,IF(ISNUMBER(RU_Raw!AG48),AG45+(RU_Raw!AG48-AG45)/3,"")))</f>
        <v>130.1</v>
      </c>
      <c r="AH46" s="19">
        <f t="shared" si="1"/>
        <v>1623.8</v>
      </c>
    </row>
    <row r="47" spans="1:34">
      <c r="A47" s="6">
        <f>RU_Raw!A47</f>
        <v>2016</v>
      </c>
      <c r="B47" s="6">
        <f>RU_Raw!B47</f>
        <v>7</v>
      </c>
      <c r="C47" s="6" t="str">
        <f>RU_Raw!C47</f>
        <v>July</v>
      </c>
      <c r="D47" s="9">
        <f>RU_Raw!D47</f>
        <v>42552</v>
      </c>
      <c r="E47" s="6">
        <f>COUNTBLANK(RU_Raw!G47:AG47)</f>
        <v>0</v>
      </c>
      <c r="F47" s="6" t="str">
        <f t="shared" si="0"/>
        <v/>
      </c>
      <c r="G47" s="19">
        <f>IF(ISNUMBER(RU_Raw!G47),RU_Raw!G47,IF(ISNUMBER(RU_Raw!G48),(G46+RU_Raw!G48)/2,IF(ISNUMBER(RU_Raw!G49),G46+(RU_Raw!G49-G46)/3,"")))</f>
        <v>128.5</v>
      </c>
      <c r="H47" s="19">
        <f>IF(ISNUMBER(RU_Raw!H47),RU_Raw!H47,IF(ISNUMBER(RU_Raw!H48),(H46+RU_Raw!H48)/2,IF(ISNUMBER(RU_Raw!H49),H46+(RU_Raw!H49-H46)/3,"")))</f>
        <v>141.2</v>
      </c>
      <c r="I47" s="19">
        <f>IF(ISNUMBER(RU_Raw!I47),RU_Raw!I47,IF(ISNUMBER(RU_Raw!I48),(I46+RU_Raw!I48)/2,IF(ISNUMBER(RU_Raw!I49),I46+(RU_Raw!I49-I46)/3,"")))</f>
        <v>132.3</v>
      </c>
      <c r="J47" s="19">
        <f>IF(ISNUMBER(RU_Raw!J47),RU_Raw!J47,IF(ISNUMBER(RU_Raw!J48),(J46+RU_Raw!J48)/2,IF(ISNUMBER(RU_Raw!J49),J46+(RU_Raw!J49-J46)/3,"")))</f>
        <v>133.5</v>
      </c>
      <c r="K47" s="19">
        <f>IF(ISNUMBER(RU_Raw!K47),RU_Raw!K47,IF(ISNUMBER(RU_Raw!K48),(K46+RU_Raw!K48)/2,IF(ISNUMBER(RU_Raw!K49),K46+(RU_Raw!K49-K46)/3,"")))</f>
        <v>116.4</v>
      </c>
      <c r="L47" s="19">
        <f>IF(ISNUMBER(RU_Raw!L47),RU_Raw!L47,IF(ISNUMBER(RU_Raw!L48),(L46+RU_Raw!L48)/2,IF(ISNUMBER(RU_Raw!L49),L46+(RU_Raw!L49-L46)/3,"")))</f>
        <v>137.8</v>
      </c>
      <c r="M47" s="19">
        <f>IF(ISNUMBER(RU_Raw!M47),RU_Raw!M47,IF(ISNUMBER(RU_Raw!M48),(M46+RU_Raw!M48)/2,IF(ISNUMBER(RU_Raw!M49),M46+(RU_Raw!M49-M46)/3,"")))</f>
        <v>165.4</v>
      </c>
      <c r="N47" s="19">
        <f>IF(ISNUMBER(RU_Raw!N47),RU_Raw!N47,IF(ISNUMBER(RU_Raw!N48),(N46+RU_Raw!N48)/2,IF(ISNUMBER(RU_Raw!N49),N46+(RU_Raw!N49-N46)/3,"")))</f>
        <v>177.4</v>
      </c>
      <c r="O47" s="19">
        <f>IF(ISNUMBER(RU_Raw!O47),RU_Raw!O47,IF(ISNUMBER(RU_Raw!O48),(O46+RU_Raw!O48)/2,IF(ISNUMBER(RU_Raw!O49),O46+(RU_Raw!O49-O46)/3,"")))</f>
        <v>111.3</v>
      </c>
      <c r="P47" s="19">
        <f>IF(ISNUMBER(RU_Raw!P47),RU_Raw!P47,IF(ISNUMBER(RU_Raw!P48),(P46+RU_Raw!P48)/2,IF(ISNUMBER(RU_Raw!P49),P46+(RU_Raw!P49-P46)/3,"")))</f>
        <v>137.5</v>
      </c>
      <c r="Q47" s="19">
        <f>IF(ISNUMBER(RU_Raw!Q47),RU_Raw!Q47,IF(ISNUMBER(RU_Raw!Q48),(Q46+RU_Raw!Q48)/2,IF(ISNUMBER(RU_Raw!Q49),Q46+(RU_Raw!Q49-Q46)/3,"")))</f>
        <v>125</v>
      </c>
      <c r="R47" s="19">
        <f>IF(ISNUMBER(RU_Raw!R47),RU_Raw!R47,IF(ISNUMBER(RU_Raw!R48),(R46+RU_Raw!R48)/2,IF(ISNUMBER(RU_Raw!R49),R46+(RU_Raw!R49-R46)/3,"")))</f>
        <v>138.8</v>
      </c>
      <c r="S47" s="19">
        <f>IF(ISNUMBER(RU_Raw!S47),RU_Raw!S47,IF(ISNUMBER(RU_Raw!S48),(S46+RU_Raw!S48)/2,IF(ISNUMBER(RU_Raw!S49),S46+(RU_Raw!S49-S46)/3,"")))</f>
        <v>138.4</v>
      </c>
      <c r="T47" s="19">
        <f>IF(ISNUMBER(RU_Raw!T47),RU_Raw!T47,IF(ISNUMBER(RU_Raw!T48),(T46+RU_Raw!T48)/2,IF(ISNUMBER(RU_Raw!T49),T46+(RU_Raw!T49-T46)/3,"")))</f>
        <v>139.3</v>
      </c>
      <c r="U47" s="19">
        <f>IF(ISNUMBER(RU_Raw!U47),RU_Raw!U47,IF(ISNUMBER(RU_Raw!U48),(U46+RU_Raw!U48)/2,IF(ISNUMBER(RU_Raw!U49),U46+(RU_Raw!U49-U46)/3,"")))</f>
        <v>133.5</v>
      </c>
      <c r="V47" s="19">
        <f>IF(ISNUMBER(RU_Raw!V47),RU_Raw!V47,IF(ISNUMBER(RU_Raw!V48),(V46+RU_Raw!V48)/2,IF(ISNUMBER(RU_Raw!V49),V46+(RU_Raw!V49-V46)/3,"")))</f>
        <v>127.6</v>
      </c>
      <c r="W47" s="19">
        <f>IF(ISNUMBER(RU_Raw!W47),RU_Raw!W47,IF(ISNUMBER(RU_Raw!W48),(W46+RU_Raw!W48)/2,IF(ISNUMBER(RU_Raw!W49),W46+(RU_Raw!W49-W46)/3,"")))</f>
        <v>132.7</v>
      </c>
      <c r="X47" s="19">
        <f>IF(ISNUMBER(RU_Raw!X47),RU_Raw!X47,IF(ISNUMBER(RU_Raw!X48),(X46+RU_Raw!X48)/2,IF(ISNUMBER(RU_Raw!X49),X46+(RU_Raw!X49-X46)/3,"")))</f>
        <v>126.4</v>
      </c>
      <c r="Y47" s="19">
        <f>IF(ISNUMBER(RU_Raw!Y47),RU_Raw!Y47,IF(ISNUMBER(RU_Raw!Y48),(Y46+RU_Raw!Y48)/2,IF(ISNUMBER(RU_Raw!Y49),Y46+(RU_Raw!Y49-Y46)/3,"")))</f>
        <v>123.4</v>
      </c>
      <c r="Z47" s="19">
        <f>IF(ISNUMBER(RU_Raw!Z47),RU_Raw!Z47,IF(ISNUMBER(RU_Raw!Z48),(Z46+RU_Raw!Z48)/2,IF(ISNUMBER(RU_Raw!Z49),Z46+(RU_Raw!Z49-Z46)/3,"")))</f>
        <v>126.9</v>
      </c>
      <c r="AA47" s="19">
        <f>IF(ISNUMBER(RU_Raw!AA47),RU_Raw!AA47,IF(ISNUMBER(RU_Raw!AA48),(AA46+RU_Raw!AA48)/2,IF(ISNUMBER(RU_Raw!AA49),AA46+(RU_Raw!AA49-AA46)/3,"")))</f>
        <v>124.5</v>
      </c>
      <c r="AB47" s="19">
        <f>IF(ISNUMBER(RU_Raw!AB47),RU_Raw!AB47,IF(ISNUMBER(RU_Raw!AB48),(AB46+RU_Raw!AB48)/2,IF(ISNUMBER(RU_Raw!AB49),AB46+(RU_Raw!AB49-AB46)/3,"")))</f>
        <v>113.9</v>
      </c>
      <c r="AC47" s="19">
        <f>IF(ISNUMBER(RU_Raw!AC47),RU_Raw!AC47,IF(ISNUMBER(RU_Raw!AC48),(AC46+RU_Raw!AC48)/2,IF(ISNUMBER(RU_Raw!AC49),AC46+(RU_Raw!AC49-AC46)/3,"")))</f>
        <v>122.4</v>
      </c>
      <c r="AD47" s="19">
        <f>IF(ISNUMBER(RU_Raw!AD47),RU_Raw!AD47,IF(ISNUMBER(RU_Raw!AD48),(AD46+RU_Raw!AD48)/2,IF(ISNUMBER(RU_Raw!AD49),AD46+(RU_Raw!AD49-AD46)/3,"")))</f>
        <v>130.8</v>
      </c>
      <c r="AE47" s="19">
        <f>IF(ISNUMBER(RU_Raw!AE47),RU_Raw!AE47,IF(ISNUMBER(RU_Raw!AE48),(AE46+RU_Raw!AE48)/2,IF(ISNUMBER(RU_Raw!AE49),AE46+(RU_Raw!AE49-AE46)/3,"")))</f>
        <v>120.5</v>
      </c>
      <c r="AF47" s="19">
        <f>IF(ISNUMBER(RU_Raw!AF47),RU_Raw!AF47,IF(ISNUMBER(RU_Raw!AF48),(AF46+RU_Raw!AF48)/2,IF(ISNUMBER(RU_Raw!AF49),AF46+(RU_Raw!AF49-AF46)/3,"")))</f>
        <v>121.9</v>
      </c>
      <c r="AG47" s="19">
        <f>IF(ISNUMBER(RU_Raw!AG47),RU_Raw!AG47,IF(ISNUMBER(RU_Raw!AG48),(AG46+RU_Raw!AG48)/2,IF(ISNUMBER(RU_Raw!AG49),AG46+(RU_Raw!AG49-AG46)/3,"")))</f>
        <v>131.1</v>
      </c>
      <c r="AH47" s="19">
        <f t="shared" si="1"/>
        <v>1645.1</v>
      </c>
    </row>
    <row r="48" spans="1:34">
      <c r="A48" s="6">
        <f>RU_Raw!A48</f>
        <v>2016</v>
      </c>
      <c r="B48" s="6">
        <f>RU_Raw!B48</f>
        <v>8</v>
      </c>
      <c r="C48" s="6" t="str">
        <f>RU_Raw!C48</f>
        <v>August</v>
      </c>
      <c r="D48" s="9">
        <f>RU_Raw!D48</f>
        <v>42583</v>
      </c>
      <c r="E48" s="6">
        <f>COUNTBLANK(RU_Raw!G48:AG48)</f>
        <v>0</v>
      </c>
      <c r="F48" s="6" t="str">
        <f t="shared" si="0"/>
        <v/>
      </c>
      <c r="G48" s="19">
        <f>IF(ISNUMBER(RU_Raw!G48),RU_Raw!G48,IF(ISNUMBER(RU_Raw!G49),(G47+RU_Raw!G49)/2,IF(ISNUMBER(RU_Raw!G50),G47+(RU_Raw!G50-G47)/3,"")))</f>
        <v>129.3</v>
      </c>
      <c r="H48" s="19">
        <f>IF(ISNUMBER(RU_Raw!H48),RU_Raw!H48,IF(ISNUMBER(RU_Raw!H49),(H47+RU_Raw!H49)/2,IF(ISNUMBER(RU_Raw!H50),H47+(RU_Raw!H50-H47)/3,"")))</f>
        <v>139.3</v>
      </c>
      <c r="I48" s="19">
        <f>IF(ISNUMBER(RU_Raw!I48),RU_Raw!I48,IF(ISNUMBER(RU_Raw!I49),(I47+RU_Raw!I49)/2,IF(ISNUMBER(RU_Raw!I50),I47+(RU_Raw!I50-I47)/3,"")))</f>
        <v>131.6</v>
      </c>
      <c r="J48" s="19">
        <f>IF(ISNUMBER(RU_Raw!J48),RU_Raw!J48,IF(ISNUMBER(RU_Raw!J49),(J47+RU_Raw!J49)/2,IF(ISNUMBER(RU_Raw!J50),J47+(RU_Raw!J50-J47)/3,"")))</f>
        <v>134.1</v>
      </c>
      <c r="K48" s="19">
        <f>IF(ISNUMBER(RU_Raw!K48),RU_Raw!K48,IF(ISNUMBER(RU_Raw!K49),(K47+RU_Raw!K49)/2,IF(ISNUMBER(RU_Raw!K50),K47+(RU_Raw!K50-K47)/3,"")))</f>
        <v>116.9</v>
      </c>
      <c r="L48" s="19">
        <f>IF(ISNUMBER(RU_Raw!L48),RU_Raw!L48,IF(ISNUMBER(RU_Raw!L49),(L47+RU_Raw!L49)/2,IF(ISNUMBER(RU_Raw!L50),L47+(RU_Raw!L50-L47)/3,"")))</f>
        <v>138.1</v>
      </c>
      <c r="M48" s="19">
        <f>IF(ISNUMBER(RU_Raw!M48),RU_Raw!M48,IF(ISNUMBER(RU_Raw!M49),(M47+RU_Raw!M49)/2,IF(ISNUMBER(RU_Raw!M50),M47+(RU_Raw!M50-M47)/3,"")))</f>
        <v>159.1</v>
      </c>
      <c r="N48" s="19">
        <f>IF(ISNUMBER(RU_Raw!N48),RU_Raw!N48,IF(ISNUMBER(RU_Raw!N49),(N47+RU_Raw!N49)/2,IF(ISNUMBER(RU_Raw!N50),N47+(RU_Raw!N50-N47)/3,"")))</f>
        <v>175.6</v>
      </c>
      <c r="O48" s="19">
        <f>IF(ISNUMBER(RU_Raw!O48),RU_Raw!O48,IF(ISNUMBER(RU_Raw!O49),(O47+RU_Raw!O49)/2,IF(ISNUMBER(RU_Raw!O50),O47+(RU_Raw!O50-O47)/3,"")))</f>
        <v>112.9</v>
      </c>
      <c r="P48" s="19">
        <f>IF(ISNUMBER(RU_Raw!P48),RU_Raw!P48,IF(ISNUMBER(RU_Raw!P49),(P47+RU_Raw!P49)/2,IF(ISNUMBER(RU_Raw!P50),P47+(RU_Raw!P50-P47)/3,"")))</f>
        <v>138.1</v>
      </c>
      <c r="Q48" s="19">
        <f>IF(ISNUMBER(RU_Raw!Q48),RU_Raw!Q48,IF(ISNUMBER(RU_Raw!Q49),(Q47+RU_Raw!Q49)/2,IF(ISNUMBER(RU_Raw!Q50),Q47+(RU_Raw!Q50-Q47)/3,"")))</f>
        <v>125.5</v>
      </c>
      <c r="R48" s="19">
        <f>IF(ISNUMBER(RU_Raw!R48),RU_Raw!R48,IF(ISNUMBER(RU_Raw!R49),(R47+RU_Raw!R49)/2,IF(ISNUMBER(RU_Raw!R50),R47+(RU_Raw!R50-R47)/3,"")))</f>
        <v>139.5</v>
      </c>
      <c r="S48" s="19">
        <f>IF(ISNUMBER(RU_Raw!S48),RU_Raw!S48,IF(ISNUMBER(RU_Raw!S49),(S47+RU_Raw!S49)/2,IF(ISNUMBER(RU_Raw!S50),S47+(RU_Raw!S50-S47)/3,"")))</f>
        <v>137.9</v>
      </c>
      <c r="T48" s="19">
        <f>IF(ISNUMBER(RU_Raw!T48),RU_Raw!T48,IF(ISNUMBER(RU_Raw!T49),(T47+RU_Raw!T49)/2,IF(ISNUMBER(RU_Raw!T50),T47+(RU_Raw!T50-T47)/3,"")))</f>
        <v>140.2</v>
      </c>
      <c r="U48" s="19">
        <f>IF(ISNUMBER(RU_Raw!U48),RU_Raw!U48,IF(ISNUMBER(RU_Raw!U49),(U47+RU_Raw!U49)/2,IF(ISNUMBER(RU_Raw!U50),U47+(RU_Raw!U50-U47)/3,"")))</f>
        <v>134.1</v>
      </c>
      <c r="V48" s="19">
        <f>IF(ISNUMBER(RU_Raw!V48),RU_Raw!V48,IF(ISNUMBER(RU_Raw!V49),(V47+RU_Raw!V49)/2,IF(ISNUMBER(RU_Raw!V50),V47+(RU_Raw!V50-V47)/3,"")))</f>
        <v>128.2</v>
      </c>
      <c r="W48" s="19">
        <f>IF(ISNUMBER(RU_Raw!W48),RU_Raw!W48,IF(ISNUMBER(RU_Raw!W49),(W47+RU_Raw!W49)/2,IF(ISNUMBER(RU_Raw!W50),W47+(RU_Raw!W50-W47)/3,"")))</f>
        <v>133.2</v>
      </c>
      <c r="X48" s="19">
        <f>IF(ISNUMBER(RU_Raw!X48),RU_Raw!X48,IF(ISNUMBER(RU_Raw!X49),(X47+RU_Raw!X49)/2,IF(ISNUMBER(RU_Raw!X50),X47+(RU_Raw!X50-X47)/3,"")))</f>
        <v>127.3</v>
      </c>
      <c r="Y48" s="19">
        <f>IF(ISNUMBER(RU_Raw!Y48),RU_Raw!Y48,IF(ISNUMBER(RU_Raw!Y49),(Y47+RU_Raw!Y49)/2,IF(ISNUMBER(RU_Raw!Y50),Y47+(RU_Raw!Y50-Y47)/3,"")))</f>
        <v>123.6</v>
      </c>
      <c r="Z48" s="19">
        <f>IF(ISNUMBER(RU_Raw!Z48),RU_Raw!Z48,IF(ISNUMBER(RU_Raw!Z49),(Z47+RU_Raw!Z49)/2,IF(ISNUMBER(RU_Raw!Z50),Z47+(RU_Raw!Z50-Z47)/3,"")))</f>
        <v>127.4</v>
      </c>
      <c r="AA48" s="19">
        <f>IF(ISNUMBER(RU_Raw!AA48),RU_Raw!AA48,IF(ISNUMBER(RU_Raw!AA49),(AA47+RU_Raw!AA49)/2,IF(ISNUMBER(RU_Raw!AA50),AA47+(RU_Raw!AA50-AA47)/3,"")))</f>
        <v>124.8</v>
      </c>
      <c r="AB48" s="19">
        <f>IF(ISNUMBER(RU_Raw!AB48),RU_Raw!AB48,IF(ISNUMBER(RU_Raw!AB49),(AB47+RU_Raw!AB49)/2,IF(ISNUMBER(RU_Raw!AB50),AB47+(RU_Raw!AB50-AB47)/3,"")))</f>
        <v>113.1</v>
      </c>
      <c r="AC48" s="19">
        <f>IF(ISNUMBER(RU_Raw!AC48),RU_Raw!AC48,IF(ISNUMBER(RU_Raw!AC49),(AC47+RU_Raw!AC49)/2,IF(ISNUMBER(RU_Raw!AC50),AC47+(RU_Raw!AC50-AC47)/3,"")))</f>
        <v>122.7</v>
      </c>
      <c r="AD48" s="19">
        <f>IF(ISNUMBER(RU_Raw!AD48),RU_Raw!AD48,IF(ISNUMBER(RU_Raw!AD49),(AD47+RU_Raw!AD49)/2,IF(ISNUMBER(RU_Raw!AD50),AD47+(RU_Raw!AD50-AD47)/3,"")))</f>
        <v>131.7</v>
      </c>
      <c r="AE48" s="19">
        <f>IF(ISNUMBER(RU_Raw!AE48),RU_Raw!AE48,IF(ISNUMBER(RU_Raw!AE49),(AE47+RU_Raw!AE49)/2,IF(ISNUMBER(RU_Raw!AE50),AE47+(RU_Raw!AE50-AE47)/3,"")))</f>
        <v>121.5</v>
      </c>
      <c r="AF48" s="19">
        <f>IF(ISNUMBER(RU_Raw!AF48),RU_Raw!AF48,IF(ISNUMBER(RU_Raw!AF49),(AF47+RU_Raw!AF49)/2,IF(ISNUMBER(RU_Raw!AF50),AF47+(RU_Raw!AF50-AF47)/3,"")))</f>
        <v>122.1</v>
      </c>
      <c r="AG48" s="19">
        <f>IF(ISNUMBER(RU_Raw!AG48),RU_Raw!AG48,IF(ISNUMBER(RU_Raw!AG49),(AG47+RU_Raw!AG49)/2,IF(ISNUMBER(RU_Raw!AG50),AG47+(RU_Raw!AG50-AG47)/3,"")))</f>
        <v>131.1</v>
      </c>
      <c r="AH48" s="19">
        <f t="shared" si="1"/>
        <v>1640</v>
      </c>
    </row>
    <row r="49" spans="1:34">
      <c r="A49" s="6">
        <f>RU_Raw!A49</f>
        <v>2016</v>
      </c>
      <c r="B49" s="6">
        <f>RU_Raw!B49</f>
        <v>9</v>
      </c>
      <c r="C49" s="6" t="str">
        <f>RU_Raw!C49</f>
        <v>September</v>
      </c>
      <c r="D49" s="9">
        <f>RU_Raw!D49</f>
        <v>42614</v>
      </c>
      <c r="E49" s="6">
        <f>COUNTBLANK(RU_Raw!G49:AG49)</f>
        <v>0</v>
      </c>
      <c r="F49" s="6" t="str">
        <f t="shared" si="0"/>
        <v/>
      </c>
      <c r="G49" s="19">
        <f>IF(ISNUMBER(RU_Raw!G49),RU_Raw!G49,IF(ISNUMBER(RU_Raw!G50),(G48+RU_Raw!G50)/2,IF(ISNUMBER(RU_Raw!G51),G48+(RU_Raw!G51-G48)/3,"")))</f>
        <v>129.9</v>
      </c>
      <c r="H49" s="19">
        <f>IF(ISNUMBER(RU_Raw!H49),RU_Raw!H49,IF(ISNUMBER(RU_Raw!H50),(H48+RU_Raw!H50)/2,IF(ISNUMBER(RU_Raw!H51),H48+(RU_Raw!H51-H48)/3,"")))</f>
        <v>138</v>
      </c>
      <c r="I49" s="19">
        <f>IF(ISNUMBER(RU_Raw!I49),RU_Raw!I49,IF(ISNUMBER(RU_Raw!I50),(I48+RU_Raw!I50)/2,IF(ISNUMBER(RU_Raw!I51),I48+(RU_Raw!I51-I48)/3,"")))</f>
        <v>130.5</v>
      </c>
      <c r="J49" s="19">
        <f>IF(ISNUMBER(RU_Raw!J49),RU_Raw!J49,IF(ISNUMBER(RU_Raw!J50),(J48+RU_Raw!J50)/2,IF(ISNUMBER(RU_Raw!J51),J48+(RU_Raw!J51-J48)/3,"")))</f>
        <v>134.4</v>
      </c>
      <c r="K49" s="19">
        <f>IF(ISNUMBER(RU_Raw!K49),RU_Raw!K49,IF(ISNUMBER(RU_Raw!K50),(K48+RU_Raw!K50)/2,IF(ISNUMBER(RU_Raw!K51),K48+(RU_Raw!K51-K48)/3,"")))</f>
        <v>117.2</v>
      </c>
      <c r="L49" s="19">
        <f>IF(ISNUMBER(RU_Raw!L49),RU_Raw!L49,IF(ISNUMBER(RU_Raw!L50),(L48+RU_Raw!L50)/2,IF(ISNUMBER(RU_Raw!L51),L48+(RU_Raw!L51-L48)/3,"")))</f>
        <v>136.1</v>
      </c>
      <c r="M49" s="19">
        <f>IF(ISNUMBER(RU_Raw!M49),RU_Raw!M49,IF(ISNUMBER(RU_Raw!M50),(M48+RU_Raw!M50)/2,IF(ISNUMBER(RU_Raw!M51),M48+(RU_Raw!M51-M48)/3,"")))</f>
        <v>150.7</v>
      </c>
      <c r="N49" s="19">
        <f>IF(ISNUMBER(RU_Raw!N49),RU_Raw!N49,IF(ISNUMBER(RU_Raw!N50),(N48+RU_Raw!N50)/2,IF(ISNUMBER(RU_Raw!N51),N48+(RU_Raw!N51-N48)/3,"")))</f>
        <v>171.5</v>
      </c>
      <c r="O49" s="19">
        <f>IF(ISNUMBER(RU_Raw!O49),RU_Raw!O49,IF(ISNUMBER(RU_Raw!O50),(O48+RU_Raw!O50)/2,IF(ISNUMBER(RU_Raw!O51),O48+(RU_Raw!O51-O48)/3,"")))</f>
        <v>113.8</v>
      </c>
      <c r="P49" s="19">
        <f>IF(ISNUMBER(RU_Raw!P49),RU_Raw!P49,IF(ISNUMBER(RU_Raw!P50),(P48+RU_Raw!P50)/2,IF(ISNUMBER(RU_Raw!P51),P48+(RU_Raw!P51-P48)/3,"")))</f>
        <v>138.8</v>
      </c>
      <c r="Q49" s="19">
        <f>IF(ISNUMBER(RU_Raw!Q49),RU_Raw!Q49,IF(ISNUMBER(RU_Raw!Q50),(Q48+RU_Raw!Q50)/2,IF(ISNUMBER(RU_Raw!Q51),Q48+(RU_Raw!Q51-Q48)/3,"")))</f>
        <v>126</v>
      </c>
      <c r="R49" s="19">
        <f>IF(ISNUMBER(RU_Raw!R49),RU_Raw!R49,IF(ISNUMBER(RU_Raw!R50),(R48+RU_Raw!R50)/2,IF(ISNUMBER(RU_Raw!R51),R48+(RU_Raw!R51-R48)/3,"")))</f>
        <v>140.2</v>
      </c>
      <c r="S49" s="19">
        <f>IF(ISNUMBER(RU_Raw!S49),RU_Raw!S49,IF(ISNUMBER(RU_Raw!S50),(S48+RU_Raw!S50)/2,IF(ISNUMBER(RU_Raw!S51),S48+(RU_Raw!S51-S48)/3,"")))</f>
        <v>136.6</v>
      </c>
      <c r="T49" s="19">
        <f>IF(ISNUMBER(RU_Raw!T49),RU_Raw!T49,IF(ISNUMBER(RU_Raw!T50),(T48+RU_Raw!T50)/2,IF(ISNUMBER(RU_Raw!T51),T48+(RU_Raw!T51-T48)/3,"")))</f>
        <v>141</v>
      </c>
      <c r="U49" s="19">
        <f>IF(ISNUMBER(RU_Raw!U49),RU_Raw!U49,IF(ISNUMBER(RU_Raw!U50),(U48+RU_Raw!U50)/2,IF(ISNUMBER(RU_Raw!U51),U48+(RU_Raw!U51-U48)/3,"")))</f>
        <v>134.6</v>
      </c>
      <c r="V49" s="19">
        <f>IF(ISNUMBER(RU_Raw!V49),RU_Raw!V49,IF(ISNUMBER(RU_Raw!V50),(V48+RU_Raw!V50)/2,IF(ISNUMBER(RU_Raw!V51),V48+(RU_Raw!V51-V48)/3,"")))</f>
        <v>128.6</v>
      </c>
      <c r="W49" s="19">
        <f>IF(ISNUMBER(RU_Raw!W49),RU_Raw!W49,IF(ISNUMBER(RU_Raw!W50),(W48+RU_Raw!W50)/2,IF(ISNUMBER(RU_Raw!W51),W48+(RU_Raw!W51-W48)/3,"")))</f>
        <v>133.8</v>
      </c>
      <c r="X49" s="19">
        <f>IF(ISNUMBER(RU_Raw!X49),RU_Raw!X49,IF(ISNUMBER(RU_Raw!X50),(X48+RU_Raw!X50)/2,IF(ISNUMBER(RU_Raw!X51),X48+(RU_Raw!X51-X48)/3,"")))</f>
        <v>127.9</v>
      </c>
      <c r="Y49" s="19">
        <f>IF(ISNUMBER(RU_Raw!Y49),RU_Raw!Y49,IF(ISNUMBER(RU_Raw!Y50),(Y48+RU_Raw!Y50)/2,IF(ISNUMBER(RU_Raw!Y51),Y48+(RU_Raw!Y51-Y48)/3,"")))</f>
        <v>124.1</v>
      </c>
      <c r="Z49" s="19">
        <f>IF(ISNUMBER(RU_Raw!Z49),RU_Raw!Z49,IF(ISNUMBER(RU_Raw!Z50),(Z48+RU_Raw!Z50)/2,IF(ISNUMBER(RU_Raw!Z51),Z48+(RU_Raw!Z51-Z48)/3,"")))</f>
        <v>127.9</v>
      </c>
      <c r="AA49" s="19">
        <f>IF(ISNUMBER(RU_Raw!AA49),RU_Raw!AA49,IF(ISNUMBER(RU_Raw!AA50),(AA48+RU_Raw!AA50)/2,IF(ISNUMBER(RU_Raw!AA51),AA48+(RU_Raw!AA51-AA48)/3,"")))</f>
        <v>125.4</v>
      </c>
      <c r="AB49" s="19">
        <f>IF(ISNUMBER(RU_Raw!AB49),RU_Raw!AB49,IF(ISNUMBER(RU_Raw!AB50),(AB48+RU_Raw!AB50)/2,IF(ISNUMBER(RU_Raw!AB51),AB48+(RU_Raw!AB51-AB48)/3,"")))</f>
        <v>114.3</v>
      </c>
      <c r="AC49" s="19">
        <f>IF(ISNUMBER(RU_Raw!AC49),RU_Raw!AC49,IF(ISNUMBER(RU_Raw!AC50),(AC48+RU_Raw!AC50)/2,IF(ISNUMBER(RU_Raw!AC51),AC48+(RU_Raw!AC51-AC48)/3,"")))</f>
        <v>122.9</v>
      </c>
      <c r="AD49" s="19">
        <f>IF(ISNUMBER(RU_Raw!AD49),RU_Raw!AD49,IF(ISNUMBER(RU_Raw!AD50),(AD48+RU_Raw!AD50)/2,IF(ISNUMBER(RU_Raw!AD51),AD48+(RU_Raw!AD51-AD48)/3,"")))</f>
        <v>131.8</v>
      </c>
      <c r="AE49" s="19">
        <f>IF(ISNUMBER(RU_Raw!AE49),RU_Raw!AE49,IF(ISNUMBER(RU_Raw!AE50),(AE48+RU_Raw!AE50)/2,IF(ISNUMBER(RU_Raw!AE51),AE48+(RU_Raw!AE51-AE48)/3,"")))</f>
        <v>122.1</v>
      </c>
      <c r="AF49" s="19">
        <f>IF(ISNUMBER(RU_Raw!AF49),RU_Raw!AF49,IF(ISNUMBER(RU_Raw!AF50),(AF48+RU_Raw!AF50)/2,IF(ISNUMBER(RU_Raw!AF51),AF48+(RU_Raw!AF51-AF48)/3,"")))</f>
        <v>122.8</v>
      </c>
      <c r="AG49" s="19">
        <f>IF(ISNUMBER(RU_Raw!AG49),RU_Raw!AG49,IF(ISNUMBER(RU_Raw!AG50),(AG48+RU_Raw!AG50)/2,IF(ISNUMBER(RU_Raw!AG51),AG48+(RU_Raw!AG51-AG48)/3,"")))</f>
        <v>130.9</v>
      </c>
      <c r="AH49" s="19">
        <f t="shared" si="1"/>
        <v>1627.1</v>
      </c>
    </row>
    <row r="50" spans="1:34">
      <c r="A50" s="6">
        <f>RU_Raw!A50</f>
        <v>2016</v>
      </c>
      <c r="B50" s="6">
        <f>RU_Raw!B50</f>
        <v>10</v>
      </c>
      <c r="C50" s="6" t="str">
        <f>RU_Raw!C50</f>
        <v>October</v>
      </c>
      <c r="D50" s="9">
        <f>RU_Raw!D50</f>
        <v>42644</v>
      </c>
      <c r="E50" s="6">
        <f>COUNTBLANK(RU_Raw!G50:AG50)</f>
        <v>0</v>
      </c>
      <c r="F50" s="6" t="str">
        <f t="shared" si="0"/>
        <v/>
      </c>
      <c r="G50" s="19">
        <f>IF(ISNUMBER(RU_Raw!G50),RU_Raw!G50,IF(ISNUMBER(RU_Raw!G51),(G49+RU_Raw!G51)/2,IF(ISNUMBER(RU_Raw!G52),G49+(RU_Raw!G52-G49)/3,"")))</f>
        <v>130.5</v>
      </c>
      <c r="H50" s="19">
        <f>IF(ISNUMBER(RU_Raw!H50),RU_Raw!H50,IF(ISNUMBER(RU_Raw!H51),(H49+RU_Raw!H51)/2,IF(ISNUMBER(RU_Raw!H52),H49+(RU_Raw!H52-H49)/3,"")))</f>
        <v>137.9</v>
      </c>
      <c r="I50" s="19">
        <f>IF(ISNUMBER(RU_Raw!I50),RU_Raw!I50,IF(ISNUMBER(RU_Raw!I51),(I49+RU_Raw!I51)/2,IF(ISNUMBER(RU_Raw!I52),I49+(RU_Raw!I52-I49)/3,"")))</f>
        <v>130.2</v>
      </c>
      <c r="J50" s="19">
        <f>IF(ISNUMBER(RU_Raw!J50),RU_Raw!J50,IF(ISNUMBER(RU_Raw!J51),(J49+RU_Raw!J51)/2,IF(ISNUMBER(RU_Raw!J52),J49+(RU_Raw!J52-J49)/3,"")))</f>
        <v>134.8</v>
      </c>
      <c r="K50" s="19">
        <f>IF(ISNUMBER(RU_Raw!K50),RU_Raw!K50,IF(ISNUMBER(RU_Raw!K51),(K49+RU_Raw!K51)/2,IF(ISNUMBER(RU_Raw!K52),K49+(RU_Raw!K52-K49)/3,"")))</f>
        <v>117.8</v>
      </c>
      <c r="L50" s="19">
        <f>IF(ISNUMBER(RU_Raw!L50),RU_Raw!L50,IF(ISNUMBER(RU_Raw!L51),(L49+RU_Raw!L51)/2,IF(ISNUMBER(RU_Raw!L52),L49+(RU_Raw!L52-L49)/3,"")))</f>
        <v>134.7</v>
      </c>
      <c r="M50" s="19">
        <f>IF(ISNUMBER(RU_Raw!M50),RU_Raw!M50,IF(ISNUMBER(RU_Raw!M51),(M49+RU_Raw!M51)/2,IF(ISNUMBER(RU_Raw!M52),M49+(RU_Raw!M52-M49)/3,"")))</f>
        <v>151.2</v>
      </c>
      <c r="N50" s="19">
        <f>IF(ISNUMBER(RU_Raw!N50),RU_Raw!N50,IF(ISNUMBER(RU_Raw!N51),(N49+RU_Raw!N51)/2,IF(ISNUMBER(RU_Raw!N52),N49+(RU_Raw!N52-N49)/3,"")))</f>
        <v>172.1</v>
      </c>
      <c r="O50" s="19">
        <f>IF(ISNUMBER(RU_Raw!O50),RU_Raw!O50,IF(ISNUMBER(RU_Raw!O51),(O49+RU_Raw!O51)/2,IF(ISNUMBER(RU_Raw!O52),O49+(RU_Raw!O52-O49)/3,"")))</f>
        <v>114.1</v>
      </c>
      <c r="P50" s="19">
        <f>IF(ISNUMBER(RU_Raw!P50),RU_Raw!P50,IF(ISNUMBER(RU_Raw!P51),(P49+RU_Raw!P51)/2,IF(ISNUMBER(RU_Raw!P52),P49+(RU_Raw!P52-P49)/3,"")))</f>
        <v>139.3</v>
      </c>
      <c r="Q50" s="19">
        <f>IF(ISNUMBER(RU_Raw!Q50),RU_Raw!Q50,IF(ISNUMBER(RU_Raw!Q51),(Q49+RU_Raw!Q51)/2,IF(ISNUMBER(RU_Raw!Q52),Q49+(RU_Raw!Q52-Q49)/3,"")))</f>
        <v>126.1</v>
      </c>
      <c r="R50" s="19">
        <f>IF(ISNUMBER(RU_Raw!R50),RU_Raw!R50,IF(ISNUMBER(RU_Raw!R51),(R49+RU_Raw!R51)/2,IF(ISNUMBER(RU_Raw!R52),R49+(RU_Raw!R52-R49)/3,"")))</f>
        <v>141.1</v>
      </c>
      <c r="S50" s="19">
        <f>IF(ISNUMBER(RU_Raw!S50),RU_Raw!S50,IF(ISNUMBER(RU_Raw!S51),(S49+RU_Raw!S51)/2,IF(ISNUMBER(RU_Raw!S52),S49+(RU_Raw!S52-S49)/3,"")))</f>
        <v>137</v>
      </c>
      <c r="T50" s="19">
        <f>IF(ISNUMBER(RU_Raw!T50),RU_Raw!T50,IF(ISNUMBER(RU_Raw!T51),(T49+RU_Raw!T51)/2,IF(ISNUMBER(RU_Raw!T52),T49+(RU_Raw!T52-T49)/3,"")))</f>
        <v>141.8</v>
      </c>
      <c r="U50" s="19">
        <f>IF(ISNUMBER(RU_Raw!U50),RU_Raw!U50,IF(ISNUMBER(RU_Raw!U51),(U49+RU_Raw!U51)/2,IF(ISNUMBER(RU_Raw!U52),U49+(RU_Raw!U52-U49)/3,"")))</f>
        <v>135.5</v>
      </c>
      <c r="V50" s="19">
        <f>IF(ISNUMBER(RU_Raw!V50),RU_Raw!V50,IF(ISNUMBER(RU_Raw!V51),(V49+RU_Raw!V51)/2,IF(ISNUMBER(RU_Raw!V52),V49+(RU_Raw!V52-V49)/3,"")))</f>
        <v>129.1</v>
      </c>
      <c r="W50" s="19">
        <f>IF(ISNUMBER(RU_Raw!W50),RU_Raw!W50,IF(ISNUMBER(RU_Raw!W51),(W49+RU_Raw!W51)/2,IF(ISNUMBER(RU_Raw!W52),W49+(RU_Raw!W52-W49)/3,"")))</f>
        <v>134.5</v>
      </c>
      <c r="X50" s="19">
        <f>IF(ISNUMBER(RU_Raw!X50),RU_Raw!X50,IF(ISNUMBER(RU_Raw!X51),(X49+RU_Raw!X51)/2,IF(ISNUMBER(RU_Raw!X52),X49+(RU_Raw!X52-X49)/3,"")))</f>
        <v>128.7</v>
      </c>
      <c r="Y50" s="19">
        <f>IF(ISNUMBER(RU_Raw!Y50),RU_Raw!Y50,IF(ISNUMBER(RU_Raw!Y51),(Y49+RU_Raw!Y51)/2,IF(ISNUMBER(RU_Raw!Y52),Y49+(RU_Raw!Y52-Y49)/3,"")))</f>
        <v>124.3</v>
      </c>
      <c r="Z50" s="19">
        <f>IF(ISNUMBER(RU_Raw!Z50),RU_Raw!Z50,IF(ISNUMBER(RU_Raw!Z51),(Z49+RU_Raw!Z51)/2,IF(ISNUMBER(RU_Raw!Z52),Z49+(RU_Raw!Z52-Z49)/3,"")))</f>
        <v>128.4</v>
      </c>
      <c r="AA50" s="19">
        <f>IF(ISNUMBER(RU_Raw!AA50),RU_Raw!AA50,IF(ISNUMBER(RU_Raw!AA51),(AA49+RU_Raw!AA51)/2,IF(ISNUMBER(RU_Raw!AA52),AA49+(RU_Raw!AA52-AA49)/3,"")))</f>
        <v>126.1</v>
      </c>
      <c r="AB50" s="19">
        <f>IF(ISNUMBER(RU_Raw!AB50),RU_Raw!AB50,IF(ISNUMBER(RU_Raw!AB51),(AB49+RU_Raw!AB51)/2,IF(ISNUMBER(RU_Raw!AB52),AB49+(RU_Raw!AB52-AB49)/3,"")))</f>
        <v>115.2</v>
      </c>
      <c r="AC50" s="19">
        <f>IF(ISNUMBER(RU_Raw!AC50),RU_Raw!AC50,IF(ISNUMBER(RU_Raw!AC51),(AC49+RU_Raw!AC51)/2,IF(ISNUMBER(RU_Raw!AC52),AC49+(RU_Raw!AC52-AC49)/3,"")))</f>
        <v>123.5</v>
      </c>
      <c r="AD50" s="19">
        <f>IF(ISNUMBER(RU_Raw!AD50),RU_Raw!AD50,IF(ISNUMBER(RU_Raw!AD51),(AD49+RU_Raw!AD51)/2,IF(ISNUMBER(RU_Raw!AD52),AD49+(RU_Raw!AD52-AD49)/3,"")))</f>
        <v>132.4</v>
      </c>
      <c r="AE50" s="19">
        <f>IF(ISNUMBER(RU_Raw!AE50),RU_Raw!AE50,IF(ISNUMBER(RU_Raw!AE51),(AE49+RU_Raw!AE51)/2,IF(ISNUMBER(RU_Raw!AE52),AE49+(RU_Raw!AE52-AE49)/3,"")))</f>
        <v>122.1</v>
      </c>
      <c r="AF50" s="19">
        <f>IF(ISNUMBER(RU_Raw!AF50),RU_Raw!AF50,IF(ISNUMBER(RU_Raw!AF51),(AF49+RU_Raw!AF51)/2,IF(ISNUMBER(RU_Raw!AF52),AF49+(RU_Raw!AF52-AF49)/3,"")))</f>
        <v>123.4</v>
      </c>
      <c r="AG50" s="19">
        <f>IF(ISNUMBER(RU_Raw!AG50),RU_Raw!AG50,IF(ISNUMBER(RU_Raw!AG51),(AG49+RU_Raw!AG51)/2,IF(ISNUMBER(RU_Raw!AG52),AG49+(RU_Raw!AG52-AG49)/3,"")))</f>
        <v>131.4</v>
      </c>
      <c r="AH50" s="19">
        <f t="shared" si="1"/>
        <v>1629.8</v>
      </c>
    </row>
    <row r="51" spans="1:34">
      <c r="A51" s="6">
        <f>RU_Raw!A51</f>
        <v>2016</v>
      </c>
      <c r="B51" s="6">
        <f>RU_Raw!B51</f>
        <v>11</v>
      </c>
      <c r="C51" s="6" t="str">
        <f>RU_Raw!C51</f>
        <v>November</v>
      </c>
      <c r="D51" s="9">
        <f>RU_Raw!D51</f>
        <v>42675</v>
      </c>
      <c r="E51" s="6">
        <f>COUNTBLANK(RU_Raw!G51:AG51)</f>
        <v>0</v>
      </c>
      <c r="F51" s="6" t="str">
        <f t="shared" si="0"/>
        <v/>
      </c>
      <c r="G51" s="19">
        <f>IF(ISNUMBER(RU_Raw!G51),RU_Raw!G51,IF(ISNUMBER(RU_Raw!G52),(G50+RU_Raw!G52)/2,IF(ISNUMBER(RU_Raw!G53),G50+(RU_Raw!G53-G50)/3,"")))</f>
        <v>131.4</v>
      </c>
      <c r="H51" s="19">
        <f>IF(ISNUMBER(RU_Raw!H51),RU_Raw!H51,IF(ISNUMBER(RU_Raw!H52),(H50+RU_Raw!H52)/2,IF(ISNUMBER(RU_Raw!H53),H50+(RU_Raw!H53-H50)/3,"")))</f>
        <v>137.8</v>
      </c>
      <c r="I51" s="19">
        <f>IF(ISNUMBER(RU_Raw!I51),RU_Raw!I51,IF(ISNUMBER(RU_Raw!I52),(I50+RU_Raw!I52)/2,IF(ISNUMBER(RU_Raw!I53),I50+(RU_Raw!I53-I50)/3,"")))</f>
        <v>132</v>
      </c>
      <c r="J51" s="19">
        <f>IF(ISNUMBER(RU_Raw!J51),RU_Raw!J51,IF(ISNUMBER(RU_Raw!J52),(J50+RU_Raw!J52)/2,IF(ISNUMBER(RU_Raw!J53),J50+(RU_Raw!J53-J50)/3,"")))</f>
        <v>135</v>
      </c>
      <c r="K51" s="19">
        <f>IF(ISNUMBER(RU_Raw!K51),RU_Raw!K51,IF(ISNUMBER(RU_Raw!K52),(K50+RU_Raw!K52)/2,IF(ISNUMBER(RU_Raw!K53),K50+(RU_Raw!K53-K50)/3,"")))</f>
        <v>118</v>
      </c>
      <c r="L51" s="19">
        <f>IF(ISNUMBER(RU_Raw!L51),RU_Raw!L51,IF(ISNUMBER(RU_Raw!L52),(L50+RU_Raw!L52)/2,IF(ISNUMBER(RU_Raw!L53),L50+(RU_Raw!L53-L50)/3,"")))</f>
        <v>134.1</v>
      </c>
      <c r="M51" s="19">
        <f>IF(ISNUMBER(RU_Raw!M51),RU_Raw!M51,IF(ISNUMBER(RU_Raw!M52),(M50+RU_Raw!M52)/2,IF(ISNUMBER(RU_Raw!M53),M50+(RU_Raw!M53-M50)/3,"")))</f>
        <v>141.9</v>
      </c>
      <c r="N51" s="19">
        <f>IF(ISNUMBER(RU_Raw!N51),RU_Raw!N51,IF(ISNUMBER(RU_Raw!N52),(N50+RU_Raw!N52)/2,IF(ISNUMBER(RU_Raw!N53),N50+(RU_Raw!N53-N50)/3,"")))</f>
        <v>171.7</v>
      </c>
      <c r="O51" s="19">
        <f>IF(ISNUMBER(RU_Raw!O51),RU_Raw!O51,IF(ISNUMBER(RU_Raw!O52),(O50+RU_Raw!O52)/2,IF(ISNUMBER(RU_Raw!O53),O50+(RU_Raw!O53-O50)/3,"")))</f>
        <v>114.1</v>
      </c>
      <c r="P51" s="19">
        <f>IF(ISNUMBER(RU_Raw!P51),RU_Raw!P51,IF(ISNUMBER(RU_Raw!P52),(P50+RU_Raw!P52)/2,IF(ISNUMBER(RU_Raw!P53),P50+(RU_Raw!P53-P50)/3,"")))</f>
        <v>139.7</v>
      </c>
      <c r="Q51" s="19">
        <f>IF(ISNUMBER(RU_Raw!Q51),RU_Raw!Q51,IF(ISNUMBER(RU_Raw!Q52),(Q50+RU_Raw!Q52)/2,IF(ISNUMBER(RU_Raw!Q53),Q50+(RU_Raw!Q53-Q50)/3,"")))</f>
        <v>126.2</v>
      </c>
      <c r="R51" s="19">
        <f>IF(ISNUMBER(RU_Raw!R51),RU_Raw!R51,IF(ISNUMBER(RU_Raw!R52),(R50+RU_Raw!R52)/2,IF(ISNUMBER(RU_Raw!R53),R50+(RU_Raw!R53-R50)/3,"")))</f>
        <v>141.8</v>
      </c>
      <c r="S51" s="19">
        <f>IF(ISNUMBER(RU_Raw!S51),RU_Raw!S51,IF(ISNUMBER(RU_Raw!S52),(S50+RU_Raw!S52)/2,IF(ISNUMBER(RU_Raw!S53),S50+(RU_Raw!S53-S50)/3,"")))</f>
        <v>136.1</v>
      </c>
      <c r="T51" s="19">
        <f>IF(ISNUMBER(RU_Raw!T51),RU_Raw!T51,IF(ISNUMBER(RU_Raw!T52),(T50+RU_Raw!T52)/2,IF(ISNUMBER(RU_Raw!T53),T50+(RU_Raw!T53-T50)/3,"")))</f>
        <v>142</v>
      </c>
      <c r="U51" s="19">
        <f>IF(ISNUMBER(RU_Raw!U51),RU_Raw!U51,IF(ISNUMBER(RU_Raw!U52),(U50+RU_Raw!U52)/2,IF(ISNUMBER(RU_Raw!U53),U50+(RU_Raw!U53-U50)/3,"")))</f>
        <v>135.8</v>
      </c>
      <c r="V51" s="19">
        <f>IF(ISNUMBER(RU_Raw!V51),RU_Raw!V51,IF(ISNUMBER(RU_Raw!V52),(V50+RU_Raw!V52)/2,IF(ISNUMBER(RU_Raw!V53),V50+(RU_Raw!V53-V50)/3,"")))</f>
        <v>129.3</v>
      </c>
      <c r="W51" s="19">
        <f>IF(ISNUMBER(RU_Raw!W51),RU_Raw!W51,IF(ISNUMBER(RU_Raw!W52),(W50+RU_Raw!W52)/2,IF(ISNUMBER(RU_Raw!W53),W50+(RU_Raw!W53-W50)/3,"")))</f>
        <v>135</v>
      </c>
      <c r="X51" s="19">
        <f>IF(ISNUMBER(RU_Raw!X51),RU_Raw!X51,IF(ISNUMBER(RU_Raw!X52),(X50+RU_Raw!X52)/2,IF(ISNUMBER(RU_Raw!X53),X50+(RU_Raw!X53-X50)/3,"")))</f>
        <v>129.1</v>
      </c>
      <c r="Y51" s="19">
        <f>IF(ISNUMBER(RU_Raw!Y51),RU_Raw!Y51,IF(ISNUMBER(RU_Raw!Y52),(Y50+RU_Raw!Y52)/2,IF(ISNUMBER(RU_Raw!Y53),Y50+(RU_Raw!Y53-Y50)/3,"")))</f>
        <v>125</v>
      </c>
      <c r="Z51" s="19">
        <f>IF(ISNUMBER(RU_Raw!Z51),RU_Raw!Z51,IF(ISNUMBER(RU_Raw!Z52),(Z50+RU_Raw!Z52)/2,IF(ISNUMBER(RU_Raw!Z53),Z50+(RU_Raw!Z53-Z50)/3,"")))</f>
        <v>128.6</v>
      </c>
      <c r="AA51" s="19">
        <f>IF(ISNUMBER(RU_Raw!AA51),RU_Raw!AA51,IF(ISNUMBER(RU_Raw!AA52),(AA50+RU_Raw!AA52)/2,IF(ISNUMBER(RU_Raw!AA53),AA50+(RU_Raw!AA53-AA50)/3,"")))</f>
        <v>126.4</v>
      </c>
      <c r="AB51" s="19">
        <f>IF(ISNUMBER(RU_Raw!AB51),RU_Raw!AB51,IF(ISNUMBER(RU_Raw!AB52),(AB50+RU_Raw!AB52)/2,IF(ISNUMBER(RU_Raw!AB53),AB50+(RU_Raw!AB53-AB50)/3,"")))</f>
        <v>115.7</v>
      </c>
      <c r="AC51" s="19">
        <f>IF(ISNUMBER(RU_Raw!AC51),RU_Raw!AC51,IF(ISNUMBER(RU_Raw!AC52),(AC50+RU_Raw!AC52)/2,IF(ISNUMBER(RU_Raw!AC53),AC50+(RU_Raw!AC53-AC50)/3,"")))</f>
        <v>124</v>
      </c>
      <c r="AD51" s="19">
        <f>IF(ISNUMBER(RU_Raw!AD51),RU_Raw!AD51,IF(ISNUMBER(RU_Raw!AD52),(AD50+RU_Raw!AD52)/2,IF(ISNUMBER(RU_Raw!AD53),AD50+(RU_Raw!AD53-AD50)/3,"")))</f>
        <v>132.8</v>
      </c>
      <c r="AE51" s="19">
        <f>IF(ISNUMBER(RU_Raw!AE51),RU_Raw!AE51,IF(ISNUMBER(RU_Raw!AE52),(AE50+RU_Raw!AE52)/2,IF(ISNUMBER(RU_Raw!AE53),AE50+(RU_Raw!AE53-AE50)/3,"")))</f>
        <v>122.6</v>
      </c>
      <c r="AF51" s="19">
        <f>IF(ISNUMBER(RU_Raw!AF51),RU_Raw!AF51,IF(ISNUMBER(RU_Raw!AF52),(AF50+RU_Raw!AF52)/2,IF(ISNUMBER(RU_Raw!AF53),AF50+(RU_Raw!AF53-AF50)/3,"")))</f>
        <v>123.8</v>
      </c>
      <c r="AG51" s="19">
        <f>IF(ISNUMBER(RU_Raw!AG51),RU_Raw!AG51,IF(ISNUMBER(RU_Raw!AG52),(AG50+RU_Raw!AG52)/2,IF(ISNUMBER(RU_Raw!AG53),AG50+(RU_Raw!AG53-AG50)/3,"")))</f>
        <v>131.2</v>
      </c>
      <c r="AH51" s="19">
        <f t="shared" si="1"/>
        <v>1623.7</v>
      </c>
    </row>
    <row r="52" spans="1:34">
      <c r="A52" s="6">
        <f>RU_Raw!A52</f>
        <v>2016</v>
      </c>
      <c r="B52" s="6">
        <f>RU_Raw!B52</f>
        <v>12</v>
      </c>
      <c r="C52" s="6" t="str">
        <f>RU_Raw!C52</f>
        <v>December</v>
      </c>
      <c r="D52" s="9">
        <f>RU_Raw!D52</f>
        <v>42705</v>
      </c>
      <c r="E52" s="6">
        <f>COUNTBLANK(RU_Raw!G52:AG52)</f>
        <v>0</v>
      </c>
      <c r="F52" s="6" t="str">
        <f t="shared" si="0"/>
        <v/>
      </c>
      <c r="G52" s="19">
        <f>IF(ISNUMBER(RU_Raw!G52),RU_Raw!G52,IF(ISNUMBER(RU_Raw!G53),(G51+RU_Raw!G53)/2,IF(ISNUMBER(RU_Raw!G54),G51+(RU_Raw!G54-G51)/3,"")))</f>
        <v>132.3</v>
      </c>
      <c r="H52" s="19">
        <f>IF(ISNUMBER(RU_Raw!H52),RU_Raw!H52,IF(ISNUMBER(RU_Raw!H53),(H51+RU_Raw!H53)/2,IF(ISNUMBER(RU_Raw!H54),H51+(RU_Raw!H54-H51)/3,"")))</f>
        <v>137.6</v>
      </c>
      <c r="I52" s="19">
        <f>IF(ISNUMBER(RU_Raw!I52),RU_Raw!I52,IF(ISNUMBER(RU_Raw!I53),(I51+RU_Raw!I53)/2,IF(ISNUMBER(RU_Raw!I54),I51+(RU_Raw!I54-I51)/3,"")))</f>
        <v>132.9</v>
      </c>
      <c r="J52" s="19">
        <f>IF(ISNUMBER(RU_Raw!J52),RU_Raw!J52,IF(ISNUMBER(RU_Raw!J53),(J51+RU_Raw!J53)/2,IF(ISNUMBER(RU_Raw!J54),J51+(RU_Raw!J54-J51)/3,"")))</f>
        <v>135.1</v>
      </c>
      <c r="K52" s="19">
        <f>IF(ISNUMBER(RU_Raw!K52),RU_Raw!K52,IF(ISNUMBER(RU_Raw!K53),(K51+RU_Raw!K53)/2,IF(ISNUMBER(RU_Raw!K54),K51+(RU_Raw!K54-K51)/3,"")))</f>
        <v>118.6</v>
      </c>
      <c r="L52" s="19">
        <f>IF(ISNUMBER(RU_Raw!L52),RU_Raw!L52,IF(ISNUMBER(RU_Raw!L53),(L51+RU_Raw!L53)/2,IF(ISNUMBER(RU_Raw!L54),L51+(RU_Raw!L54-L51)/3,"")))</f>
        <v>132.7</v>
      </c>
      <c r="M52" s="19">
        <f>IF(ISNUMBER(RU_Raw!M52),RU_Raw!M52,IF(ISNUMBER(RU_Raw!M53),(M51+RU_Raw!M53)/2,IF(ISNUMBER(RU_Raw!M54),M51+(RU_Raw!M54-M51)/3,"")))</f>
        <v>125.3</v>
      </c>
      <c r="N52" s="19">
        <f>IF(ISNUMBER(RU_Raw!N52),RU_Raw!N52,IF(ISNUMBER(RU_Raw!N53),(N51+RU_Raw!N53)/2,IF(ISNUMBER(RU_Raw!N54),N51+(RU_Raw!N54-N51)/3,"")))</f>
        <v>168.7</v>
      </c>
      <c r="O52" s="19">
        <f>IF(ISNUMBER(RU_Raw!O52),RU_Raw!O52,IF(ISNUMBER(RU_Raw!O53),(O51+RU_Raw!O53)/2,IF(ISNUMBER(RU_Raw!O54),O51+(RU_Raw!O54-O51)/3,"")))</f>
        <v>114.4</v>
      </c>
      <c r="P52" s="19">
        <f>IF(ISNUMBER(RU_Raw!P52),RU_Raw!P52,IF(ISNUMBER(RU_Raw!P53),(P51+RU_Raw!P53)/2,IF(ISNUMBER(RU_Raw!P54),P51+(RU_Raw!P54-P51)/3,"")))</f>
        <v>140.2</v>
      </c>
      <c r="Q52" s="19">
        <f>IF(ISNUMBER(RU_Raw!Q52),RU_Raw!Q52,IF(ISNUMBER(RU_Raw!Q53),(Q51+RU_Raw!Q53)/2,IF(ISNUMBER(RU_Raw!Q54),Q51+(RU_Raw!Q54-Q51)/3,"")))</f>
        <v>126.6</v>
      </c>
      <c r="R52" s="19">
        <f>IF(ISNUMBER(RU_Raw!R52),RU_Raw!R52,IF(ISNUMBER(RU_Raw!R53),(R51+RU_Raw!R53)/2,IF(ISNUMBER(RU_Raw!R54),R51+(RU_Raw!R54-R51)/3,"")))</f>
        <v>142.3</v>
      </c>
      <c r="S52" s="19">
        <f>IF(ISNUMBER(RU_Raw!S52),RU_Raw!S52,IF(ISNUMBER(RU_Raw!S53),(S51+RU_Raw!S53)/2,IF(ISNUMBER(RU_Raw!S54),S51+(RU_Raw!S54-S51)/3,"")))</f>
        <v>134</v>
      </c>
      <c r="T52" s="19">
        <f>IF(ISNUMBER(RU_Raw!T52),RU_Raw!T52,IF(ISNUMBER(RU_Raw!T53),(T51+RU_Raw!T53)/2,IF(ISNUMBER(RU_Raw!T54),T51+(RU_Raw!T54-T51)/3,"")))</f>
        <v>143.1</v>
      </c>
      <c r="U52" s="19">
        <f>IF(ISNUMBER(RU_Raw!U52),RU_Raw!U52,IF(ISNUMBER(RU_Raw!U53),(U51+RU_Raw!U53)/2,IF(ISNUMBER(RU_Raw!U54),U51+(RU_Raw!U54-U51)/3,"")))</f>
        <v>136.3</v>
      </c>
      <c r="V52" s="19">
        <f>IF(ISNUMBER(RU_Raw!V52),RU_Raw!V52,IF(ISNUMBER(RU_Raw!V53),(V51+RU_Raw!V53)/2,IF(ISNUMBER(RU_Raw!V54),V51+(RU_Raw!V54-V51)/3,"")))</f>
        <v>129.8</v>
      </c>
      <c r="W52" s="19">
        <f>IF(ISNUMBER(RU_Raw!W52),RU_Raw!W52,IF(ISNUMBER(RU_Raw!W53),(W51+RU_Raw!W53)/2,IF(ISNUMBER(RU_Raw!W54),W51+(RU_Raw!W54-W51)/3,"")))</f>
        <v>135.4</v>
      </c>
      <c r="X52" s="19">
        <f>IF(ISNUMBER(RU_Raw!X52),RU_Raw!X52,IF(ISNUMBER(RU_Raw!X53),(X51+RU_Raw!X53)/2,IF(ISNUMBER(RU_Raw!X54),X51+(RU_Raw!X54-X51)/3,"")))</f>
        <v>128.5</v>
      </c>
      <c r="Y52" s="19">
        <f>IF(ISNUMBER(RU_Raw!Y52),RU_Raw!Y52,IF(ISNUMBER(RU_Raw!Y53),(Y51+RU_Raw!Y53)/2,IF(ISNUMBER(RU_Raw!Y54),Y51+(RU_Raw!Y54-Y51)/3,"")))</f>
        <v>126.6</v>
      </c>
      <c r="Z52" s="19">
        <f>IF(ISNUMBER(RU_Raw!Z52),RU_Raw!Z52,IF(ISNUMBER(RU_Raw!Z53),(Z51+RU_Raw!Z53)/2,IF(ISNUMBER(RU_Raw!Z54),Z51+(RU_Raw!Z54-Z51)/3,"")))</f>
        <v>129.2</v>
      </c>
      <c r="AA52" s="19">
        <f>IF(ISNUMBER(RU_Raw!AA52),RU_Raw!AA52,IF(ISNUMBER(RU_Raw!AA53),(AA51+RU_Raw!AA53)/2,IF(ISNUMBER(RU_Raw!AA54),AA51+(RU_Raw!AA54-AA51)/3,"")))</f>
        <v>126.9</v>
      </c>
      <c r="AB52" s="19">
        <f>IF(ISNUMBER(RU_Raw!AB52),RU_Raw!AB52,IF(ISNUMBER(RU_Raw!AB53),(AB51+RU_Raw!AB53)/2,IF(ISNUMBER(RU_Raw!AB54),AB51+(RU_Raw!AB54-AB51)/3,"")))</f>
        <v>116</v>
      </c>
      <c r="AC52" s="19">
        <f>IF(ISNUMBER(RU_Raw!AC52),RU_Raw!AC52,IF(ISNUMBER(RU_Raw!AC53),(AC51+RU_Raw!AC53)/2,IF(ISNUMBER(RU_Raw!AC54),AC51+(RU_Raw!AC54-AC51)/3,"")))</f>
        <v>124.2</v>
      </c>
      <c r="AD52" s="19">
        <f>IF(ISNUMBER(RU_Raw!AD52),RU_Raw!AD52,IF(ISNUMBER(RU_Raw!AD53),(AD51+RU_Raw!AD53)/2,IF(ISNUMBER(RU_Raw!AD54),AD51+(RU_Raw!AD54-AD51)/3,"")))</f>
        <v>133.1</v>
      </c>
      <c r="AE52" s="19">
        <f>IF(ISNUMBER(RU_Raw!AE52),RU_Raw!AE52,IF(ISNUMBER(RU_Raw!AE53),(AE51+RU_Raw!AE53)/2,IF(ISNUMBER(RU_Raw!AE54),AE51+(RU_Raw!AE54-AE51)/3,"")))</f>
        <v>121.1</v>
      </c>
      <c r="AF52" s="19">
        <f>IF(ISNUMBER(RU_Raw!AF52),RU_Raw!AF52,IF(ISNUMBER(RU_Raw!AF53),(AF51+RU_Raw!AF53)/2,IF(ISNUMBER(RU_Raw!AF54),AF51+(RU_Raw!AF54-AF51)/3,"")))</f>
        <v>123.9</v>
      </c>
      <c r="AG52" s="19">
        <f>IF(ISNUMBER(RU_Raw!AG52),RU_Raw!AG52,IF(ISNUMBER(RU_Raw!AG53),(AG51+RU_Raw!AG53)/2,IF(ISNUMBER(RU_Raw!AG54),AG51+(RU_Raw!AG54-AG51)/3,"")))</f>
        <v>130.4</v>
      </c>
      <c r="AH52" s="19">
        <f t="shared" si="1"/>
        <v>1606.7</v>
      </c>
    </row>
    <row r="53" spans="1:34">
      <c r="A53" s="6">
        <f>RU_Raw!A53</f>
        <v>2017</v>
      </c>
      <c r="B53" s="6">
        <f>RU_Raw!B53</f>
        <v>1</v>
      </c>
      <c r="C53" s="6" t="str">
        <f>RU_Raw!C53</f>
        <v>January</v>
      </c>
      <c r="D53" s="9">
        <f>RU_Raw!D53</f>
        <v>42736</v>
      </c>
      <c r="E53" s="6">
        <f>COUNTBLANK(RU_Raw!G53:AG53)</f>
        <v>0</v>
      </c>
      <c r="F53" s="6" t="str">
        <f t="shared" si="0"/>
        <v/>
      </c>
      <c r="G53" s="19">
        <f>IF(ISNUMBER(RU_Raw!G53),RU_Raw!G53,IF(ISNUMBER(RU_Raw!G54),(G52+RU_Raw!G54)/2,IF(ISNUMBER(RU_Raw!G55),G52+(RU_Raw!G55-G52)/3,"")))</f>
        <v>132.8</v>
      </c>
      <c r="H53" s="19">
        <f>IF(ISNUMBER(RU_Raw!H53),RU_Raw!H53,IF(ISNUMBER(RU_Raw!H54),(H52+RU_Raw!H54)/2,IF(ISNUMBER(RU_Raw!H55),H52+(RU_Raw!H55-H52)/3,"")))</f>
        <v>138.2</v>
      </c>
      <c r="I53" s="19">
        <f>IF(ISNUMBER(RU_Raw!I53),RU_Raw!I53,IF(ISNUMBER(RU_Raw!I54),(I52+RU_Raw!I54)/2,IF(ISNUMBER(RU_Raw!I55),I52+(RU_Raw!I55-I52)/3,"")))</f>
        <v>132.2</v>
      </c>
      <c r="J53" s="19">
        <f>IF(ISNUMBER(RU_Raw!J53),RU_Raw!J53,IF(ISNUMBER(RU_Raw!J54),(J52+RU_Raw!J54)/2,IF(ISNUMBER(RU_Raw!J55),J52+(RU_Raw!J55-J52)/3,"")))</f>
        <v>135.4</v>
      </c>
      <c r="K53" s="19">
        <f>IF(ISNUMBER(RU_Raw!K53),RU_Raw!K53,IF(ISNUMBER(RU_Raw!K54),(K52+RU_Raw!K54)/2,IF(ISNUMBER(RU_Raw!K55),K52+(RU_Raw!K55-K52)/3,"")))</f>
        <v>119.1</v>
      </c>
      <c r="L53" s="19">
        <f>IF(ISNUMBER(RU_Raw!L53),RU_Raw!L53,IF(ISNUMBER(RU_Raw!L54),(L52+RU_Raw!L54)/2,IF(ISNUMBER(RU_Raw!L55),L52+(RU_Raw!L55-L52)/3,"")))</f>
        <v>133</v>
      </c>
      <c r="M53" s="19">
        <f>IF(ISNUMBER(RU_Raw!M53),RU_Raw!M53,IF(ISNUMBER(RU_Raw!M54),(M52+RU_Raw!M54)/2,IF(ISNUMBER(RU_Raw!M55),M52+(RU_Raw!M55-M52)/3,"")))</f>
        <v>119.4</v>
      </c>
      <c r="N53" s="19">
        <f>IF(ISNUMBER(RU_Raw!N53),RU_Raw!N53,IF(ISNUMBER(RU_Raw!N54),(N52+RU_Raw!N54)/2,IF(ISNUMBER(RU_Raw!N55),N52+(RU_Raw!N55-N52)/3,"")))</f>
        <v>159.5</v>
      </c>
      <c r="O53" s="19">
        <f>IF(ISNUMBER(RU_Raw!O53),RU_Raw!O53,IF(ISNUMBER(RU_Raw!O54),(O52+RU_Raw!O54)/2,IF(ISNUMBER(RU_Raw!O55),O52+(RU_Raw!O55-O52)/3,"")))</f>
        <v>115.6</v>
      </c>
      <c r="P53" s="19">
        <f>IF(ISNUMBER(RU_Raw!P53),RU_Raw!P53,IF(ISNUMBER(RU_Raw!P54),(P52+RU_Raw!P54)/2,IF(ISNUMBER(RU_Raw!P55),P52+(RU_Raw!P55-P52)/3,"")))</f>
        <v>139.6</v>
      </c>
      <c r="Q53" s="19">
        <f>IF(ISNUMBER(RU_Raw!Q53),RU_Raw!Q53,IF(ISNUMBER(RU_Raw!Q54),(Q52+RU_Raw!Q54)/2,IF(ISNUMBER(RU_Raw!Q55),Q52+(RU_Raw!Q55-Q52)/3,"")))</f>
        <v>126.6</v>
      </c>
      <c r="R53" s="19">
        <f>IF(ISNUMBER(RU_Raw!R53),RU_Raw!R53,IF(ISNUMBER(RU_Raw!R54),(R52+RU_Raw!R54)/2,IF(ISNUMBER(RU_Raw!R55),R52+(RU_Raw!R55-R52)/3,"")))</f>
        <v>142.8</v>
      </c>
      <c r="S53" s="19">
        <f>IF(ISNUMBER(RU_Raw!S53),RU_Raw!S53,IF(ISNUMBER(RU_Raw!S54),(S52+RU_Raw!S54)/2,IF(ISNUMBER(RU_Raw!S55),S52+(RU_Raw!S55-S52)/3,"")))</f>
        <v>133.1</v>
      </c>
      <c r="T53" s="19">
        <f>IF(ISNUMBER(RU_Raw!T53),RU_Raw!T53,IF(ISNUMBER(RU_Raw!T54),(T52+RU_Raw!T54)/2,IF(ISNUMBER(RU_Raw!T55),T52+(RU_Raw!T55-T52)/3,"")))</f>
        <v>143.8</v>
      </c>
      <c r="U53" s="19">
        <f>IF(ISNUMBER(RU_Raw!U53),RU_Raw!U53,IF(ISNUMBER(RU_Raw!U54),(U52+RU_Raw!U54)/2,IF(ISNUMBER(RU_Raw!U55),U52+(RU_Raw!U55-U52)/3,"")))</f>
        <v>136.6</v>
      </c>
      <c r="V53" s="19">
        <f>IF(ISNUMBER(RU_Raw!V53),RU_Raw!V53,IF(ISNUMBER(RU_Raw!V54),(V52+RU_Raw!V54)/2,IF(ISNUMBER(RU_Raw!V55),V52+(RU_Raw!V55-V52)/3,"")))</f>
        <v>130.2</v>
      </c>
      <c r="W53" s="19">
        <f>IF(ISNUMBER(RU_Raw!W53),RU_Raw!W53,IF(ISNUMBER(RU_Raw!W54),(W52+RU_Raw!W54)/2,IF(ISNUMBER(RU_Raw!W55),W52+(RU_Raw!W55-W52)/3,"")))</f>
        <v>135.6</v>
      </c>
      <c r="X53" s="19">
        <f>IF(ISNUMBER(RU_Raw!X53),RU_Raw!X53,IF(ISNUMBER(RU_Raw!X54),(X52+RU_Raw!X54)/2,IF(ISNUMBER(RU_Raw!X55),X52+(RU_Raw!X55-X52)/3,"")))</f>
        <v>129.6</v>
      </c>
      <c r="Y53" s="19">
        <f>IF(ISNUMBER(RU_Raw!Y53),RU_Raw!Y53,IF(ISNUMBER(RU_Raw!Y54),(Y52+RU_Raw!Y54)/2,IF(ISNUMBER(RU_Raw!Y55),Y52+(RU_Raw!Y55-Y52)/3,"")))</f>
        <v>126.8</v>
      </c>
      <c r="Z53" s="19">
        <f>IF(ISNUMBER(RU_Raw!Z53),RU_Raw!Z53,IF(ISNUMBER(RU_Raw!Z54),(Z52+RU_Raw!Z54)/2,IF(ISNUMBER(RU_Raw!Z55),Z52+(RU_Raw!Z55-Z52)/3,"")))</f>
        <v>129.4</v>
      </c>
      <c r="AA53" s="19">
        <f>IF(ISNUMBER(RU_Raw!AA53),RU_Raw!AA53,IF(ISNUMBER(RU_Raw!AA54),(AA52+RU_Raw!AA54)/2,IF(ISNUMBER(RU_Raw!AA55),AA52+(RU_Raw!AA55-AA52)/3,"")))</f>
        <v>127.1</v>
      </c>
      <c r="AB53" s="19">
        <f>IF(ISNUMBER(RU_Raw!AB53),RU_Raw!AB53,IF(ISNUMBER(RU_Raw!AB54),(AB52+RU_Raw!AB54)/2,IF(ISNUMBER(RU_Raw!AB55),AB52+(RU_Raw!AB55-AB52)/3,"")))</f>
        <v>117</v>
      </c>
      <c r="AC53" s="19">
        <f>IF(ISNUMBER(RU_Raw!AC53),RU_Raw!AC53,IF(ISNUMBER(RU_Raw!AC54),(AC52+RU_Raw!AC54)/2,IF(ISNUMBER(RU_Raw!AC55),AC52+(RU_Raw!AC55-AC52)/3,"")))</f>
        <v>124.2</v>
      </c>
      <c r="AD53" s="19">
        <f>IF(ISNUMBER(RU_Raw!AD53),RU_Raw!AD53,IF(ISNUMBER(RU_Raw!AD54),(AD52+RU_Raw!AD54)/2,IF(ISNUMBER(RU_Raw!AD55),AD52+(RU_Raw!AD55-AD52)/3,"")))</f>
        <v>133.3</v>
      </c>
      <c r="AE53" s="19">
        <f>IF(ISNUMBER(RU_Raw!AE53),RU_Raw!AE53,IF(ISNUMBER(RU_Raw!AE54),(AE52+RU_Raw!AE54)/2,IF(ISNUMBER(RU_Raw!AE55),AE52+(RU_Raw!AE55-AE52)/3,"")))</f>
        <v>121.7</v>
      </c>
      <c r="AF53" s="19">
        <f>IF(ISNUMBER(RU_Raw!AF53),RU_Raw!AF53,IF(ISNUMBER(RU_Raw!AF54),(AF52+RU_Raw!AF54)/2,IF(ISNUMBER(RU_Raw!AF55),AF52+(RU_Raw!AF55-AF52)/3,"")))</f>
        <v>124.4</v>
      </c>
      <c r="AG53" s="19">
        <f>IF(ISNUMBER(RU_Raw!AG53),RU_Raw!AG53,IF(ISNUMBER(RU_Raw!AG54),(AG52+RU_Raw!AG54)/2,IF(ISNUMBER(RU_Raw!AG55),AG52+(RU_Raw!AG55-AG52)/3,"")))</f>
        <v>130.3</v>
      </c>
      <c r="AH53" s="19">
        <f t="shared" si="1"/>
        <v>1594.2</v>
      </c>
    </row>
    <row r="54" spans="1:34">
      <c r="A54" s="6">
        <f>RU_Raw!A54</f>
        <v>2017</v>
      </c>
      <c r="B54" s="6">
        <f>RU_Raw!B54</f>
        <v>2</v>
      </c>
      <c r="C54" s="6" t="str">
        <f>RU_Raw!C54</f>
        <v>February</v>
      </c>
      <c r="D54" s="9">
        <f>RU_Raw!D54</f>
        <v>42767</v>
      </c>
      <c r="E54" s="6">
        <f>COUNTBLANK(RU_Raw!G54:AG54)</f>
        <v>0</v>
      </c>
      <c r="F54" s="6" t="str">
        <f t="shared" si="0"/>
        <v/>
      </c>
      <c r="G54" s="19">
        <f>IF(ISNUMBER(RU_Raw!G54),RU_Raw!G54,IF(ISNUMBER(RU_Raw!G55),(G53+RU_Raw!G55)/2,IF(ISNUMBER(RU_Raw!G56),G53+(RU_Raw!G56-G53)/3,"")))</f>
        <v>133.1</v>
      </c>
      <c r="H54" s="19">
        <f>IF(ISNUMBER(RU_Raw!H54),RU_Raw!H54,IF(ISNUMBER(RU_Raw!H55),(H53+RU_Raw!H55)/2,IF(ISNUMBER(RU_Raw!H56),H53+(RU_Raw!H56-H53)/3,"")))</f>
        <v>138.8</v>
      </c>
      <c r="I54" s="19">
        <f>IF(ISNUMBER(RU_Raw!I54),RU_Raw!I54,IF(ISNUMBER(RU_Raw!I55),(I53+RU_Raw!I55)/2,IF(ISNUMBER(RU_Raw!I56),I53+(RU_Raw!I56-I53)/3,"")))</f>
        <v>129.3</v>
      </c>
      <c r="J54" s="19">
        <f>IF(ISNUMBER(RU_Raw!J54),RU_Raw!J54,IF(ISNUMBER(RU_Raw!J55),(J53+RU_Raw!J55)/2,IF(ISNUMBER(RU_Raw!J56),J53+(RU_Raw!J56-J53)/3,"")))</f>
        <v>135.8</v>
      </c>
      <c r="K54" s="19">
        <f>IF(ISNUMBER(RU_Raw!K54),RU_Raw!K54,IF(ISNUMBER(RU_Raw!K55),(K53+RU_Raw!K55)/2,IF(ISNUMBER(RU_Raw!K56),K53+(RU_Raw!K56-K53)/3,"")))</f>
        <v>119.2</v>
      </c>
      <c r="L54" s="19">
        <f>IF(ISNUMBER(RU_Raw!L54),RU_Raw!L54,IF(ISNUMBER(RU_Raw!L55),(L53+RU_Raw!L55)/2,IF(ISNUMBER(RU_Raw!L56),L53+(RU_Raw!L56-L53)/3,"")))</f>
        <v>135.3</v>
      </c>
      <c r="M54" s="19">
        <f>IF(ISNUMBER(RU_Raw!M54),RU_Raw!M54,IF(ISNUMBER(RU_Raw!M55),(M53+RU_Raw!M55)/2,IF(ISNUMBER(RU_Raw!M56),M53+(RU_Raw!M56-M53)/3,"")))</f>
        <v>119.5</v>
      </c>
      <c r="N54" s="19">
        <f>IF(ISNUMBER(RU_Raw!N54),RU_Raw!N54,IF(ISNUMBER(RU_Raw!N55),(N53+RU_Raw!N55)/2,IF(ISNUMBER(RU_Raw!N56),N53+(RU_Raw!N56-N53)/3,"")))</f>
        <v>152.2</v>
      </c>
      <c r="O54" s="19">
        <f>IF(ISNUMBER(RU_Raw!O54),RU_Raw!O54,IF(ISNUMBER(RU_Raw!O55),(O53+RU_Raw!O55)/2,IF(ISNUMBER(RU_Raw!O56),O53+(RU_Raw!O56-O53)/3,"")))</f>
        <v>117.3</v>
      </c>
      <c r="P54" s="19">
        <f>IF(ISNUMBER(RU_Raw!P54),RU_Raw!P54,IF(ISNUMBER(RU_Raw!P55),(P53+RU_Raw!P55)/2,IF(ISNUMBER(RU_Raw!P56),P53+(RU_Raw!P56-P53)/3,"")))</f>
        <v>138.7</v>
      </c>
      <c r="Q54" s="19">
        <f>IF(ISNUMBER(RU_Raw!Q54),RU_Raw!Q54,IF(ISNUMBER(RU_Raw!Q55),(Q53+RU_Raw!Q55)/2,IF(ISNUMBER(RU_Raw!Q56),Q53+(RU_Raw!Q56-Q53)/3,"")))</f>
        <v>126.9</v>
      </c>
      <c r="R54" s="19">
        <f>IF(ISNUMBER(RU_Raw!R54),RU_Raw!R54,IF(ISNUMBER(RU_Raw!R55),(R53+RU_Raw!R55)/2,IF(ISNUMBER(RU_Raw!R56),R53+(RU_Raw!R56-R53)/3,"")))</f>
        <v>143.2</v>
      </c>
      <c r="S54" s="19">
        <f>IF(ISNUMBER(RU_Raw!S54),RU_Raw!S54,IF(ISNUMBER(RU_Raw!S55),(S53+RU_Raw!S55)/2,IF(ISNUMBER(RU_Raw!S56),S53+(RU_Raw!S56-S53)/3,"")))</f>
        <v>133</v>
      </c>
      <c r="T54" s="19">
        <f>IF(ISNUMBER(RU_Raw!T54),RU_Raw!T54,IF(ISNUMBER(RU_Raw!T55),(T53+RU_Raw!T55)/2,IF(ISNUMBER(RU_Raw!T56),T53+(RU_Raw!T56-T53)/3,"")))</f>
        <v>144.4</v>
      </c>
      <c r="U54" s="19">
        <f>IF(ISNUMBER(RU_Raw!U54),RU_Raw!U54,IF(ISNUMBER(RU_Raw!U55),(U53+RU_Raw!U55)/2,IF(ISNUMBER(RU_Raw!U56),U53+(RU_Raw!U56-U53)/3,"")))</f>
        <v>136.8</v>
      </c>
      <c r="V54" s="19">
        <f>IF(ISNUMBER(RU_Raw!V54),RU_Raw!V54,IF(ISNUMBER(RU_Raw!V55),(V53+RU_Raw!V55)/2,IF(ISNUMBER(RU_Raw!V56),V53+(RU_Raw!V56-V53)/3,"")))</f>
        <v>130.3</v>
      </c>
      <c r="W54" s="19">
        <f>IF(ISNUMBER(RU_Raw!W54),RU_Raw!W54,IF(ISNUMBER(RU_Raw!W55),(W53+RU_Raw!W55)/2,IF(ISNUMBER(RU_Raw!W56),W53+(RU_Raw!W56-W53)/3,"")))</f>
        <v>135.9</v>
      </c>
      <c r="X54" s="19">
        <f>IF(ISNUMBER(RU_Raw!X54),RU_Raw!X54,IF(ISNUMBER(RU_Raw!X55),(X53+RU_Raw!X55)/2,IF(ISNUMBER(RU_Raw!X56),X53+(RU_Raw!X56-X53)/3,"")))</f>
        <v>130.5</v>
      </c>
      <c r="Y54" s="19">
        <f>IF(ISNUMBER(RU_Raw!Y54),RU_Raw!Y54,IF(ISNUMBER(RU_Raw!Y55),(Y53+RU_Raw!Y55)/2,IF(ISNUMBER(RU_Raw!Y56),Y53+(RU_Raw!Y56-Y53)/3,"")))</f>
        <v>127.9</v>
      </c>
      <c r="Z54" s="19">
        <f>IF(ISNUMBER(RU_Raw!Z54),RU_Raw!Z54,IF(ISNUMBER(RU_Raw!Z55),(Z53+RU_Raw!Z55)/2,IF(ISNUMBER(RU_Raw!Z56),Z53+(RU_Raw!Z56-Z53)/3,"")))</f>
        <v>129.7</v>
      </c>
      <c r="AA54" s="19">
        <f>IF(ISNUMBER(RU_Raw!AA54),RU_Raw!AA54,IF(ISNUMBER(RU_Raw!AA55),(AA53+RU_Raw!AA55)/2,IF(ISNUMBER(RU_Raw!AA56),AA53+(RU_Raw!AA56-AA53)/3,"")))</f>
        <v>127.4</v>
      </c>
      <c r="AB54" s="19">
        <f>IF(ISNUMBER(RU_Raw!AB54),RU_Raw!AB54,IF(ISNUMBER(RU_Raw!AB55),(AB53+RU_Raw!AB55)/2,IF(ISNUMBER(RU_Raw!AB56),AB53+(RU_Raw!AB56-AB53)/3,"")))</f>
        <v>117.4</v>
      </c>
      <c r="AC54" s="19">
        <f>IF(ISNUMBER(RU_Raw!AC54),RU_Raw!AC54,IF(ISNUMBER(RU_Raw!AC55),(AC53+RU_Raw!AC55)/2,IF(ISNUMBER(RU_Raw!AC56),AC53+(RU_Raw!AC56-AC53)/3,"")))</f>
        <v>124.6</v>
      </c>
      <c r="AD54" s="19">
        <f>IF(ISNUMBER(RU_Raw!AD54),RU_Raw!AD54,IF(ISNUMBER(RU_Raw!AD55),(AD53+RU_Raw!AD55)/2,IF(ISNUMBER(RU_Raw!AD56),AD53+(RU_Raw!AD56-AD53)/3,"")))</f>
        <v>133.4</v>
      </c>
      <c r="AE54" s="19">
        <f>IF(ISNUMBER(RU_Raw!AE54),RU_Raw!AE54,IF(ISNUMBER(RU_Raw!AE55),(AE53+RU_Raw!AE55)/2,IF(ISNUMBER(RU_Raw!AE56),AE53+(RU_Raw!AE56-AE53)/3,"")))</f>
        <v>122.6</v>
      </c>
      <c r="AF54" s="19">
        <f>IF(ISNUMBER(RU_Raw!AF54),RU_Raw!AF54,IF(ISNUMBER(RU_Raw!AF55),(AF53+RU_Raw!AF55)/2,IF(ISNUMBER(RU_Raw!AF56),AF53+(RU_Raw!AF56-AF53)/3,"")))</f>
        <v>124.8</v>
      </c>
      <c r="AG54" s="19">
        <f>IF(ISNUMBER(RU_Raw!AG54),RU_Raw!AG54,IF(ISNUMBER(RU_Raw!AG55),(AG53+RU_Raw!AG55)/2,IF(ISNUMBER(RU_Raw!AG56),AG53+(RU_Raw!AG56-AG53)/3,"")))</f>
        <v>130.6</v>
      </c>
      <c r="AH54" s="19">
        <f t="shared" si="1"/>
        <v>1589.3</v>
      </c>
    </row>
    <row r="55" spans="1:34">
      <c r="A55" s="6">
        <f>RU_Raw!A55</f>
        <v>2017</v>
      </c>
      <c r="B55" s="6">
        <f>RU_Raw!B55</f>
        <v>3</v>
      </c>
      <c r="C55" s="6" t="str">
        <f>RU_Raw!C55</f>
        <v>March</v>
      </c>
      <c r="D55" s="9">
        <f>RU_Raw!D55</f>
        <v>42795</v>
      </c>
      <c r="E55" s="6">
        <f>COUNTBLANK(RU_Raw!G55:AG55)</f>
        <v>0</v>
      </c>
      <c r="F55" s="6" t="str">
        <f t="shared" si="0"/>
        <v/>
      </c>
      <c r="G55" s="19">
        <f>IF(ISNUMBER(RU_Raw!G55),RU_Raw!G55,IF(ISNUMBER(RU_Raw!G56),(G54+RU_Raw!G56)/2,IF(ISNUMBER(RU_Raw!G57),G54+(RU_Raw!G57-G54)/3,"")))</f>
        <v>133.3</v>
      </c>
      <c r="H55" s="19">
        <f>IF(ISNUMBER(RU_Raw!H55),RU_Raw!H55,IF(ISNUMBER(RU_Raw!H56),(H54+RU_Raw!H56)/2,IF(ISNUMBER(RU_Raw!H57),H54+(RU_Raw!H57-H54)/3,"")))</f>
        <v>139</v>
      </c>
      <c r="I55" s="19">
        <f>IF(ISNUMBER(RU_Raw!I55),RU_Raw!I55,IF(ISNUMBER(RU_Raw!I56),(I54+RU_Raw!I56)/2,IF(ISNUMBER(RU_Raw!I57),I54+(RU_Raw!I57-I54)/3,"")))</f>
        <v>128.6</v>
      </c>
      <c r="J55" s="19">
        <f>IF(ISNUMBER(RU_Raw!J55),RU_Raw!J55,IF(ISNUMBER(RU_Raw!J56),(J54+RU_Raw!J56)/2,IF(ISNUMBER(RU_Raw!J57),J54+(RU_Raw!J57-J54)/3,"")))</f>
        <v>136.3</v>
      </c>
      <c r="K55" s="19">
        <f>IF(ISNUMBER(RU_Raw!K55),RU_Raw!K55,IF(ISNUMBER(RU_Raw!K56),(K54+RU_Raw!K56)/2,IF(ISNUMBER(RU_Raw!K57),K54+(RU_Raw!K57-K54)/3,"")))</f>
        <v>118.8</v>
      </c>
      <c r="L55" s="19">
        <f>IF(ISNUMBER(RU_Raw!L55),RU_Raw!L55,IF(ISNUMBER(RU_Raw!L56),(L54+RU_Raw!L56)/2,IF(ISNUMBER(RU_Raw!L57),L54+(RU_Raw!L57-L54)/3,"")))</f>
        <v>138.3</v>
      </c>
      <c r="M55" s="19">
        <f>IF(ISNUMBER(RU_Raw!M55),RU_Raw!M55,IF(ISNUMBER(RU_Raw!M56),(M54+RU_Raw!M56)/2,IF(ISNUMBER(RU_Raw!M57),M54+(RU_Raw!M57-M54)/3,"")))</f>
        <v>120.5</v>
      </c>
      <c r="N55" s="19">
        <f>IF(ISNUMBER(RU_Raw!N55),RU_Raw!N55,IF(ISNUMBER(RU_Raw!N56),(N54+RU_Raw!N56)/2,IF(ISNUMBER(RU_Raw!N57),N54+(RU_Raw!N57-N54)/3,"")))</f>
        <v>143.9</v>
      </c>
      <c r="O55" s="19">
        <f>IF(ISNUMBER(RU_Raw!O55),RU_Raw!O55,IF(ISNUMBER(RU_Raw!O56),(O54+RU_Raw!O56)/2,IF(ISNUMBER(RU_Raw!O57),O54+(RU_Raw!O57-O54)/3,"")))</f>
        <v>118</v>
      </c>
      <c r="P55" s="19">
        <f>IF(ISNUMBER(RU_Raw!P55),RU_Raw!P55,IF(ISNUMBER(RU_Raw!P56),(P54+RU_Raw!P56)/2,IF(ISNUMBER(RU_Raw!P57),P54+(RU_Raw!P57-P54)/3,"")))</f>
        <v>137.9</v>
      </c>
      <c r="Q55" s="19">
        <f>IF(ISNUMBER(RU_Raw!Q55),RU_Raw!Q55,IF(ISNUMBER(RU_Raw!Q56),(Q54+RU_Raw!Q56)/2,IF(ISNUMBER(RU_Raw!Q57),Q54+(RU_Raw!Q57-Q54)/3,"")))</f>
        <v>127.2</v>
      </c>
      <c r="R55" s="19">
        <f>IF(ISNUMBER(RU_Raw!R55),RU_Raw!R55,IF(ISNUMBER(RU_Raw!R56),(R54+RU_Raw!R56)/2,IF(ISNUMBER(RU_Raw!R57),R54+(RU_Raw!R57-R54)/3,"")))</f>
        <v>144</v>
      </c>
      <c r="S55" s="19">
        <f>IF(ISNUMBER(RU_Raw!S55),RU_Raw!S55,IF(ISNUMBER(RU_Raw!S56),(S54+RU_Raw!S56)/2,IF(ISNUMBER(RU_Raw!S57),S54+(RU_Raw!S57-S54)/3,"")))</f>
        <v>133.1</v>
      </c>
      <c r="T55" s="19">
        <f>IF(ISNUMBER(RU_Raw!T55),RU_Raw!T55,IF(ISNUMBER(RU_Raw!T56),(T54+RU_Raw!T56)/2,IF(ISNUMBER(RU_Raw!T57),T54+(RU_Raw!T57-T54)/3,"")))</f>
        <v>145.1</v>
      </c>
      <c r="U55" s="19">
        <f>IF(ISNUMBER(RU_Raw!U55),RU_Raw!U55,IF(ISNUMBER(RU_Raw!U56),(U54+RU_Raw!U56)/2,IF(ISNUMBER(RU_Raw!U57),U54+(RU_Raw!U57-U54)/3,"")))</f>
        <v>137.3</v>
      </c>
      <c r="V55" s="19">
        <f>IF(ISNUMBER(RU_Raw!V55),RU_Raw!V55,IF(ISNUMBER(RU_Raw!V56),(V54+RU_Raw!V56)/2,IF(ISNUMBER(RU_Raw!V57),V54+(RU_Raw!V57-V54)/3,"")))</f>
        <v>130.6</v>
      </c>
      <c r="W55" s="19">
        <f>IF(ISNUMBER(RU_Raw!W55),RU_Raw!W55,IF(ISNUMBER(RU_Raw!W56),(W54+RU_Raw!W56)/2,IF(ISNUMBER(RU_Raw!W57),W54+(RU_Raw!W57-W54)/3,"")))</f>
        <v>136.4</v>
      </c>
      <c r="X55" s="19">
        <f>IF(ISNUMBER(RU_Raw!X55),RU_Raw!X55,IF(ISNUMBER(RU_Raw!X56),(X54+RU_Raw!X56)/2,IF(ISNUMBER(RU_Raw!X57),X54+(RU_Raw!X57-X54)/3,"")))</f>
        <v>131.1</v>
      </c>
      <c r="Y55" s="19">
        <f>IF(ISNUMBER(RU_Raw!Y55),RU_Raw!Y55,IF(ISNUMBER(RU_Raw!Y56),(Y54+RU_Raw!Y56)/2,IF(ISNUMBER(RU_Raw!Y57),Y54+(RU_Raw!Y57-Y54)/3,"")))</f>
        <v>129.1</v>
      </c>
      <c r="Z55" s="19">
        <f>IF(ISNUMBER(RU_Raw!Z55),RU_Raw!Z55,IF(ISNUMBER(RU_Raw!Z56),(Z54+RU_Raw!Z56)/2,IF(ISNUMBER(RU_Raw!Z57),Z54+(RU_Raw!Z57-Z54)/3,"")))</f>
        <v>130.1</v>
      </c>
      <c r="AA55" s="19">
        <f>IF(ISNUMBER(RU_Raw!AA55),RU_Raw!AA55,IF(ISNUMBER(RU_Raw!AA56),(AA54+RU_Raw!AA56)/2,IF(ISNUMBER(RU_Raw!AA57),AA54+(RU_Raw!AA57-AA54)/3,"")))</f>
        <v>127.8</v>
      </c>
      <c r="AB55" s="19">
        <f>IF(ISNUMBER(RU_Raw!AB55),RU_Raw!AB55,IF(ISNUMBER(RU_Raw!AB56),(AB54+RU_Raw!AB56)/2,IF(ISNUMBER(RU_Raw!AB57),AB54+(RU_Raw!AB57-AB54)/3,"")))</f>
        <v>117.6</v>
      </c>
      <c r="AC55" s="19">
        <f>IF(ISNUMBER(RU_Raw!AC55),RU_Raw!AC55,IF(ISNUMBER(RU_Raw!AC56),(AC54+RU_Raw!AC56)/2,IF(ISNUMBER(RU_Raw!AC57),AC54+(RU_Raw!AC57-AC54)/3,"")))</f>
        <v>125</v>
      </c>
      <c r="AD55" s="19">
        <f>IF(ISNUMBER(RU_Raw!AD55),RU_Raw!AD55,IF(ISNUMBER(RU_Raw!AD56),(AD54+RU_Raw!AD56)/2,IF(ISNUMBER(RU_Raw!AD57),AD54+(RU_Raw!AD57-AD54)/3,"")))</f>
        <v>133.8</v>
      </c>
      <c r="AE55" s="19">
        <f>IF(ISNUMBER(RU_Raw!AE55),RU_Raw!AE55,IF(ISNUMBER(RU_Raw!AE56),(AE54+RU_Raw!AE56)/2,IF(ISNUMBER(RU_Raw!AE57),AE54+(RU_Raw!AE57-AE54)/3,"")))</f>
        <v>122.6</v>
      </c>
      <c r="AF55" s="19">
        <f>IF(ISNUMBER(RU_Raw!AF55),RU_Raw!AF55,IF(ISNUMBER(RU_Raw!AF56),(AF54+RU_Raw!AF56)/2,IF(ISNUMBER(RU_Raw!AF57),AF54+(RU_Raw!AF57-AF54)/3,"")))</f>
        <v>125.1</v>
      </c>
      <c r="AG55" s="19">
        <f>IF(ISNUMBER(RU_Raw!AG55),RU_Raw!AG55,IF(ISNUMBER(RU_Raw!AG56),(AG54+RU_Raw!AG56)/2,IF(ISNUMBER(RU_Raw!AG57),AG54+(RU_Raw!AG57-AG54)/3,"")))</f>
        <v>130.9</v>
      </c>
      <c r="AH55" s="19">
        <f t="shared" si="1"/>
        <v>1585.8</v>
      </c>
    </row>
    <row r="56" spans="1:34">
      <c r="A56" s="6">
        <f>RU_Raw!A56</f>
        <v>2017</v>
      </c>
      <c r="B56" s="6">
        <f>RU_Raw!B56</f>
        <v>4</v>
      </c>
      <c r="C56" s="6" t="str">
        <f>RU_Raw!C56</f>
        <v>April</v>
      </c>
      <c r="D56" s="9">
        <f>RU_Raw!D56</f>
        <v>42826</v>
      </c>
      <c r="E56" s="6">
        <f>COUNTBLANK(RU_Raw!G56:AG56)</f>
        <v>0</v>
      </c>
      <c r="F56" s="6" t="str">
        <f t="shared" si="0"/>
        <v/>
      </c>
      <c r="G56" s="19">
        <f>IF(ISNUMBER(RU_Raw!G56),RU_Raw!G56,IF(ISNUMBER(RU_Raw!G57),(G55+RU_Raw!G57)/2,IF(ISNUMBER(RU_Raw!G58),G55+(RU_Raw!G58-G55)/3,"")))</f>
        <v>133</v>
      </c>
      <c r="H56" s="19">
        <f>IF(ISNUMBER(RU_Raw!H56),RU_Raw!H56,IF(ISNUMBER(RU_Raw!H57),(H55+RU_Raw!H57)/2,IF(ISNUMBER(RU_Raw!H58),H55+(RU_Raw!H58-H55)/3,"")))</f>
        <v>139.4</v>
      </c>
      <c r="I56" s="19">
        <f>IF(ISNUMBER(RU_Raw!I56),RU_Raw!I56,IF(ISNUMBER(RU_Raw!I57),(I55+RU_Raw!I57)/2,IF(ISNUMBER(RU_Raw!I58),I55+(RU_Raw!I58-I55)/3,"")))</f>
        <v>126.1</v>
      </c>
      <c r="J56" s="19">
        <f>IF(ISNUMBER(RU_Raw!J56),RU_Raw!J56,IF(ISNUMBER(RU_Raw!J57),(J55+RU_Raw!J57)/2,IF(ISNUMBER(RU_Raw!J58),J55+(RU_Raw!J58-J55)/3,"")))</f>
        <v>137.2</v>
      </c>
      <c r="K56" s="19">
        <f>IF(ISNUMBER(RU_Raw!K56),RU_Raw!K56,IF(ISNUMBER(RU_Raw!K57),(K55+RU_Raw!K57)/2,IF(ISNUMBER(RU_Raw!K58),K55+(RU_Raw!K58-K55)/3,"")))</f>
        <v>118.4</v>
      </c>
      <c r="L56" s="19">
        <f>IF(ISNUMBER(RU_Raw!L56),RU_Raw!L56,IF(ISNUMBER(RU_Raw!L57),(L55+RU_Raw!L57)/2,IF(ISNUMBER(RU_Raw!L58),L55+(RU_Raw!L58-L55)/3,"")))</f>
        <v>139.9</v>
      </c>
      <c r="M56" s="19">
        <f>IF(ISNUMBER(RU_Raw!M56),RU_Raw!M56,IF(ISNUMBER(RU_Raw!M57),(M55+RU_Raw!M57)/2,IF(ISNUMBER(RU_Raw!M58),M55+(RU_Raw!M58-M55)/3,"")))</f>
        <v>123.4</v>
      </c>
      <c r="N56" s="19">
        <f>IF(ISNUMBER(RU_Raw!N56),RU_Raw!N56,IF(ISNUMBER(RU_Raw!N57),(N55+RU_Raw!N57)/2,IF(ISNUMBER(RU_Raw!N58),N55+(RU_Raw!N58-N55)/3,"")))</f>
        <v>140.9</v>
      </c>
      <c r="O56" s="19">
        <f>IF(ISNUMBER(RU_Raw!O56),RU_Raw!O56,IF(ISNUMBER(RU_Raw!O57),(O55+RU_Raw!O57)/2,IF(ISNUMBER(RU_Raw!O58),O55+(RU_Raw!O58-O55)/3,"")))</f>
        <v>118.5</v>
      </c>
      <c r="P56" s="19">
        <f>IF(ISNUMBER(RU_Raw!P56),RU_Raw!P56,IF(ISNUMBER(RU_Raw!P57),(P55+RU_Raw!P57)/2,IF(ISNUMBER(RU_Raw!P58),P55+(RU_Raw!P58-P55)/3,"")))</f>
        <v>136.5</v>
      </c>
      <c r="Q56" s="19">
        <f>IF(ISNUMBER(RU_Raw!Q56),RU_Raw!Q56,IF(ISNUMBER(RU_Raw!Q57),(Q55+RU_Raw!Q57)/2,IF(ISNUMBER(RU_Raw!Q58),Q55+(RU_Raw!Q58-Q55)/3,"")))</f>
        <v>127.4</v>
      </c>
      <c r="R56" s="19">
        <f>IF(ISNUMBER(RU_Raw!R56),RU_Raw!R56,IF(ISNUMBER(RU_Raw!R57),(R55+RU_Raw!R57)/2,IF(ISNUMBER(RU_Raw!R58),R55+(RU_Raw!R58-R55)/3,"")))</f>
        <v>144.2</v>
      </c>
      <c r="S56" s="19">
        <f>IF(ISNUMBER(RU_Raw!S56),RU_Raw!S56,IF(ISNUMBER(RU_Raw!S57),(S55+RU_Raw!S57)/2,IF(ISNUMBER(RU_Raw!S58),S55+(RU_Raw!S58-S55)/3,"")))</f>
        <v>133.5</v>
      </c>
      <c r="T56" s="19">
        <f>IF(ISNUMBER(RU_Raw!T56),RU_Raw!T56,IF(ISNUMBER(RU_Raw!T57),(T55+RU_Raw!T57)/2,IF(ISNUMBER(RU_Raw!T58),T55+(RU_Raw!T58-T55)/3,"")))</f>
        <v>145.4</v>
      </c>
      <c r="U56" s="19">
        <f>IF(ISNUMBER(RU_Raw!U56),RU_Raw!U56,IF(ISNUMBER(RU_Raw!U57),(U55+RU_Raw!U57)/2,IF(ISNUMBER(RU_Raw!U58),U55+(RU_Raw!U58-U55)/3,"")))</f>
        <v>138</v>
      </c>
      <c r="V56" s="19">
        <f>IF(ISNUMBER(RU_Raw!V56),RU_Raw!V56,IF(ISNUMBER(RU_Raw!V57),(V55+RU_Raw!V57)/2,IF(ISNUMBER(RU_Raw!V58),V55+(RU_Raw!V58-V55)/3,"")))</f>
        <v>131.1</v>
      </c>
      <c r="W56" s="19">
        <f>IF(ISNUMBER(RU_Raw!W56),RU_Raw!W56,IF(ISNUMBER(RU_Raw!W57),(W55+RU_Raw!W57)/2,IF(ISNUMBER(RU_Raw!W58),W55+(RU_Raw!W58-W55)/3,"")))</f>
        <v>137</v>
      </c>
      <c r="X56" s="19">
        <f>IF(ISNUMBER(RU_Raw!X56),RU_Raw!X56,IF(ISNUMBER(RU_Raw!X57),(X55+RU_Raw!X57)/2,IF(ISNUMBER(RU_Raw!X58),X55+(RU_Raw!X58-X55)/3,"")))</f>
        <v>131.7</v>
      </c>
      <c r="Y56" s="19">
        <f>IF(ISNUMBER(RU_Raw!Y56),RU_Raw!Y56,IF(ISNUMBER(RU_Raw!Y57),(Y55+RU_Raw!Y57)/2,IF(ISNUMBER(RU_Raw!Y58),Y55+(RU_Raw!Y58-Y55)/3,"")))</f>
        <v>129.8</v>
      </c>
      <c r="Z56" s="19">
        <f>IF(ISNUMBER(RU_Raw!Z56),RU_Raw!Z56,IF(ISNUMBER(RU_Raw!Z57),(Z55+RU_Raw!Z57)/2,IF(ISNUMBER(RU_Raw!Z58),Z55+(RU_Raw!Z58-Z55)/3,"")))</f>
        <v>130.4</v>
      </c>
      <c r="AA56" s="19">
        <f>IF(ISNUMBER(RU_Raw!AA56),RU_Raw!AA56,IF(ISNUMBER(RU_Raw!AA57),(AA55+RU_Raw!AA57)/2,IF(ISNUMBER(RU_Raw!AA58),AA55+(RU_Raw!AA58-AA55)/3,"")))</f>
        <v>128.1</v>
      </c>
      <c r="AB56" s="19">
        <f>IF(ISNUMBER(RU_Raw!AB56),RU_Raw!AB56,IF(ISNUMBER(RU_Raw!AB57),(AB55+RU_Raw!AB57)/2,IF(ISNUMBER(RU_Raw!AB58),AB55+(RU_Raw!AB58-AB55)/3,"")))</f>
        <v>116.6</v>
      </c>
      <c r="AC56" s="19">
        <f>IF(ISNUMBER(RU_Raw!AC56),RU_Raw!AC56,IF(ISNUMBER(RU_Raw!AC57),(AC55+RU_Raw!AC57)/2,IF(ISNUMBER(RU_Raw!AC58),AC55+(RU_Raw!AC58-AC55)/3,"")))</f>
        <v>125.1</v>
      </c>
      <c r="AD56" s="19">
        <f>IF(ISNUMBER(RU_Raw!AD56),RU_Raw!AD56,IF(ISNUMBER(RU_Raw!AD57),(AD55+RU_Raw!AD57)/2,IF(ISNUMBER(RU_Raw!AD58),AD55+(RU_Raw!AD58-AD55)/3,"")))</f>
        <v>134.5</v>
      </c>
      <c r="AE56" s="19">
        <f>IF(ISNUMBER(RU_Raw!AE56),RU_Raw!AE56,IF(ISNUMBER(RU_Raw!AE57),(AE55+RU_Raw!AE57)/2,IF(ISNUMBER(RU_Raw!AE58),AE55+(RU_Raw!AE58-AE55)/3,"")))</f>
        <v>123.1</v>
      </c>
      <c r="AF56" s="19">
        <f>IF(ISNUMBER(RU_Raw!AF56),RU_Raw!AF56,IF(ISNUMBER(RU_Raw!AF57),(AF55+RU_Raw!AF57)/2,IF(ISNUMBER(RU_Raw!AF58),AF55+(RU_Raw!AF58-AF55)/3,"")))</f>
        <v>125.1</v>
      </c>
      <c r="AG56" s="19">
        <f>IF(ISNUMBER(RU_Raw!AG56),RU_Raw!AG56,IF(ISNUMBER(RU_Raw!AG57),(AG55+RU_Raw!AG57)/2,IF(ISNUMBER(RU_Raw!AG58),AG55+(RU_Raw!AG58-AG55)/3,"")))</f>
        <v>131.1</v>
      </c>
      <c r="AH56" s="19">
        <f t="shared" si="1"/>
        <v>1584.9</v>
      </c>
    </row>
    <row r="57" spans="1:34">
      <c r="A57" s="6">
        <f>RU_Raw!A57</f>
        <v>2017</v>
      </c>
      <c r="B57" s="6">
        <f>RU_Raw!B57</f>
        <v>5</v>
      </c>
      <c r="C57" s="6" t="str">
        <f>RU_Raw!C57</f>
        <v>May</v>
      </c>
      <c r="D57" s="9">
        <f>RU_Raw!D57</f>
        <v>42856</v>
      </c>
      <c r="E57" s="6">
        <f>COUNTBLANK(RU_Raw!G57:AG57)</f>
        <v>0</v>
      </c>
      <c r="F57" s="6" t="str">
        <f t="shared" si="0"/>
        <v/>
      </c>
      <c r="G57" s="19">
        <f>IF(ISNUMBER(RU_Raw!G57),RU_Raw!G57,IF(ISNUMBER(RU_Raw!G58),(G56+RU_Raw!G58)/2,IF(ISNUMBER(RU_Raw!G59),G56+(RU_Raw!G59-G56)/3,"")))</f>
        <v>132.9</v>
      </c>
      <c r="H57" s="19">
        <f>IF(ISNUMBER(RU_Raw!H57),RU_Raw!H57,IF(ISNUMBER(RU_Raw!H58),(H56+RU_Raw!H58)/2,IF(ISNUMBER(RU_Raw!H59),H56+(RU_Raw!H59-H56)/3,"")))</f>
        <v>141.6</v>
      </c>
      <c r="I57" s="19">
        <f>IF(ISNUMBER(RU_Raw!I57),RU_Raw!I57,IF(ISNUMBER(RU_Raw!I58),(I56+RU_Raw!I58)/2,IF(ISNUMBER(RU_Raw!I59),I56+(RU_Raw!I59-I56)/3,"")))</f>
        <v>126.3</v>
      </c>
      <c r="J57" s="19">
        <f>IF(ISNUMBER(RU_Raw!J57),RU_Raw!J57,IF(ISNUMBER(RU_Raw!J58),(J56+RU_Raw!J58)/2,IF(ISNUMBER(RU_Raw!J59),J56+(RU_Raw!J59-J56)/3,"")))</f>
        <v>137.7</v>
      </c>
      <c r="K57" s="19">
        <f>IF(ISNUMBER(RU_Raw!K57),RU_Raw!K57,IF(ISNUMBER(RU_Raw!K58),(K56+RU_Raw!K58)/2,IF(ISNUMBER(RU_Raw!K59),K56+(RU_Raw!K59-K56)/3,"")))</f>
        <v>118.1</v>
      </c>
      <c r="L57" s="19">
        <f>IF(ISNUMBER(RU_Raw!L57),RU_Raw!L57,IF(ISNUMBER(RU_Raw!L58),(L56+RU_Raw!L58)/2,IF(ISNUMBER(RU_Raw!L59),L56+(RU_Raw!L59-L56)/3,"")))</f>
        <v>137.9</v>
      </c>
      <c r="M57" s="19">
        <f>IF(ISNUMBER(RU_Raw!M57),RU_Raw!M57,IF(ISNUMBER(RU_Raw!M58),(M56+RU_Raw!M58)/2,IF(ISNUMBER(RU_Raw!M59),M56+(RU_Raw!M59-M56)/3,"")))</f>
        <v>125.6</v>
      </c>
      <c r="N57" s="19">
        <f>IF(ISNUMBER(RU_Raw!N57),RU_Raw!N57,IF(ISNUMBER(RU_Raw!N58),(N56+RU_Raw!N58)/2,IF(ISNUMBER(RU_Raw!N59),N56+(RU_Raw!N59-N56)/3,"")))</f>
        <v>138.3</v>
      </c>
      <c r="O57" s="19">
        <f>IF(ISNUMBER(RU_Raw!O57),RU_Raw!O57,IF(ISNUMBER(RU_Raw!O58),(O56+RU_Raw!O58)/2,IF(ISNUMBER(RU_Raw!O59),O56+(RU_Raw!O59-O56)/3,"")))</f>
        <v>119.4</v>
      </c>
      <c r="P57" s="19">
        <f>IF(ISNUMBER(RU_Raw!P57),RU_Raw!P57,IF(ISNUMBER(RU_Raw!P58),(P56+RU_Raw!P58)/2,IF(ISNUMBER(RU_Raw!P59),P56+(RU_Raw!P59-P56)/3,"")))</f>
        <v>136</v>
      </c>
      <c r="Q57" s="19">
        <f>IF(ISNUMBER(RU_Raw!Q57),RU_Raw!Q57,IF(ISNUMBER(RU_Raw!Q58),(Q56+RU_Raw!Q58)/2,IF(ISNUMBER(RU_Raw!Q59),Q56+(RU_Raw!Q59-Q56)/3,"")))</f>
        <v>127.6</v>
      </c>
      <c r="R57" s="19">
        <f>IF(ISNUMBER(RU_Raw!R57),RU_Raw!R57,IF(ISNUMBER(RU_Raw!R58),(R56+RU_Raw!R58)/2,IF(ISNUMBER(RU_Raw!R59),R56+(RU_Raw!R59-R56)/3,"")))</f>
        <v>144.5</v>
      </c>
      <c r="S57" s="19">
        <f>IF(ISNUMBER(RU_Raw!S57),RU_Raw!S57,IF(ISNUMBER(RU_Raw!S58),(S56+RU_Raw!S58)/2,IF(ISNUMBER(RU_Raw!S59),S56+(RU_Raw!S59-S56)/3,"")))</f>
        <v>133.7</v>
      </c>
      <c r="T57" s="19">
        <f>IF(ISNUMBER(RU_Raw!T57),RU_Raw!T57,IF(ISNUMBER(RU_Raw!T58),(T56+RU_Raw!T58)/2,IF(ISNUMBER(RU_Raw!T59),T56+(RU_Raw!T59-T56)/3,"")))</f>
        <v>146.2</v>
      </c>
      <c r="U57" s="19">
        <f>IF(ISNUMBER(RU_Raw!U57),RU_Raw!U57,IF(ISNUMBER(RU_Raw!U58),(U56+RU_Raw!U58)/2,IF(ISNUMBER(RU_Raw!U59),U56+(RU_Raw!U59-U56)/3,"")))</f>
        <v>138.2</v>
      </c>
      <c r="V57" s="19">
        <f>IF(ISNUMBER(RU_Raw!V57),RU_Raw!V57,IF(ISNUMBER(RU_Raw!V58),(V56+RU_Raw!V58)/2,IF(ISNUMBER(RU_Raw!V59),V56+(RU_Raw!V59-V56)/3,"")))</f>
        <v>131.4</v>
      </c>
      <c r="W57" s="19">
        <f>IF(ISNUMBER(RU_Raw!W57),RU_Raw!W57,IF(ISNUMBER(RU_Raw!W58),(W56+RU_Raw!W58)/2,IF(ISNUMBER(RU_Raw!W59),W56+(RU_Raw!W59-W56)/3,"")))</f>
        <v>137.2</v>
      </c>
      <c r="X57" s="19">
        <f>IF(ISNUMBER(RU_Raw!X57),RU_Raw!X57,IF(ISNUMBER(RU_Raw!X58),(X56+RU_Raw!X58)/2,IF(ISNUMBER(RU_Raw!X59),X56+(RU_Raw!X59-X56)/3,"")))</f>
        <v>132.1</v>
      </c>
      <c r="Y57" s="19">
        <f>IF(ISNUMBER(RU_Raw!Y57),RU_Raw!Y57,IF(ISNUMBER(RU_Raw!Y58),(Y56+RU_Raw!Y58)/2,IF(ISNUMBER(RU_Raw!Y59),Y56+(RU_Raw!Y59-Y56)/3,"")))</f>
        <v>129.4</v>
      </c>
      <c r="Z57" s="19">
        <f>IF(ISNUMBER(RU_Raw!Z57),RU_Raw!Z57,IF(ISNUMBER(RU_Raw!Z58),(Z56+RU_Raw!Z58)/2,IF(ISNUMBER(RU_Raw!Z59),Z56+(RU_Raw!Z59-Z56)/3,"")))</f>
        <v>130.9</v>
      </c>
      <c r="AA57" s="19">
        <f>IF(ISNUMBER(RU_Raw!AA57),RU_Raw!AA57,IF(ISNUMBER(RU_Raw!AA58),(AA56+RU_Raw!AA58)/2,IF(ISNUMBER(RU_Raw!AA59),AA56+(RU_Raw!AA59-AA56)/3,"")))</f>
        <v>128.4</v>
      </c>
      <c r="AB57" s="19">
        <f>IF(ISNUMBER(RU_Raw!AB57),RU_Raw!AB57,IF(ISNUMBER(RU_Raw!AB58),(AB56+RU_Raw!AB58)/2,IF(ISNUMBER(RU_Raw!AB59),AB56+(RU_Raw!AB59-AB56)/3,"")))</f>
        <v>116.7</v>
      </c>
      <c r="AC57" s="19">
        <f>IF(ISNUMBER(RU_Raw!AC57),RU_Raw!AC57,IF(ISNUMBER(RU_Raw!AC58),(AC56+RU_Raw!AC58)/2,IF(ISNUMBER(RU_Raw!AC59),AC56+(RU_Raw!AC59-AC56)/3,"")))</f>
        <v>125.7</v>
      </c>
      <c r="AD57" s="19">
        <f>IF(ISNUMBER(RU_Raw!AD57),RU_Raw!AD57,IF(ISNUMBER(RU_Raw!AD58),(AD56+RU_Raw!AD58)/2,IF(ISNUMBER(RU_Raw!AD59),AD56+(RU_Raw!AD59-AD56)/3,"")))</f>
        <v>134.8</v>
      </c>
      <c r="AE57" s="19">
        <f>IF(ISNUMBER(RU_Raw!AE57),RU_Raw!AE57,IF(ISNUMBER(RU_Raw!AE58),(AE56+RU_Raw!AE58)/2,IF(ISNUMBER(RU_Raw!AE59),AE56+(RU_Raw!AE59-AE56)/3,"")))</f>
        <v>123</v>
      </c>
      <c r="AF57" s="19">
        <f>IF(ISNUMBER(RU_Raw!AF57),RU_Raw!AF57,IF(ISNUMBER(RU_Raw!AF58),(AF56+RU_Raw!AF58)/2,IF(ISNUMBER(RU_Raw!AF59),AF56+(RU_Raw!AF59-AF56)/3,"")))</f>
        <v>125.3</v>
      </c>
      <c r="AG57" s="19">
        <f>IF(ISNUMBER(RU_Raw!AG57),RU_Raw!AG57,IF(ISNUMBER(RU_Raw!AG58),(AG56+RU_Raw!AG58)/2,IF(ISNUMBER(RU_Raw!AG59),AG56+(RU_Raw!AG59-AG56)/3,"")))</f>
        <v>131.4</v>
      </c>
      <c r="AH57" s="19">
        <f t="shared" si="1"/>
        <v>1585.9</v>
      </c>
    </row>
    <row r="58" spans="1:34">
      <c r="A58" s="6">
        <f>RU_Raw!A58</f>
        <v>2017</v>
      </c>
      <c r="B58" s="6">
        <f>RU_Raw!B58</f>
        <v>6</v>
      </c>
      <c r="C58" s="6" t="str">
        <f>RU_Raw!C58</f>
        <v>June</v>
      </c>
      <c r="D58" s="9">
        <f>RU_Raw!D58</f>
        <v>42887</v>
      </c>
      <c r="E58" s="6">
        <f>COUNTBLANK(RU_Raw!G58:AG58)</f>
        <v>0</v>
      </c>
      <c r="F58" s="6" t="str">
        <f t="shared" si="0"/>
        <v/>
      </c>
      <c r="G58" s="19">
        <f>IF(ISNUMBER(RU_Raw!G58),RU_Raw!G58,IF(ISNUMBER(RU_Raw!G59),(G57+RU_Raw!G59)/2,IF(ISNUMBER(RU_Raw!G60),G57+(RU_Raw!G60-G57)/3,"")))</f>
        <v>133.3</v>
      </c>
      <c r="H58" s="19">
        <f>IF(ISNUMBER(RU_Raw!H58),RU_Raw!H58,IF(ISNUMBER(RU_Raw!H59),(H57+RU_Raw!H59)/2,IF(ISNUMBER(RU_Raw!H60),H57+(RU_Raw!H60-H57)/3,"")))</f>
        <v>145.5</v>
      </c>
      <c r="I58" s="19">
        <f>IF(ISNUMBER(RU_Raw!I58),RU_Raw!I58,IF(ISNUMBER(RU_Raw!I59),(I57+RU_Raw!I59)/2,IF(ISNUMBER(RU_Raw!I60),I57+(RU_Raw!I60-I57)/3,"")))</f>
        <v>128.1</v>
      </c>
      <c r="J58" s="19">
        <f>IF(ISNUMBER(RU_Raw!J58),RU_Raw!J58,IF(ISNUMBER(RU_Raw!J59),(J57+RU_Raw!J59)/2,IF(ISNUMBER(RU_Raw!J60),J57+(RU_Raw!J60-J57)/3,"")))</f>
        <v>138.1</v>
      </c>
      <c r="K58" s="19">
        <f>IF(ISNUMBER(RU_Raw!K58),RU_Raw!K58,IF(ISNUMBER(RU_Raw!K59),(K57+RU_Raw!K59)/2,IF(ISNUMBER(RU_Raw!K60),K57+(RU_Raw!K60-K57)/3,"")))</f>
        <v>118.2</v>
      </c>
      <c r="L58" s="19">
        <f>IF(ISNUMBER(RU_Raw!L58),RU_Raw!L58,IF(ISNUMBER(RU_Raw!L59),(L57+RU_Raw!L59)/2,IF(ISNUMBER(RU_Raw!L60),L57+(RU_Raw!L60-L57)/3,"")))</f>
        <v>139.2</v>
      </c>
      <c r="M58" s="19">
        <f>IF(ISNUMBER(RU_Raw!M58),RU_Raw!M58,IF(ISNUMBER(RU_Raw!M59),(M57+RU_Raw!M59)/2,IF(ISNUMBER(RU_Raw!M60),M57+(RU_Raw!M60-M57)/3,"")))</f>
        <v>133.3</v>
      </c>
      <c r="N58" s="19">
        <f>IF(ISNUMBER(RU_Raw!N58),RU_Raw!N58,IF(ISNUMBER(RU_Raw!N59),(N57+RU_Raw!N59)/2,IF(ISNUMBER(RU_Raw!N60),N57+(RU_Raw!N60-N57)/3,"")))</f>
        <v>136.2</v>
      </c>
      <c r="O58" s="19">
        <f>IF(ISNUMBER(RU_Raw!O58),RU_Raw!O58,IF(ISNUMBER(RU_Raw!O59),(O57+RU_Raw!O59)/2,IF(ISNUMBER(RU_Raw!O60),O57+(RU_Raw!O60-O57)/3,"")))</f>
        <v>119.6</v>
      </c>
      <c r="P58" s="19">
        <f>IF(ISNUMBER(RU_Raw!P58),RU_Raw!P58,IF(ISNUMBER(RU_Raw!P59),(P57+RU_Raw!P59)/2,IF(ISNUMBER(RU_Raw!P60),P57+(RU_Raw!P60-P57)/3,"")))</f>
        <v>135.3</v>
      </c>
      <c r="Q58" s="19">
        <f>IF(ISNUMBER(RU_Raw!Q58),RU_Raw!Q58,IF(ISNUMBER(RU_Raw!Q59),(Q57+RU_Raw!Q59)/2,IF(ISNUMBER(RU_Raw!Q60),Q57+(RU_Raw!Q60-Q57)/3,"")))</f>
        <v>127.8</v>
      </c>
      <c r="R58" s="19">
        <f>IF(ISNUMBER(RU_Raw!R58),RU_Raw!R58,IF(ISNUMBER(RU_Raw!R59),(R57+RU_Raw!R59)/2,IF(ISNUMBER(RU_Raw!R60),R57+(RU_Raw!R60-R57)/3,"")))</f>
        <v>144.9</v>
      </c>
      <c r="S58" s="19">
        <f>IF(ISNUMBER(RU_Raw!S58),RU_Raw!S58,IF(ISNUMBER(RU_Raw!S59),(S57+RU_Raw!S59)/2,IF(ISNUMBER(RU_Raw!S60),S57+(RU_Raw!S60-S57)/3,"")))</f>
        <v>135.2</v>
      </c>
      <c r="T58" s="19">
        <f>IF(ISNUMBER(RU_Raw!T58),RU_Raw!T58,IF(ISNUMBER(RU_Raw!T59),(T57+RU_Raw!T59)/2,IF(ISNUMBER(RU_Raw!T60),T57+(RU_Raw!T60-T57)/3,"")))</f>
        <v>146.5</v>
      </c>
      <c r="U58" s="19">
        <f>IF(ISNUMBER(RU_Raw!U58),RU_Raw!U58,IF(ISNUMBER(RU_Raw!U59),(U57+RU_Raw!U59)/2,IF(ISNUMBER(RU_Raw!U60),U57+(RU_Raw!U60-U57)/3,"")))</f>
        <v>138.5</v>
      </c>
      <c r="V58" s="19">
        <f>IF(ISNUMBER(RU_Raw!V58),RU_Raw!V58,IF(ISNUMBER(RU_Raw!V59),(V57+RU_Raw!V59)/2,IF(ISNUMBER(RU_Raw!V60),V57+(RU_Raw!V60-V57)/3,"")))</f>
        <v>131.7</v>
      </c>
      <c r="W58" s="19">
        <f>IF(ISNUMBER(RU_Raw!W58),RU_Raw!W58,IF(ISNUMBER(RU_Raw!W59),(W57+RU_Raw!W59)/2,IF(ISNUMBER(RU_Raw!W60),W57+(RU_Raw!W60-W57)/3,"")))</f>
        <v>137.5</v>
      </c>
      <c r="X58" s="19">
        <f>IF(ISNUMBER(RU_Raw!X58),RU_Raw!X58,IF(ISNUMBER(RU_Raw!X59),(X57+RU_Raw!X59)/2,IF(ISNUMBER(RU_Raw!X60),X57+(RU_Raw!X60-X57)/3,"")))</f>
        <v>131.4</v>
      </c>
      <c r="Y58" s="19">
        <f>IF(ISNUMBER(RU_Raw!Y58),RU_Raw!Y58,IF(ISNUMBER(RU_Raw!Y59),(Y57+RU_Raw!Y59)/2,IF(ISNUMBER(RU_Raw!Y60),Y57+(RU_Raw!Y60-Y57)/3,"")))</f>
        <v>128.8</v>
      </c>
      <c r="Z58" s="19">
        <f>IF(ISNUMBER(RU_Raw!Z58),RU_Raw!Z58,IF(ISNUMBER(RU_Raw!Z59),(Z57+RU_Raw!Z59)/2,IF(ISNUMBER(RU_Raw!Z60),Z57+(RU_Raw!Z60-Z57)/3,"")))</f>
        <v>131.2</v>
      </c>
      <c r="AA58" s="19">
        <f>IF(ISNUMBER(RU_Raw!AA58),RU_Raw!AA58,IF(ISNUMBER(RU_Raw!AA59),(AA57+RU_Raw!AA59)/2,IF(ISNUMBER(RU_Raw!AA60),AA57+(RU_Raw!AA60-AA57)/3,"")))</f>
        <v>128.5</v>
      </c>
      <c r="AB58" s="19">
        <f>IF(ISNUMBER(RU_Raw!AB58),RU_Raw!AB58,IF(ISNUMBER(RU_Raw!AB59),(AB57+RU_Raw!AB59)/2,IF(ISNUMBER(RU_Raw!AB60),AB57+(RU_Raw!AB60-AB57)/3,"")))</f>
        <v>116.5</v>
      </c>
      <c r="AC58" s="19">
        <f>IF(ISNUMBER(RU_Raw!AC58),RU_Raw!AC58,IF(ISNUMBER(RU_Raw!AC59),(AC57+RU_Raw!AC59)/2,IF(ISNUMBER(RU_Raw!AC60),AC57+(RU_Raw!AC60-AC57)/3,"")))</f>
        <v>125.9</v>
      </c>
      <c r="AD58" s="19">
        <f>IF(ISNUMBER(RU_Raw!AD58),RU_Raw!AD58,IF(ISNUMBER(RU_Raw!AD59),(AD57+RU_Raw!AD59)/2,IF(ISNUMBER(RU_Raw!AD60),AD57+(RU_Raw!AD60-AD57)/3,"")))</f>
        <v>135.4</v>
      </c>
      <c r="AE58" s="19">
        <f>IF(ISNUMBER(RU_Raw!AE58),RU_Raw!AE58,IF(ISNUMBER(RU_Raw!AE59),(AE57+RU_Raw!AE59)/2,IF(ISNUMBER(RU_Raw!AE60),AE57+(RU_Raw!AE60-AE57)/3,"")))</f>
        <v>123.4</v>
      </c>
      <c r="AF58" s="19">
        <f>IF(ISNUMBER(RU_Raw!AF58),RU_Raw!AF58,IF(ISNUMBER(RU_Raw!AF59),(AF57+RU_Raw!AF59)/2,IF(ISNUMBER(RU_Raw!AF60),AF57+(RU_Raw!AF60-AF57)/3,"")))</f>
        <v>125.5</v>
      </c>
      <c r="AG58" s="19">
        <f>IF(ISNUMBER(RU_Raw!AG58),RU_Raw!AG58,IF(ISNUMBER(RU_Raw!AG59),(AG57+RU_Raw!AG59)/2,IF(ISNUMBER(RU_Raw!AG60),AG57+(RU_Raw!AG60-AG57)/3,"")))</f>
        <v>132</v>
      </c>
      <c r="AH58" s="19">
        <f t="shared" si="1"/>
        <v>1599.5</v>
      </c>
    </row>
    <row r="59" spans="1:34">
      <c r="A59" s="6">
        <f>RU_Raw!A59</f>
        <v>2017</v>
      </c>
      <c r="B59" s="6">
        <f>RU_Raw!B59</f>
        <v>7</v>
      </c>
      <c r="C59" s="6" t="str">
        <f>RU_Raw!C59</f>
        <v>July</v>
      </c>
      <c r="D59" s="9">
        <f>RU_Raw!D59</f>
        <v>42917</v>
      </c>
      <c r="E59" s="6">
        <f>COUNTBLANK(RU_Raw!G59:AG59)</f>
        <v>0</v>
      </c>
      <c r="F59" s="6" t="str">
        <f t="shared" si="0"/>
        <v/>
      </c>
      <c r="G59" s="19">
        <f>IF(ISNUMBER(RU_Raw!G59),RU_Raw!G59,IF(ISNUMBER(RU_Raw!G60),(G58+RU_Raw!G60)/2,IF(ISNUMBER(RU_Raw!G61),G58+(RU_Raw!G61-G58)/3,"")))</f>
        <v>133.6</v>
      </c>
      <c r="H59" s="19">
        <f>IF(ISNUMBER(RU_Raw!H59),RU_Raw!H59,IF(ISNUMBER(RU_Raw!H60),(H58+RU_Raw!H60)/2,IF(ISNUMBER(RU_Raw!H61),H58+(RU_Raw!H61-H58)/3,"")))</f>
        <v>145.7</v>
      </c>
      <c r="I59" s="19">
        <f>IF(ISNUMBER(RU_Raw!I59),RU_Raw!I59,IF(ISNUMBER(RU_Raw!I60),(I58+RU_Raw!I60)/2,IF(ISNUMBER(RU_Raw!I61),I58+(RU_Raw!I61-I58)/3,"")))</f>
        <v>129.6</v>
      </c>
      <c r="J59" s="19">
        <f>IF(ISNUMBER(RU_Raw!J59),RU_Raw!J59,IF(ISNUMBER(RU_Raw!J60),(J58+RU_Raw!J60)/2,IF(ISNUMBER(RU_Raw!J61),J58+(RU_Raw!J61-J58)/3,"")))</f>
        <v>138.5</v>
      </c>
      <c r="K59" s="19">
        <f>IF(ISNUMBER(RU_Raw!K59),RU_Raw!K59,IF(ISNUMBER(RU_Raw!K60),(K58+RU_Raw!K60)/2,IF(ISNUMBER(RU_Raw!K61),K58+(RU_Raw!K61-K58)/3,"")))</f>
        <v>118.1</v>
      </c>
      <c r="L59" s="19">
        <f>IF(ISNUMBER(RU_Raw!L59),RU_Raw!L59,IF(ISNUMBER(RU_Raw!L60),(L58+RU_Raw!L60)/2,IF(ISNUMBER(RU_Raw!L61),L58+(RU_Raw!L61-L58)/3,"")))</f>
        <v>141.8</v>
      </c>
      <c r="M59" s="19">
        <f>IF(ISNUMBER(RU_Raw!M59),RU_Raw!M59,IF(ISNUMBER(RU_Raw!M60),(M58+RU_Raw!M60)/2,IF(ISNUMBER(RU_Raw!M61),M58+(RU_Raw!M61-M58)/3,"")))</f>
        <v>159.5</v>
      </c>
      <c r="N59" s="19">
        <f>IF(ISNUMBER(RU_Raw!N59),RU_Raw!N59,IF(ISNUMBER(RU_Raw!N60),(N58+RU_Raw!N60)/2,IF(ISNUMBER(RU_Raw!N61),N58+(RU_Raw!N61-N58)/3,"")))</f>
        <v>133.6</v>
      </c>
      <c r="O59" s="19">
        <f>IF(ISNUMBER(RU_Raw!O59),RU_Raw!O59,IF(ISNUMBER(RU_Raw!O60),(O58+RU_Raw!O60)/2,IF(ISNUMBER(RU_Raw!O61),O58+(RU_Raw!O61-O58)/3,"")))</f>
        <v>120.5</v>
      </c>
      <c r="P59" s="19">
        <f>IF(ISNUMBER(RU_Raw!P59),RU_Raw!P59,IF(ISNUMBER(RU_Raw!P60),(P58+RU_Raw!P60)/2,IF(ISNUMBER(RU_Raw!P61),P58+(RU_Raw!P61-P58)/3,"")))</f>
        <v>135.2</v>
      </c>
      <c r="Q59" s="19">
        <f>IF(ISNUMBER(RU_Raw!Q59),RU_Raw!Q59,IF(ISNUMBER(RU_Raw!Q60),(Q58+RU_Raw!Q60)/2,IF(ISNUMBER(RU_Raw!Q61),Q58+(RU_Raw!Q61-Q58)/3,"")))</f>
        <v>128.5</v>
      </c>
      <c r="R59" s="19">
        <f>IF(ISNUMBER(RU_Raw!R59),RU_Raw!R59,IF(ISNUMBER(RU_Raw!R60),(R58+RU_Raw!R60)/2,IF(ISNUMBER(RU_Raw!R61),R58+(RU_Raw!R61-R58)/3,"")))</f>
        <v>145.8</v>
      </c>
      <c r="S59" s="19">
        <f>IF(ISNUMBER(RU_Raw!S59),RU_Raw!S59,IF(ISNUMBER(RU_Raw!S60),(S58+RU_Raw!S60)/2,IF(ISNUMBER(RU_Raw!S61),S58+(RU_Raw!S61-S58)/3,"")))</f>
        <v>139</v>
      </c>
      <c r="T59" s="19">
        <f>IF(ISNUMBER(RU_Raw!T59),RU_Raw!T59,IF(ISNUMBER(RU_Raw!T60),(T58+RU_Raw!T60)/2,IF(ISNUMBER(RU_Raw!T61),T58+(RU_Raw!T61-T58)/3,"")))</f>
        <v>148.2</v>
      </c>
      <c r="U59" s="19">
        <f>IF(ISNUMBER(RU_Raw!U59),RU_Raw!U59,IF(ISNUMBER(RU_Raw!U60),(U58+RU_Raw!U60)/2,IF(ISNUMBER(RU_Raw!U61),U58+(RU_Raw!U61-U58)/3,"")))</f>
        <v>139.3</v>
      </c>
      <c r="V59" s="19">
        <f>IF(ISNUMBER(RU_Raw!V59),RU_Raw!V59,IF(ISNUMBER(RU_Raw!V60),(V58+RU_Raw!V60)/2,IF(ISNUMBER(RU_Raw!V61),V58+(RU_Raw!V61-V58)/3,"")))</f>
        <v>132.1</v>
      </c>
      <c r="W59" s="19">
        <f>IF(ISNUMBER(RU_Raw!W59),RU_Raw!W59,IF(ISNUMBER(RU_Raw!W60),(W58+RU_Raw!W60)/2,IF(ISNUMBER(RU_Raw!W61),W58+(RU_Raw!W61-W58)/3,"")))</f>
        <v>138.3</v>
      </c>
      <c r="X59" s="19">
        <f>IF(ISNUMBER(RU_Raw!X59),RU_Raw!X59,IF(ISNUMBER(RU_Raw!X60),(X58+RU_Raw!X60)/2,IF(ISNUMBER(RU_Raw!X61),X58+(RU_Raw!X61-X58)/3,"")))</f>
        <v>132.6</v>
      </c>
      <c r="Y59" s="19">
        <f>IF(ISNUMBER(RU_Raw!Y59),RU_Raw!Y59,IF(ISNUMBER(RU_Raw!Y60),(Y58+RU_Raw!Y60)/2,IF(ISNUMBER(RU_Raw!Y61),Y58+(RU_Raw!Y61-Y58)/3,"")))</f>
        <v>129.4</v>
      </c>
      <c r="Z59" s="19">
        <f>IF(ISNUMBER(RU_Raw!Z59),RU_Raw!Z59,IF(ISNUMBER(RU_Raw!Z60),(Z58+RU_Raw!Z60)/2,IF(ISNUMBER(RU_Raw!Z61),Z58+(RU_Raw!Z61-Z58)/3,"")))</f>
        <v>131.9</v>
      </c>
      <c r="AA59" s="19">
        <f>IF(ISNUMBER(RU_Raw!AA59),RU_Raw!AA59,IF(ISNUMBER(RU_Raw!AA60),(AA58+RU_Raw!AA60)/2,IF(ISNUMBER(RU_Raw!AA61),AA58+(RU_Raw!AA61-AA58)/3,"")))</f>
        <v>129.4</v>
      </c>
      <c r="AB59" s="19">
        <f>IF(ISNUMBER(RU_Raw!AB59),RU_Raw!AB59,IF(ISNUMBER(RU_Raw!AB60),(AB58+RU_Raw!AB60)/2,IF(ISNUMBER(RU_Raw!AB61),AB58+(RU_Raw!AB61-AB58)/3,"")))</f>
        <v>116</v>
      </c>
      <c r="AC59" s="19">
        <f>IF(ISNUMBER(RU_Raw!AC59),RU_Raw!AC59,IF(ISNUMBER(RU_Raw!AC60),(AC58+RU_Raw!AC60)/2,IF(ISNUMBER(RU_Raw!AC61),AC58+(RU_Raw!AC61-AC58)/3,"")))</f>
        <v>126.6</v>
      </c>
      <c r="AD59" s="19">
        <f>IF(ISNUMBER(RU_Raw!AD59),RU_Raw!AD59,IF(ISNUMBER(RU_Raw!AD60),(AD58+RU_Raw!AD60)/2,IF(ISNUMBER(RU_Raw!AD61),AD58+(RU_Raw!AD61-AD58)/3,"")))</f>
        <v>136.8</v>
      </c>
      <c r="AE59" s="19">
        <f>IF(ISNUMBER(RU_Raw!AE59),RU_Raw!AE59,IF(ISNUMBER(RU_Raw!AE60),(AE58+RU_Raw!AE60)/2,IF(ISNUMBER(RU_Raw!AE61),AE58+(RU_Raw!AE61-AE58)/3,"")))</f>
        <v>123.6</v>
      </c>
      <c r="AF59" s="19">
        <f>IF(ISNUMBER(RU_Raw!AF59),RU_Raw!AF59,IF(ISNUMBER(RU_Raw!AF60),(AF58+RU_Raw!AF60)/2,IF(ISNUMBER(RU_Raw!AF61),AF58+(RU_Raw!AF61-AF58)/3,"")))</f>
        <v>125.9</v>
      </c>
      <c r="AG59" s="19">
        <f>IF(ISNUMBER(RU_Raw!AG59),RU_Raw!AG59,IF(ISNUMBER(RU_Raw!AG60),(AG58+RU_Raw!AG60)/2,IF(ISNUMBER(RU_Raw!AG61),AG58+(RU_Raw!AG61-AG58)/3,"")))</f>
        <v>134.2</v>
      </c>
      <c r="AH59" s="19">
        <f t="shared" si="1"/>
        <v>1630.4</v>
      </c>
    </row>
    <row r="60" spans="1:34">
      <c r="A60" s="6">
        <f>RU_Raw!A60</f>
        <v>2017</v>
      </c>
      <c r="B60" s="6">
        <f>RU_Raw!B60</f>
        <v>8</v>
      </c>
      <c r="C60" s="6" t="str">
        <f>RU_Raw!C60</f>
        <v>August</v>
      </c>
      <c r="D60" s="9">
        <f>RU_Raw!D60</f>
        <v>42948</v>
      </c>
      <c r="E60" s="6">
        <f>COUNTBLANK(RU_Raw!G60:AG60)</f>
        <v>0</v>
      </c>
      <c r="F60" s="6" t="str">
        <f t="shared" si="0"/>
        <v/>
      </c>
      <c r="G60" s="19">
        <f>IF(ISNUMBER(RU_Raw!G60),RU_Raw!G60,IF(ISNUMBER(RU_Raw!G61),(G59+RU_Raw!G61)/2,IF(ISNUMBER(RU_Raw!G62),G59+(RU_Raw!G62-G59)/3,"")))</f>
        <v>134.3</v>
      </c>
      <c r="H60" s="19">
        <f>IF(ISNUMBER(RU_Raw!H60),RU_Raw!H60,IF(ISNUMBER(RU_Raw!H61),(H59+RU_Raw!H61)/2,IF(ISNUMBER(RU_Raw!H62),H59+(RU_Raw!H62-H59)/3,"")))</f>
        <v>143.4</v>
      </c>
      <c r="I60" s="19">
        <f>IF(ISNUMBER(RU_Raw!I60),RU_Raw!I60,IF(ISNUMBER(RU_Raw!I61),(I59+RU_Raw!I61)/2,IF(ISNUMBER(RU_Raw!I62),I59+(RU_Raw!I62-I59)/3,"")))</f>
        <v>129.3</v>
      </c>
      <c r="J60" s="19">
        <f>IF(ISNUMBER(RU_Raw!J60),RU_Raw!J60,IF(ISNUMBER(RU_Raw!J61),(J59+RU_Raw!J61)/2,IF(ISNUMBER(RU_Raw!J62),J59+(RU_Raw!J62-J59)/3,"")))</f>
        <v>139</v>
      </c>
      <c r="K60" s="19">
        <f>IF(ISNUMBER(RU_Raw!K60),RU_Raw!K60,IF(ISNUMBER(RU_Raw!K61),(K59+RU_Raw!K61)/2,IF(ISNUMBER(RU_Raw!K62),K59+(RU_Raw!K62-K59)/3,"")))</f>
        <v>118.1</v>
      </c>
      <c r="L60" s="19">
        <f>IF(ISNUMBER(RU_Raw!L60),RU_Raw!L60,IF(ISNUMBER(RU_Raw!L61),(L59+RU_Raw!L61)/2,IF(ISNUMBER(RU_Raw!L62),L59+(RU_Raw!L62-L59)/3,"")))</f>
        <v>145.5</v>
      </c>
      <c r="M60" s="19">
        <f>IF(ISNUMBER(RU_Raw!M60),RU_Raw!M60,IF(ISNUMBER(RU_Raw!M61),(M59+RU_Raw!M61)/2,IF(ISNUMBER(RU_Raw!M62),M59+(RU_Raw!M62-M59)/3,"")))</f>
        <v>168.6</v>
      </c>
      <c r="N60" s="19">
        <f>IF(ISNUMBER(RU_Raw!N60),RU_Raw!N60,IF(ISNUMBER(RU_Raw!N61),(N59+RU_Raw!N61)/2,IF(ISNUMBER(RU_Raw!N62),N59+(RU_Raw!N62-N59)/3,"")))</f>
        <v>132.7</v>
      </c>
      <c r="O60" s="19">
        <f>IF(ISNUMBER(RU_Raw!O60),RU_Raw!O60,IF(ISNUMBER(RU_Raw!O61),(O59+RU_Raw!O61)/2,IF(ISNUMBER(RU_Raw!O62),O59+(RU_Raw!O62-O59)/3,"")))</f>
        <v>121.2</v>
      </c>
      <c r="P60" s="19">
        <f>IF(ISNUMBER(RU_Raw!P60),RU_Raw!P60,IF(ISNUMBER(RU_Raw!P61),(P59+RU_Raw!P61)/2,IF(ISNUMBER(RU_Raw!P62),P59+(RU_Raw!P62-P59)/3,"")))</f>
        <v>135.6</v>
      </c>
      <c r="Q60" s="19">
        <f>IF(ISNUMBER(RU_Raw!Q60),RU_Raw!Q60,IF(ISNUMBER(RU_Raw!Q61),(Q59+RU_Raw!Q61)/2,IF(ISNUMBER(RU_Raw!Q62),Q59+(RU_Raw!Q62-Q59)/3,"")))</f>
        <v>128.7</v>
      </c>
      <c r="R60" s="19">
        <f>IF(ISNUMBER(RU_Raw!R60),RU_Raw!R60,IF(ISNUMBER(RU_Raw!R61),(R59+RU_Raw!R61)/2,IF(ISNUMBER(RU_Raw!R62),R59+(RU_Raw!R62-R59)/3,"")))</f>
        <v>146.8</v>
      </c>
      <c r="S60" s="19">
        <f>IF(ISNUMBER(RU_Raw!S60),RU_Raw!S60,IF(ISNUMBER(RU_Raw!S61),(S59+RU_Raw!S61)/2,IF(ISNUMBER(RU_Raw!S62),S59+(RU_Raw!S62-S59)/3,"")))</f>
        <v>140.6</v>
      </c>
      <c r="T60" s="19">
        <f>IF(ISNUMBER(RU_Raw!T60),RU_Raw!T60,IF(ISNUMBER(RU_Raw!T61),(T59+RU_Raw!T61)/2,IF(ISNUMBER(RU_Raw!T62),T59+(RU_Raw!T62-T59)/3,"")))</f>
        <v>149.8</v>
      </c>
      <c r="U60" s="19">
        <f>IF(ISNUMBER(RU_Raw!U60),RU_Raw!U60,IF(ISNUMBER(RU_Raw!U61),(U59+RU_Raw!U61)/2,IF(ISNUMBER(RU_Raw!U62),U59+(RU_Raw!U62-U59)/3,"")))</f>
        <v>140.3</v>
      </c>
      <c r="V60" s="19">
        <f>IF(ISNUMBER(RU_Raw!V60),RU_Raw!V60,IF(ISNUMBER(RU_Raw!V61),(V59+RU_Raw!V61)/2,IF(ISNUMBER(RU_Raw!V62),V59+(RU_Raw!V62-V59)/3,"")))</f>
        <v>133</v>
      </c>
      <c r="W60" s="19">
        <f>IF(ISNUMBER(RU_Raw!W60),RU_Raw!W60,IF(ISNUMBER(RU_Raw!W61),(W59+RU_Raw!W61)/2,IF(ISNUMBER(RU_Raw!W62),W59+(RU_Raw!W62-W59)/3,"")))</f>
        <v>139.3</v>
      </c>
      <c r="X60" s="19">
        <f>IF(ISNUMBER(RU_Raw!X60),RU_Raw!X60,IF(ISNUMBER(RU_Raw!X61),(X59+RU_Raw!X61)/2,IF(ISNUMBER(RU_Raw!X62),X59+(RU_Raw!X62-X59)/3,"")))</f>
        <v>134.4</v>
      </c>
      <c r="Y60" s="19">
        <f>IF(ISNUMBER(RU_Raw!Y60),RU_Raw!Y60,IF(ISNUMBER(RU_Raw!Y61),(Y59+RU_Raw!Y61)/2,IF(ISNUMBER(RU_Raw!Y62),Y59+(RU_Raw!Y62-Y59)/3,"")))</f>
        <v>129.8</v>
      </c>
      <c r="Z60" s="19">
        <f>IF(ISNUMBER(RU_Raw!Z60),RU_Raw!Z60,IF(ISNUMBER(RU_Raw!Z61),(Z59+RU_Raw!Z61)/2,IF(ISNUMBER(RU_Raw!Z62),Z59+(RU_Raw!Z62-Z59)/3,"")))</f>
        <v>132.8</v>
      </c>
      <c r="AA60" s="19">
        <f>IF(ISNUMBER(RU_Raw!AA60),RU_Raw!AA60,IF(ISNUMBER(RU_Raw!AA61),(AA59+RU_Raw!AA61)/2,IF(ISNUMBER(RU_Raw!AA62),AA59+(RU_Raw!AA62-AA59)/3,"")))</f>
        <v>130.2</v>
      </c>
      <c r="AB60" s="19">
        <f>IF(ISNUMBER(RU_Raw!AB60),RU_Raw!AB60,IF(ISNUMBER(RU_Raw!AB61),(AB59+RU_Raw!AB61)/2,IF(ISNUMBER(RU_Raw!AB62),AB59+(RU_Raw!AB62-AB59)/3,"")))</f>
        <v>117.3</v>
      </c>
      <c r="AC60" s="19">
        <f>IF(ISNUMBER(RU_Raw!AC60),RU_Raw!AC60,IF(ISNUMBER(RU_Raw!AC61),(AC59+RU_Raw!AC61)/2,IF(ISNUMBER(RU_Raw!AC62),AC59+(RU_Raw!AC62-AC59)/3,"")))</f>
        <v>127.3</v>
      </c>
      <c r="AD60" s="19">
        <f>IF(ISNUMBER(RU_Raw!AD60),RU_Raw!AD60,IF(ISNUMBER(RU_Raw!AD61),(AD59+RU_Raw!AD61)/2,IF(ISNUMBER(RU_Raw!AD62),AD59+(RU_Raw!AD62-AD59)/3,"")))</f>
        <v>137.6</v>
      </c>
      <c r="AE60" s="19">
        <f>IF(ISNUMBER(RU_Raw!AE60),RU_Raw!AE60,IF(ISNUMBER(RU_Raw!AE61),(AE59+RU_Raw!AE61)/2,IF(ISNUMBER(RU_Raw!AE62),AE59+(RU_Raw!AE62-AE59)/3,"")))</f>
        <v>124.5</v>
      </c>
      <c r="AF60" s="19">
        <f>IF(ISNUMBER(RU_Raw!AF60),RU_Raw!AF60,IF(ISNUMBER(RU_Raw!AF61),(AF59+RU_Raw!AF61)/2,IF(ISNUMBER(RU_Raw!AF62),AF59+(RU_Raw!AF62-AF59)/3,"")))</f>
        <v>126.8</v>
      </c>
      <c r="AG60" s="19">
        <f>IF(ISNUMBER(RU_Raw!AG60),RU_Raw!AG60,IF(ISNUMBER(RU_Raw!AG61),(AG59+RU_Raw!AG61)/2,IF(ISNUMBER(RU_Raw!AG62),AG59+(RU_Raw!AG62-AG59)/3,"")))</f>
        <v>135.4</v>
      </c>
      <c r="AH60" s="19">
        <f t="shared" si="1"/>
        <v>1643.2</v>
      </c>
    </row>
    <row r="61" spans="1:34">
      <c r="A61" s="6">
        <f>RU_Raw!A61</f>
        <v>2017</v>
      </c>
      <c r="B61" s="6">
        <f>RU_Raw!B61</f>
        <v>9</v>
      </c>
      <c r="C61" s="6" t="str">
        <f>RU_Raw!C61</f>
        <v>September</v>
      </c>
      <c r="D61" s="9">
        <f>RU_Raw!D61</f>
        <v>42979</v>
      </c>
      <c r="E61" s="6">
        <f>COUNTBLANK(RU_Raw!G61:AG61)</f>
        <v>0</v>
      </c>
      <c r="F61" s="6" t="str">
        <f t="shared" si="0"/>
        <v/>
      </c>
      <c r="G61" s="19">
        <f>IF(ISNUMBER(RU_Raw!G61),RU_Raw!G61,IF(ISNUMBER(RU_Raw!G62),(G60+RU_Raw!G62)/2,IF(ISNUMBER(RU_Raw!G63),G60+(RU_Raw!G63-G60)/3,"")))</f>
        <v>134.7</v>
      </c>
      <c r="H61" s="19">
        <f>IF(ISNUMBER(RU_Raw!H61),RU_Raw!H61,IF(ISNUMBER(RU_Raw!H62),(H60+RU_Raw!H62)/2,IF(ISNUMBER(RU_Raw!H63),H60+(RU_Raw!H63-H60)/3,"")))</f>
        <v>142.4</v>
      </c>
      <c r="I61" s="19">
        <f>IF(ISNUMBER(RU_Raw!I61),RU_Raw!I61,IF(ISNUMBER(RU_Raw!I62),(I60+RU_Raw!I62)/2,IF(ISNUMBER(RU_Raw!I63),I60+(RU_Raw!I63-I60)/3,"")))</f>
        <v>130.2</v>
      </c>
      <c r="J61" s="19">
        <f>IF(ISNUMBER(RU_Raw!J61),RU_Raw!J61,IF(ISNUMBER(RU_Raw!J62),(J60+RU_Raw!J62)/2,IF(ISNUMBER(RU_Raw!J63),J60+(RU_Raw!J63-J60)/3,"")))</f>
        <v>139.6</v>
      </c>
      <c r="K61" s="19">
        <f>IF(ISNUMBER(RU_Raw!K61),RU_Raw!K61,IF(ISNUMBER(RU_Raw!K62),(K60+RU_Raw!K62)/2,IF(ISNUMBER(RU_Raw!K63),K60+(RU_Raw!K63-K60)/3,"")))</f>
        <v>118.4</v>
      </c>
      <c r="L61" s="19">
        <f>IF(ISNUMBER(RU_Raw!L61),RU_Raw!L61,IF(ISNUMBER(RU_Raw!L62),(L60+RU_Raw!L62)/2,IF(ISNUMBER(RU_Raw!L63),L60+(RU_Raw!L63-L60)/3,"")))</f>
        <v>143</v>
      </c>
      <c r="M61" s="19">
        <f>IF(ISNUMBER(RU_Raw!M61),RU_Raw!M61,IF(ISNUMBER(RU_Raw!M62),(M60+RU_Raw!M62)/2,IF(ISNUMBER(RU_Raw!M63),M60+(RU_Raw!M63-M60)/3,"")))</f>
        <v>156.6</v>
      </c>
      <c r="N61" s="19">
        <f>IF(ISNUMBER(RU_Raw!N61),RU_Raw!N61,IF(ISNUMBER(RU_Raw!N62),(N60+RU_Raw!N62)/2,IF(ISNUMBER(RU_Raw!N63),N60+(RU_Raw!N63-N60)/3,"")))</f>
        <v>132.9</v>
      </c>
      <c r="O61" s="19">
        <f>IF(ISNUMBER(RU_Raw!O61),RU_Raw!O61,IF(ISNUMBER(RU_Raw!O62),(O60+RU_Raw!O62)/2,IF(ISNUMBER(RU_Raw!O63),O60+(RU_Raw!O63-O60)/3,"")))</f>
        <v>121.5</v>
      </c>
      <c r="P61" s="19">
        <f>IF(ISNUMBER(RU_Raw!P61),RU_Raw!P61,IF(ISNUMBER(RU_Raw!P62),(P60+RU_Raw!P62)/2,IF(ISNUMBER(RU_Raw!P63),P60+(RU_Raw!P63-P60)/3,"")))</f>
        <v>135.6</v>
      </c>
      <c r="Q61" s="19">
        <f>IF(ISNUMBER(RU_Raw!Q61),RU_Raw!Q61,IF(ISNUMBER(RU_Raw!Q62),(Q60+RU_Raw!Q62)/2,IF(ISNUMBER(RU_Raw!Q63),Q60+(RU_Raw!Q63-Q60)/3,"")))</f>
        <v>128.8</v>
      </c>
      <c r="R61" s="19">
        <f>IF(ISNUMBER(RU_Raw!R61),RU_Raw!R61,IF(ISNUMBER(RU_Raw!R62),(R60+RU_Raw!R62)/2,IF(ISNUMBER(RU_Raw!R63),R60+(RU_Raw!R63-R60)/3,"")))</f>
        <v>147.3</v>
      </c>
      <c r="S61" s="19">
        <f>IF(ISNUMBER(RU_Raw!S61),RU_Raw!S61,IF(ISNUMBER(RU_Raw!S62),(S60+RU_Raw!S62)/2,IF(ISNUMBER(RU_Raw!S63),S60+(RU_Raw!S63-S60)/3,"")))</f>
        <v>139</v>
      </c>
      <c r="T61" s="19">
        <f>IF(ISNUMBER(RU_Raw!T61),RU_Raw!T61,IF(ISNUMBER(RU_Raw!T62),(T60+RU_Raw!T62)/2,IF(ISNUMBER(RU_Raw!T63),T60+(RU_Raw!T63-T60)/3,"")))</f>
        <v>150.8</v>
      </c>
      <c r="U61" s="19">
        <f>IF(ISNUMBER(RU_Raw!U61),RU_Raw!U61,IF(ISNUMBER(RU_Raw!U62),(U60+RU_Raw!U62)/2,IF(ISNUMBER(RU_Raw!U63),U60+(RU_Raw!U63-U60)/3,"")))</f>
        <v>141.1</v>
      </c>
      <c r="V61" s="19">
        <f>IF(ISNUMBER(RU_Raw!V61),RU_Raw!V61,IF(ISNUMBER(RU_Raw!V62),(V60+RU_Raw!V62)/2,IF(ISNUMBER(RU_Raw!V63),V60+(RU_Raw!V63-V60)/3,"")))</f>
        <v>133.4</v>
      </c>
      <c r="W61" s="19">
        <f>IF(ISNUMBER(RU_Raw!W61),RU_Raw!W61,IF(ISNUMBER(RU_Raw!W62),(W60+RU_Raw!W62)/2,IF(ISNUMBER(RU_Raw!W63),W60+(RU_Raw!W63-W60)/3,"")))</f>
        <v>140</v>
      </c>
      <c r="X61" s="19">
        <f>IF(ISNUMBER(RU_Raw!X61),RU_Raw!X61,IF(ISNUMBER(RU_Raw!X62),(X60+RU_Raw!X62)/2,IF(ISNUMBER(RU_Raw!X63),X60+(RU_Raw!X63-X60)/3,"")))</f>
        <v>135.7</v>
      </c>
      <c r="Y61" s="19">
        <f>IF(ISNUMBER(RU_Raw!Y61),RU_Raw!Y61,IF(ISNUMBER(RU_Raw!Y62),(Y60+RU_Raw!Y62)/2,IF(ISNUMBER(RU_Raw!Y63),Y60+(RU_Raw!Y63-Y60)/3,"")))</f>
        <v>131</v>
      </c>
      <c r="Z61" s="19">
        <f>IF(ISNUMBER(RU_Raw!Z61),RU_Raw!Z61,IF(ISNUMBER(RU_Raw!Z62),(Z60+RU_Raw!Z62)/2,IF(ISNUMBER(RU_Raw!Z63),Z60+(RU_Raw!Z63-Z60)/3,"")))</f>
        <v>133.3</v>
      </c>
      <c r="AA61" s="19">
        <f>IF(ISNUMBER(RU_Raw!AA61),RU_Raw!AA61,IF(ISNUMBER(RU_Raw!AA62),(AA60+RU_Raw!AA62)/2,IF(ISNUMBER(RU_Raw!AA63),AA60+(RU_Raw!AA63-AA60)/3,"")))</f>
        <v>130.6</v>
      </c>
      <c r="AB61" s="19">
        <f>IF(ISNUMBER(RU_Raw!AB61),RU_Raw!AB61,IF(ISNUMBER(RU_Raw!AB62),(AB60+RU_Raw!AB62)/2,IF(ISNUMBER(RU_Raw!AB63),AB60+(RU_Raw!AB63-AB60)/3,"")))</f>
        <v>118.3</v>
      </c>
      <c r="AC61" s="19">
        <f>IF(ISNUMBER(RU_Raw!AC61),RU_Raw!AC61,IF(ISNUMBER(RU_Raw!AC62),(AC60+RU_Raw!AC62)/2,IF(ISNUMBER(RU_Raw!AC63),AC60+(RU_Raw!AC63-AC60)/3,"")))</f>
        <v>127.9</v>
      </c>
      <c r="AD61" s="19">
        <f>IF(ISNUMBER(RU_Raw!AD61),RU_Raw!AD61,IF(ISNUMBER(RU_Raw!AD62),(AD60+RU_Raw!AD62)/2,IF(ISNUMBER(RU_Raw!AD63),AD60+(RU_Raw!AD63-AD60)/3,"")))</f>
        <v>137.4</v>
      </c>
      <c r="AE61" s="19">
        <f>IF(ISNUMBER(RU_Raw!AE61),RU_Raw!AE61,IF(ISNUMBER(RU_Raw!AE62),(AE60+RU_Raw!AE62)/2,IF(ISNUMBER(RU_Raw!AE63),AE60+(RU_Raw!AE63-AE60)/3,"")))</f>
        <v>125.7</v>
      </c>
      <c r="AF61" s="19">
        <f>IF(ISNUMBER(RU_Raw!AF61),RU_Raw!AF61,IF(ISNUMBER(RU_Raw!AF62),(AF60+RU_Raw!AF62)/2,IF(ISNUMBER(RU_Raw!AF63),AF60+(RU_Raw!AF63-AF60)/3,"")))</f>
        <v>127.5</v>
      </c>
      <c r="AG61" s="19">
        <f>IF(ISNUMBER(RU_Raw!AG61),RU_Raw!AG61,IF(ISNUMBER(RU_Raw!AG62),(AG60+RU_Raw!AG62)/2,IF(ISNUMBER(RU_Raw!AG63),AG60+(RU_Raw!AG63-AG60)/3,"")))</f>
        <v>135.2</v>
      </c>
      <c r="AH61" s="19">
        <f t="shared" si="1"/>
        <v>1631</v>
      </c>
    </row>
    <row r="62" spans="1:34">
      <c r="A62" s="6">
        <f>RU_Raw!A62</f>
        <v>2017</v>
      </c>
      <c r="B62" s="6">
        <f>RU_Raw!B62</f>
        <v>10</v>
      </c>
      <c r="C62" s="6" t="str">
        <f>RU_Raw!C62</f>
        <v>October</v>
      </c>
      <c r="D62" s="9">
        <f>RU_Raw!D62</f>
        <v>43009</v>
      </c>
      <c r="E62" s="6">
        <f>COUNTBLANK(RU_Raw!G62:AG62)</f>
        <v>0</v>
      </c>
      <c r="F62" s="6" t="str">
        <f t="shared" si="0"/>
        <v/>
      </c>
      <c r="G62" s="19">
        <f>IF(ISNUMBER(RU_Raw!G62),RU_Raw!G62,IF(ISNUMBER(RU_Raw!G63),(G61+RU_Raw!G63)/2,IF(ISNUMBER(RU_Raw!G64),G61+(RU_Raw!G64-G61)/3,"")))</f>
        <v>135.3</v>
      </c>
      <c r="H62" s="19">
        <f>IF(ISNUMBER(RU_Raw!H62),RU_Raw!H62,IF(ISNUMBER(RU_Raw!H63),(H61+RU_Raw!H63)/2,IF(ISNUMBER(RU_Raw!H64),H61+(RU_Raw!H64-H61)/3,"")))</f>
        <v>142.2</v>
      </c>
      <c r="I62" s="19">
        <f>IF(ISNUMBER(RU_Raw!I62),RU_Raw!I62,IF(ISNUMBER(RU_Raw!I63),(I61+RU_Raw!I63)/2,IF(ISNUMBER(RU_Raw!I64),I61+(RU_Raw!I64-I61)/3,"")))</f>
        <v>131.2</v>
      </c>
      <c r="J62" s="19">
        <f>IF(ISNUMBER(RU_Raw!J62),RU_Raw!J62,IF(ISNUMBER(RU_Raw!J63),(J61+RU_Raw!J63)/2,IF(ISNUMBER(RU_Raw!J64),J61+(RU_Raw!J64-J61)/3,"")))</f>
        <v>140.6</v>
      </c>
      <c r="K62" s="19">
        <f>IF(ISNUMBER(RU_Raw!K62),RU_Raw!K62,IF(ISNUMBER(RU_Raw!K63),(K61+RU_Raw!K63)/2,IF(ISNUMBER(RU_Raw!K64),K61+(RU_Raw!K64-K61)/3,"")))</f>
        <v>119</v>
      </c>
      <c r="L62" s="19">
        <f>IF(ISNUMBER(RU_Raw!L62),RU_Raw!L62,IF(ISNUMBER(RU_Raw!L63),(L61+RU_Raw!L63)/2,IF(ISNUMBER(RU_Raw!L64),L61+(RU_Raw!L64-L61)/3,"")))</f>
        <v>141.5</v>
      </c>
      <c r="M62" s="19">
        <f>IF(ISNUMBER(RU_Raw!M62),RU_Raw!M62,IF(ISNUMBER(RU_Raw!M63),(M61+RU_Raw!M63)/2,IF(ISNUMBER(RU_Raw!M64),M61+(RU_Raw!M64-M61)/3,"")))</f>
        <v>162.6</v>
      </c>
      <c r="N62" s="19">
        <f>IF(ISNUMBER(RU_Raw!N62),RU_Raw!N62,IF(ISNUMBER(RU_Raw!N63),(N61+RU_Raw!N63)/2,IF(ISNUMBER(RU_Raw!N64),N61+(RU_Raw!N64-N61)/3,"")))</f>
        <v>132.3</v>
      </c>
      <c r="O62" s="19">
        <f>IF(ISNUMBER(RU_Raw!O62),RU_Raw!O62,IF(ISNUMBER(RU_Raw!O63),(O61+RU_Raw!O63)/2,IF(ISNUMBER(RU_Raw!O64),O61+(RU_Raw!O64-O61)/3,"")))</f>
        <v>121.8</v>
      </c>
      <c r="P62" s="19">
        <f>IF(ISNUMBER(RU_Raw!P62),RU_Raw!P62,IF(ISNUMBER(RU_Raw!P63),(P61+RU_Raw!P63)/2,IF(ISNUMBER(RU_Raw!P64),P61+(RU_Raw!P64-P61)/3,"")))</f>
        <v>136.3</v>
      </c>
      <c r="Q62" s="19">
        <f>IF(ISNUMBER(RU_Raw!Q62),RU_Raw!Q62,IF(ISNUMBER(RU_Raw!Q63),(Q61+RU_Raw!Q63)/2,IF(ISNUMBER(RU_Raw!Q64),Q61+(RU_Raw!Q64-Q61)/3,"")))</f>
        <v>128.7</v>
      </c>
      <c r="R62" s="19">
        <f>IF(ISNUMBER(RU_Raw!R62),RU_Raw!R62,IF(ISNUMBER(RU_Raw!R63),(R61+RU_Raw!R63)/2,IF(ISNUMBER(RU_Raw!R64),R61+(RU_Raw!R64-R61)/3,"")))</f>
        <v>148.1</v>
      </c>
      <c r="S62" s="19">
        <f>IF(ISNUMBER(RU_Raw!S62),RU_Raw!S62,IF(ISNUMBER(RU_Raw!S63),(S61+RU_Raw!S63)/2,IF(ISNUMBER(RU_Raw!S64),S61+(RU_Raw!S64-S61)/3,"")))</f>
        <v>140.1</v>
      </c>
      <c r="T62" s="19">
        <f>IF(ISNUMBER(RU_Raw!T62),RU_Raw!T62,IF(ISNUMBER(RU_Raw!T63),(T61+RU_Raw!T63)/2,IF(ISNUMBER(RU_Raw!T64),T61+(RU_Raw!T64-T61)/3,"")))</f>
        <v>151.6</v>
      </c>
      <c r="U62" s="19">
        <f>IF(ISNUMBER(RU_Raw!U62),RU_Raw!U62,IF(ISNUMBER(RU_Raw!U63),(U61+RU_Raw!U63)/2,IF(ISNUMBER(RU_Raw!U64),U61+(RU_Raw!U64-U61)/3,"")))</f>
        <v>142</v>
      </c>
      <c r="V62" s="19">
        <f>IF(ISNUMBER(RU_Raw!V62),RU_Raw!V62,IF(ISNUMBER(RU_Raw!V63),(V61+RU_Raw!V63)/2,IF(ISNUMBER(RU_Raw!V64),V61+(RU_Raw!V64-V61)/3,"")))</f>
        <v>134.1</v>
      </c>
      <c r="W62" s="19">
        <f>IF(ISNUMBER(RU_Raw!W62),RU_Raw!W62,IF(ISNUMBER(RU_Raw!W63),(W61+RU_Raw!W63)/2,IF(ISNUMBER(RU_Raw!W64),W61+(RU_Raw!W64-W61)/3,"")))</f>
        <v>140.8</v>
      </c>
      <c r="X62" s="19">
        <f>IF(ISNUMBER(RU_Raw!X62),RU_Raw!X62,IF(ISNUMBER(RU_Raw!X63),(X61+RU_Raw!X63)/2,IF(ISNUMBER(RU_Raw!X64),X61+(RU_Raw!X64-X61)/3,"")))</f>
        <v>137.3</v>
      </c>
      <c r="Y62" s="19">
        <f>IF(ISNUMBER(RU_Raw!Y62),RU_Raw!Y62,IF(ISNUMBER(RU_Raw!Y63),(Y61+RU_Raw!Y63)/2,IF(ISNUMBER(RU_Raw!Y64),Y61+(RU_Raw!Y64-Y61)/3,"")))</f>
        <v>132.2</v>
      </c>
      <c r="Z62" s="19">
        <f>IF(ISNUMBER(RU_Raw!Z62),RU_Raw!Z62,IF(ISNUMBER(RU_Raw!Z63),(Z61+RU_Raw!Z63)/2,IF(ISNUMBER(RU_Raw!Z64),Z61+(RU_Raw!Z64-Z61)/3,"")))</f>
        <v>133.6</v>
      </c>
      <c r="AA62" s="19">
        <f>IF(ISNUMBER(RU_Raw!AA62),RU_Raw!AA62,IF(ISNUMBER(RU_Raw!AA63),(AA61+RU_Raw!AA63)/2,IF(ISNUMBER(RU_Raw!AA64),AA61+(RU_Raw!AA64-AA61)/3,"")))</f>
        <v>131.3</v>
      </c>
      <c r="AB62" s="19">
        <f>IF(ISNUMBER(RU_Raw!AB62),RU_Raw!AB62,IF(ISNUMBER(RU_Raw!AB63),(AB61+RU_Raw!AB63)/2,IF(ISNUMBER(RU_Raw!AB64),AB61+(RU_Raw!AB64-AB61)/3,"")))</f>
        <v>117.8</v>
      </c>
      <c r="AC62" s="19">
        <f>IF(ISNUMBER(RU_Raw!AC62),RU_Raw!AC62,IF(ISNUMBER(RU_Raw!AC63),(AC61+RU_Raw!AC63)/2,IF(ISNUMBER(RU_Raw!AC64),AC61+(RU_Raw!AC64-AC61)/3,"")))</f>
        <v>128.4</v>
      </c>
      <c r="AD62" s="19">
        <f>IF(ISNUMBER(RU_Raw!AD62),RU_Raw!AD62,IF(ISNUMBER(RU_Raw!AD63),(AD61+RU_Raw!AD63)/2,IF(ISNUMBER(RU_Raw!AD64),AD61+(RU_Raw!AD64-AD61)/3,"")))</f>
        <v>137.9</v>
      </c>
      <c r="AE62" s="19">
        <f>IF(ISNUMBER(RU_Raw!AE62),RU_Raw!AE62,IF(ISNUMBER(RU_Raw!AE63),(AE61+RU_Raw!AE63)/2,IF(ISNUMBER(RU_Raw!AE64),AE61+(RU_Raw!AE64-AE61)/3,"")))</f>
        <v>126.2</v>
      </c>
      <c r="AF62" s="19">
        <f>IF(ISNUMBER(RU_Raw!AF62),RU_Raw!AF62,IF(ISNUMBER(RU_Raw!AF63),(AF61+RU_Raw!AF63)/2,IF(ISNUMBER(RU_Raw!AF64),AF61+(RU_Raw!AF64-AF61)/3,"")))</f>
        <v>127.7</v>
      </c>
      <c r="AG62" s="19">
        <f>IF(ISNUMBER(RU_Raw!AG62),RU_Raw!AG62,IF(ISNUMBER(RU_Raw!AG63),(AG61+RU_Raw!AG63)/2,IF(ISNUMBER(RU_Raw!AG64),AG61+(RU_Raw!AG64-AG61)/3,"")))</f>
        <v>136.1</v>
      </c>
      <c r="AH62" s="19">
        <f t="shared" si="1"/>
        <v>1639.6</v>
      </c>
    </row>
    <row r="63" spans="1:34">
      <c r="A63" s="6">
        <f>RU_Raw!A63</f>
        <v>2017</v>
      </c>
      <c r="B63" s="6">
        <f>RU_Raw!B63</f>
        <v>11</v>
      </c>
      <c r="C63" s="6" t="str">
        <f>RU_Raw!C63</f>
        <v>November</v>
      </c>
      <c r="D63" s="9">
        <f>RU_Raw!D63</f>
        <v>43040</v>
      </c>
      <c r="E63" s="6">
        <f>COUNTBLANK(RU_Raw!G63:AG63)</f>
        <v>0</v>
      </c>
      <c r="F63" s="6" t="str">
        <f t="shared" si="0"/>
        <v/>
      </c>
      <c r="G63" s="19">
        <f>IF(ISNUMBER(RU_Raw!G63),RU_Raw!G63,IF(ISNUMBER(RU_Raw!G64),(G62+RU_Raw!G64)/2,IF(ISNUMBER(RU_Raw!G65),G62+(RU_Raw!G65-G62)/3,"")))</f>
        <v>135.7</v>
      </c>
      <c r="H63" s="19">
        <f>IF(ISNUMBER(RU_Raw!H63),RU_Raw!H63,IF(ISNUMBER(RU_Raw!H64),(H62+RU_Raw!H64)/2,IF(ISNUMBER(RU_Raw!H65),H62+(RU_Raw!H65-H62)/3,"")))</f>
        <v>142.4</v>
      </c>
      <c r="I63" s="19">
        <f>IF(ISNUMBER(RU_Raw!I63),RU_Raw!I63,IF(ISNUMBER(RU_Raw!I64),(I62+RU_Raw!I64)/2,IF(ISNUMBER(RU_Raw!I65),I62+(RU_Raw!I65-I62)/3,"")))</f>
        <v>142.9</v>
      </c>
      <c r="J63" s="19">
        <f>IF(ISNUMBER(RU_Raw!J63),RU_Raw!J63,IF(ISNUMBER(RU_Raw!J64),(J62+RU_Raw!J64)/2,IF(ISNUMBER(RU_Raw!J65),J62+(RU_Raw!J65-J62)/3,"")))</f>
        <v>140.8</v>
      </c>
      <c r="K63" s="19">
        <f>IF(ISNUMBER(RU_Raw!K63),RU_Raw!K63,IF(ISNUMBER(RU_Raw!K64),(K62+RU_Raw!K64)/2,IF(ISNUMBER(RU_Raw!K65),K62+(RU_Raw!K65-K62)/3,"")))</f>
        <v>119.2</v>
      </c>
      <c r="L63" s="19">
        <f>IF(ISNUMBER(RU_Raw!L63),RU_Raw!L63,IF(ISNUMBER(RU_Raw!L64),(L62+RU_Raw!L64)/2,IF(ISNUMBER(RU_Raw!L65),L62+(RU_Raw!L65-L62)/3,"")))</f>
        <v>142.2</v>
      </c>
      <c r="M63" s="19">
        <f>IF(ISNUMBER(RU_Raw!M63),RU_Raw!M63,IF(ISNUMBER(RU_Raw!M64),(M62+RU_Raw!M64)/2,IF(ISNUMBER(RU_Raw!M65),M62+(RU_Raw!M65-M62)/3,"")))</f>
        <v>173.8</v>
      </c>
      <c r="N63" s="19">
        <f>IF(ISNUMBER(RU_Raw!N63),RU_Raw!N63,IF(ISNUMBER(RU_Raw!N64),(N62+RU_Raw!N64)/2,IF(ISNUMBER(RU_Raw!N65),N62+(RU_Raw!N65-N62)/3,"")))</f>
        <v>131.2</v>
      </c>
      <c r="O63" s="19">
        <f>IF(ISNUMBER(RU_Raw!O63),RU_Raw!O63,IF(ISNUMBER(RU_Raw!O64),(O62+RU_Raw!O64)/2,IF(ISNUMBER(RU_Raw!O65),O62+(RU_Raw!O65-O62)/3,"")))</f>
        <v>123</v>
      </c>
      <c r="P63" s="19">
        <f>IF(ISNUMBER(RU_Raw!P63),RU_Raw!P63,IF(ISNUMBER(RU_Raw!P64),(P62+RU_Raw!P64)/2,IF(ISNUMBER(RU_Raw!P65),P62+(RU_Raw!P65-P62)/3,"")))</f>
        <v>136.8</v>
      </c>
      <c r="Q63" s="19">
        <f>IF(ISNUMBER(RU_Raw!Q63),RU_Raw!Q63,IF(ISNUMBER(RU_Raw!Q64),(Q62+RU_Raw!Q64)/2,IF(ISNUMBER(RU_Raw!Q65),Q62+(RU_Raw!Q65-Q62)/3,"")))</f>
        <v>129.2</v>
      </c>
      <c r="R63" s="19">
        <f>IF(ISNUMBER(RU_Raw!R63),RU_Raw!R63,IF(ISNUMBER(RU_Raw!R64),(R62+RU_Raw!R64)/2,IF(ISNUMBER(RU_Raw!R65),R62+(RU_Raw!R65-R62)/3,"")))</f>
        <v>148.9</v>
      </c>
      <c r="S63" s="19">
        <f>IF(ISNUMBER(RU_Raw!S63),RU_Raw!S63,IF(ISNUMBER(RU_Raw!S64),(S62+RU_Raw!S64)/2,IF(ISNUMBER(RU_Raw!S65),S62+(RU_Raw!S65-S62)/3,"")))</f>
        <v>142.1</v>
      </c>
      <c r="T63" s="19">
        <f>IF(ISNUMBER(RU_Raw!T63),RU_Raw!T63,IF(ISNUMBER(RU_Raw!T64),(T62+RU_Raw!T64)/2,IF(ISNUMBER(RU_Raw!T65),T62+(RU_Raw!T65-T62)/3,"")))</f>
        <v>153.2</v>
      </c>
      <c r="U63" s="19">
        <f>IF(ISNUMBER(RU_Raw!U63),RU_Raw!U63,IF(ISNUMBER(RU_Raw!U64),(U62+RU_Raw!U64)/2,IF(ISNUMBER(RU_Raw!U65),U62+(RU_Raw!U65-U62)/3,"")))</f>
        <v>143</v>
      </c>
      <c r="V63" s="19">
        <f>IF(ISNUMBER(RU_Raw!V63),RU_Raw!V63,IF(ISNUMBER(RU_Raw!V64),(V62+RU_Raw!V64)/2,IF(ISNUMBER(RU_Raw!V65),V62+(RU_Raw!V65-V62)/3,"")))</f>
        <v>134.8</v>
      </c>
      <c r="W63" s="19">
        <f>IF(ISNUMBER(RU_Raw!W63),RU_Raw!W63,IF(ISNUMBER(RU_Raw!W64),(W62+RU_Raw!W64)/2,IF(ISNUMBER(RU_Raw!W65),W62+(RU_Raw!W65-W62)/3,"")))</f>
        <v>141.8</v>
      </c>
      <c r="X63" s="19">
        <f>IF(ISNUMBER(RU_Raw!X63),RU_Raw!X63,IF(ISNUMBER(RU_Raw!X64),(X62+RU_Raw!X64)/2,IF(ISNUMBER(RU_Raw!X65),X62+(RU_Raw!X65-X62)/3,"")))</f>
        <v>138.6</v>
      </c>
      <c r="Y63" s="19">
        <f>IF(ISNUMBER(RU_Raw!Y63),RU_Raw!Y63,IF(ISNUMBER(RU_Raw!Y64),(Y62+RU_Raw!Y64)/2,IF(ISNUMBER(RU_Raw!Y65),Y62+(RU_Raw!Y65-Y62)/3,"")))</f>
        <v>135.3</v>
      </c>
      <c r="Z63" s="19">
        <f>IF(ISNUMBER(RU_Raw!Z63),RU_Raw!Z63,IF(ISNUMBER(RU_Raw!Z64),(Z62+RU_Raw!Z64)/2,IF(ISNUMBER(RU_Raw!Z65),Z62+(RU_Raw!Z65-Z62)/3,"")))</f>
        <v>134.4</v>
      </c>
      <c r="AA63" s="19">
        <f>IF(ISNUMBER(RU_Raw!AA63),RU_Raw!AA63,IF(ISNUMBER(RU_Raw!AA64),(AA62+RU_Raw!AA64)/2,IF(ISNUMBER(RU_Raw!AA65),AA62+(RU_Raw!AA65-AA62)/3,"")))</f>
        <v>132.6</v>
      </c>
      <c r="AB63" s="19">
        <f>IF(ISNUMBER(RU_Raw!AB63),RU_Raw!AB63,IF(ISNUMBER(RU_Raw!AB64),(AB62+RU_Raw!AB64)/2,IF(ISNUMBER(RU_Raw!AB65),AB62+(RU_Raw!AB65-AB62)/3,"")))</f>
        <v>118.3</v>
      </c>
      <c r="AC63" s="19">
        <f>IF(ISNUMBER(RU_Raw!AC63),RU_Raw!AC63,IF(ISNUMBER(RU_Raw!AC64),(AC62+RU_Raw!AC64)/2,IF(ISNUMBER(RU_Raw!AC65),AC62+(RU_Raw!AC65-AC62)/3,"")))</f>
        <v>128.9</v>
      </c>
      <c r="AD63" s="19">
        <f>IF(ISNUMBER(RU_Raw!AD63),RU_Raw!AD63,IF(ISNUMBER(RU_Raw!AD64),(AD62+RU_Raw!AD64)/2,IF(ISNUMBER(RU_Raw!AD65),AD62+(RU_Raw!AD65-AD62)/3,"")))</f>
        <v>138.6</v>
      </c>
      <c r="AE63" s="19">
        <f>IF(ISNUMBER(RU_Raw!AE63),RU_Raw!AE63,IF(ISNUMBER(RU_Raw!AE64),(AE62+RU_Raw!AE64)/2,IF(ISNUMBER(RU_Raw!AE65),AE62+(RU_Raw!AE65-AE62)/3,"")))</f>
        <v>126.8</v>
      </c>
      <c r="AF63" s="19">
        <f>IF(ISNUMBER(RU_Raw!AF63),RU_Raw!AF63,IF(ISNUMBER(RU_Raw!AF64),(AF62+RU_Raw!AF64)/2,IF(ISNUMBER(RU_Raw!AF65),AF62+(RU_Raw!AF65-AF62)/3,"")))</f>
        <v>128.4</v>
      </c>
      <c r="AG63" s="19">
        <f>IF(ISNUMBER(RU_Raw!AG63),RU_Raw!AG63,IF(ISNUMBER(RU_Raw!AG64),(AG62+RU_Raw!AG64)/2,IF(ISNUMBER(RU_Raw!AG65),AG62+(RU_Raw!AG65-AG62)/3,"")))</f>
        <v>137.6</v>
      </c>
      <c r="AH63" s="19">
        <f t="shared" si="1"/>
        <v>1666.1</v>
      </c>
    </row>
    <row r="64" spans="1:34">
      <c r="A64" s="6">
        <f>RU_Raw!A64</f>
        <v>2017</v>
      </c>
      <c r="B64" s="6">
        <f>RU_Raw!B64</f>
        <v>12</v>
      </c>
      <c r="C64" s="6" t="str">
        <f>RU_Raw!C64</f>
        <v>December</v>
      </c>
      <c r="D64" s="9">
        <f>RU_Raw!D64</f>
        <v>43070</v>
      </c>
      <c r="E64" s="6">
        <f>COUNTBLANK(RU_Raw!G64:AG64)</f>
        <v>0</v>
      </c>
      <c r="F64" s="6" t="str">
        <f t="shared" si="0"/>
        <v/>
      </c>
      <c r="G64" s="19">
        <f>IF(ISNUMBER(RU_Raw!G64),RU_Raw!G64,IF(ISNUMBER(RU_Raw!G65),(G63+RU_Raw!G65)/2,IF(ISNUMBER(RU_Raw!G66),G63+(RU_Raw!G66-G63)/3,"")))</f>
        <v>135.8</v>
      </c>
      <c r="H64" s="19">
        <f>IF(ISNUMBER(RU_Raw!H64),RU_Raw!H64,IF(ISNUMBER(RU_Raw!H65),(H63+RU_Raw!H65)/2,IF(ISNUMBER(RU_Raw!H66),H63+(RU_Raw!H66-H63)/3,"")))</f>
        <v>143.3</v>
      </c>
      <c r="I64" s="19">
        <f>IF(ISNUMBER(RU_Raw!I64),RU_Raw!I64,IF(ISNUMBER(RU_Raw!I65),(I63+RU_Raw!I65)/2,IF(ISNUMBER(RU_Raw!I66),I63+(RU_Raw!I66-I63)/3,"")))</f>
        <v>145.2</v>
      </c>
      <c r="J64" s="19">
        <f>IF(ISNUMBER(RU_Raw!J64),RU_Raw!J64,IF(ISNUMBER(RU_Raw!J65),(J63+RU_Raw!J65)/2,IF(ISNUMBER(RU_Raw!J66),J63+(RU_Raw!J66-J63)/3,"")))</f>
        <v>141</v>
      </c>
      <c r="K64" s="19">
        <f>IF(ISNUMBER(RU_Raw!K64),RU_Raw!K64,IF(ISNUMBER(RU_Raw!K65),(K63+RU_Raw!K65)/2,IF(ISNUMBER(RU_Raw!K66),K63+(RU_Raw!K66-K63)/3,"")))</f>
        <v>120.5</v>
      </c>
      <c r="L64" s="19">
        <f>IF(ISNUMBER(RU_Raw!L64),RU_Raw!L64,IF(ISNUMBER(RU_Raw!L65),(L63+RU_Raw!L65)/2,IF(ISNUMBER(RU_Raw!L66),L63+(RU_Raw!L66-L63)/3,"")))</f>
        <v>141.5</v>
      </c>
      <c r="M64" s="19">
        <f>IF(ISNUMBER(RU_Raw!M64),RU_Raw!M64,IF(ISNUMBER(RU_Raw!M65),(M63+RU_Raw!M65)/2,IF(ISNUMBER(RU_Raw!M66),M63+(RU_Raw!M66-M63)/3,"")))</f>
        <v>161.7</v>
      </c>
      <c r="N64" s="19">
        <f>IF(ISNUMBER(RU_Raw!N64),RU_Raw!N64,IF(ISNUMBER(RU_Raw!N65),(N63+RU_Raw!N65)/2,IF(ISNUMBER(RU_Raw!N66),N63+(RU_Raw!N66-N63)/3,"")))</f>
        <v>129.1</v>
      </c>
      <c r="O64" s="19">
        <f>IF(ISNUMBER(RU_Raw!O64),RU_Raw!O64,IF(ISNUMBER(RU_Raw!O65),(O63+RU_Raw!O65)/2,IF(ISNUMBER(RU_Raw!O66),O63+(RU_Raw!O66-O63)/3,"")))</f>
        <v>121.5</v>
      </c>
      <c r="P64" s="19">
        <f>IF(ISNUMBER(RU_Raw!P64),RU_Raw!P64,IF(ISNUMBER(RU_Raw!P65),(P63+RU_Raw!P65)/2,IF(ISNUMBER(RU_Raw!P66),P63+(RU_Raw!P66-P63)/3,"")))</f>
        <v>137.1</v>
      </c>
      <c r="Q64" s="19">
        <f>IF(ISNUMBER(RU_Raw!Q64),RU_Raw!Q64,IF(ISNUMBER(RU_Raw!Q65),(Q63+RU_Raw!Q65)/2,IF(ISNUMBER(RU_Raw!Q66),Q63+(RU_Raw!Q66-Q63)/3,"")))</f>
        <v>128.8</v>
      </c>
      <c r="R64" s="19">
        <f>IF(ISNUMBER(RU_Raw!R64),RU_Raw!R64,IF(ISNUMBER(RU_Raw!R65),(R63+RU_Raw!R65)/2,IF(ISNUMBER(RU_Raw!R66),R63+(RU_Raw!R66-R63)/3,"")))</f>
        <v>149</v>
      </c>
      <c r="S64" s="19">
        <f>IF(ISNUMBER(RU_Raw!S64),RU_Raw!S64,IF(ISNUMBER(RU_Raw!S65),(S63+RU_Raw!S65)/2,IF(ISNUMBER(RU_Raw!S66),S63+(RU_Raw!S66-S63)/3,"")))</f>
        <v>140.5</v>
      </c>
      <c r="T64" s="19">
        <f>IF(ISNUMBER(RU_Raw!T64),RU_Raw!T64,IF(ISNUMBER(RU_Raw!T65),(T63+RU_Raw!T65)/2,IF(ISNUMBER(RU_Raw!T66),T63+(RU_Raw!T66-T63)/3,"")))</f>
        <v>154.2</v>
      </c>
      <c r="U64" s="19">
        <f>IF(ISNUMBER(RU_Raw!U64),RU_Raw!U64,IF(ISNUMBER(RU_Raw!U65),(U63+RU_Raw!U65)/2,IF(ISNUMBER(RU_Raw!U66),U63+(RU_Raw!U66-U63)/3,"")))</f>
        <v>143.1</v>
      </c>
      <c r="V64" s="19">
        <f>IF(ISNUMBER(RU_Raw!V64),RU_Raw!V64,IF(ISNUMBER(RU_Raw!V65),(V63+RU_Raw!V65)/2,IF(ISNUMBER(RU_Raw!V66),V63+(RU_Raw!V66-V63)/3,"")))</f>
        <v>135.1</v>
      </c>
      <c r="W64" s="19">
        <f>IF(ISNUMBER(RU_Raw!W64),RU_Raw!W64,IF(ISNUMBER(RU_Raw!W65),(W63+RU_Raw!W65)/2,IF(ISNUMBER(RU_Raw!W66),W63+(RU_Raw!W66-W63)/3,"")))</f>
        <v>142</v>
      </c>
      <c r="X64" s="19">
        <f>IF(ISNUMBER(RU_Raw!X64),RU_Raw!X64,IF(ISNUMBER(RU_Raw!X65),(X63+RU_Raw!X65)/2,IF(ISNUMBER(RU_Raw!X66),X63+(RU_Raw!X66-X63)/3,"")))</f>
        <v>139.1</v>
      </c>
      <c r="Y64" s="19">
        <f>IF(ISNUMBER(RU_Raw!Y64),RU_Raw!Y64,IF(ISNUMBER(RU_Raw!Y65),(Y63+RU_Raw!Y65)/2,IF(ISNUMBER(RU_Raw!Y66),Y63+(RU_Raw!Y66-Y63)/3,"")))</f>
        <v>136.6</v>
      </c>
      <c r="Z64" s="19">
        <f>IF(ISNUMBER(RU_Raw!Z64),RU_Raw!Z64,IF(ISNUMBER(RU_Raw!Z65),(Z63+RU_Raw!Z65)/2,IF(ISNUMBER(RU_Raw!Z66),Z63+(RU_Raw!Z66-Z63)/3,"")))</f>
        <v>134.7</v>
      </c>
      <c r="AA64" s="19">
        <f>IF(ISNUMBER(RU_Raw!AA64),RU_Raw!AA64,IF(ISNUMBER(RU_Raw!AA65),(AA63+RU_Raw!AA65)/2,IF(ISNUMBER(RU_Raw!AA66),AA63+(RU_Raw!AA66-AA63)/3,"")))</f>
        <v>133.1</v>
      </c>
      <c r="AB64" s="19">
        <f>IF(ISNUMBER(RU_Raw!AB64),RU_Raw!AB64,IF(ISNUMBER(RU_Raw!AB65),(AB63+RU_Raw!AB65)/2,IF(ISNUMBER(RU_Raw!AB66),AB63+(RU_Raw!AB66-AB63)/3,"")))</f>
        <v>118.5</v>
      </c>
      <c r="AC64" s="19">
        <f>IF(ISNUMBER(RU_Raw!AC64),RU_Raw!AC64,IF(ISNUMBER(RU_Raw!AC65),(AC63+RU_Raw!AC65)/2,IF(ISNUMBER(RU_Raw!AC66),AC63+(RU_Raw!AC66-AC63)/3,"")))</f>
        <v>129</v>
      </c>
      <c r="AD64" s="19">
        <f>IF(ISNUMBER(RU_Raw!AD64),RU_Raw!AD64,IF(ISNUMBER(RU_Raw!AD65),(AD63+RU_Raw!AD65)/2,IF(ISNUMBER(RU_Raw!AD66),AD63+(RU_Raw!AD66-AD63)/3,"")))</f>
        <v>138.5</v>
      </c>
      <c r="AE64" s="19">
        <f>IF(ISNUMBER(RU_Raw!AE64),RU_Raw!AE64,IF(ISNUMBER(RU_Raw!AE65),(AE63+RU_Raw!AE65)/2,IF(ISNUMBER(RU_Raw!AE66),AE63+(RU_Raw!AE66-AE63)/3,"")))</f>
        <v>126.5</v>
      </c>
      <c r="AF64" s="19">
        <f>IF(ISNUMBER(RU_Raw!AF64),RU_Raw!AF64,IF(ISNUMBER(RU_Raw!AF65),(AF63+RU_Raw!AF65)/2,IF(ISNUMBER(RU_Raw!AF66),AF63+(RU_Raw!AF66-AF63)/3,"")))</f>
        <v>128.6</v>
      </c>
      <c r="AG64" s="19">
        <f>IF(ISNUMBER(RU_Raw!AG64),RU_Raw!AG64,IF(ISNUMBER(RU_Raw!AG65),(AG63+RU_Raw!AG65)/2,IF(ISNUMBER(RU_Raw!AG66),AG63+(RU_Raw!AG66-AG63)/3,"")))</f>
        <v>137.2</v>
      </c>
      <c r="AH64" s="19">
        <f t="shared" si="1"/>
        <v>1654.5</v>
      </c>
    </row>
    <row r="65" spans="1:34">
      <c r="A65" s="6">
        <f>RU_Raw!A65</f>
        <v>2018</v>
      </c>
      <c r="B65" s="6">
        <f>RU_Raw!B65</f>
        <v>1</v>
      </c>
      <c r="C65" s="6" t="str">
        <f>RU_Raw!C65</f>
        <v>January</v>
      </c>
      <c r="D65" s="9">
        <f>RU_Raw!D65</f>
        <v>43101</v>
      </c>
      <c r="E65" s="6">
        <f>COUNTBLANK(RU_Raw!G65:AG65)</f>
        <v>0</v>
      </c>
      <c r="F65" s="6" t="str">
        <f t="shared" si="0"/>
        <v/>
      </c>
      <c r="G65" s="19">
        <f>IF(ISNUMBER(RU_Raw!G65),RU_Raw!G65,IF(ISNUMBER(RU_Raw!G66),(G64+RU_Raw!G66)/2,IF(ISNUMBER(RU_Raw!G67),G64+(RU_Raw!G67-G64)/3,"")))</f>
        <v>136</v>
      </c>
      <c r="H65" s="19">
        <f>IF(ISNUMBER(RU_Raw!H65),RU_Raw!H65,IF(ISNUMBER(RU_Raw!H66),(H64+RU_Raw!H66)/2,IF(ISNUMBER(RU_Raw!H67),H64+(RU_Raw!H67-H64)/3,"")))</f>
        <v>144.2</v>
      </c>
      <c r="I65" s="19">
        <f>IF(ISNUMBER(RU_Raw!I65),RU_Raw!I65,IF(ISNUMBER(RU_Raw!I66),(I64+RU_Raw!I66)/2,IF(ISNUMBER(RU_Raw!I67),I64+(RU_Raw!I67-I64)/3,"")))</f>
        <v>143.7</v>
      </c>
      <c r="J65" s="19">
        <f>IF(ISNUMBER(RU_Raw!J65),RU_Raw!J65,IF(ISNUMBER(RU_Raw!J66),(J64+RU_Raw!J66)/2,IF(ISNUMBER(RU_Raw!J67),J64+(RU_Raw!J67-J64)/3,"")))</f>
        <v>141.1</v>
      </c>
      <c r="K65" s="19">
        <f>IF(ISNUMBER(RU_Raw!K65),RU_Raw!K65,IF(ISNUMBER(RU_Raw!K66),(K64+RU_Raw!K66)/2,IF(ISNUMBER(RU_Raw!K67),K64+(RU_Raw!K67-K64)/3,"")))</f>
        <v>120.7</v>
      </c>
      <c r="L65" s="19">
        <f>IF(ISNUMBER(RU_Raw!L65),RU_Raw!L65,IF(ISNUMBER(RU_Raw!L66),(L64+RU_Raw!L66)/2,IF(ISNUMBER(RU_Raw!L67),L64+(RU_Raw!L67-L64)/3,"")))</f>
        <v>141.3</v>
      </c>
      <c r="M65" s="19">
        <f>IF(ISNUMBER(RU_Raw!M65),RU_Raw!M65,IF(ISNUMBER(RU_Raw!M66),(M64+RU_Raw!M66)/2,IF(ISNUMBER(RU_Raw!M67),M64+(RU_Raw!M67-M64)/3,"")))</f>
        <v>151.6</v>
      </c>
      <c r="N65" s="19">
        <f>IF(ISNUMBER(RU_Raw!N65),RU_Raw!N65,IF(ISNUMBER(RU_Raw!N66),(N64+RU_Raw!N66)/2,IF(ISNUMBER(RU_Raw!N67),N64+(RU_Raw!N67-N64)/3,"")))</f>
        <v>127.3</v>
      </c>
      <c r="O65" s="19">
        <f>IF(ISNUMBER(RU_Raw!O65),RU_Raw!O65,IF(ISNUMBER(RU_Raw!O66),(O64+RU_Raw!O66)/2,IF(ISNUMBER(RU_Raw!O67),O64+(RU_Raw!O67-O64)/3,"")))</f>
        <v>118.8</v>
      </c>
      <c r="P65" s="19">
        <f>IF(ISNUMBER(RU_Raw!P65),RU_Raw!P65,IF(ISNUMBER(RU_Raw!P66),(P64+RU_Raw!P66)/2,IF(ISNUMBER(RU_Raw!P67),P64+(RU_Raw!P67-P64)/3,"")))</f>
        <v>137.5</v>
      </c>
      <c r="Q65" s="19">
        <f>IF(ISNUMBER(RU_Raw!Q65),RU_Raw!Q65,IF(ISNUMBER(RU_Raw!Q66),(Q64+RU_Raw!Q66)/2,IF(ISNUMBER(RU_Raw!Q67),Q64+(RU_Raw!Q67-Q64)/3,"")))</f>
        <v>129</v>
      </c>
      <c r="R65" s="19">
        <f>IF(ISNUMBER(RU_Raw!R65),RU_Raw!R65,IF(ISNUMBER(RU_Raw!R66),(R64+RU_Raw!R66)/2,IF(ISNUMBER(RU_Raw!R67),R64+(RU_Raw!R67-R64)/3,"")))</f>
        <v>149.5</v>
      </c>
      <c r="S65" s="19">
        <f>IF(ISNUMBER(RU_Raw!S65),RU_Raw!S65,IF(ISNUMBER(RU_Raw!S66),(S64+RU_Raw!S66)/2,IF(ISNUMBER(RU_Raw!S67),S64+(RU_Raw!S67-S64)/3,"")))</f>
        <v>139.2</v>
      </c>
      <c r="T65" s="19">
        <f>IF(ISNUMBER(RU_Raw!T65),RU_Raw!T65,IF(ISNUMBER(RU_Raw!T66),(T64+RU_Raw!T66)/2,IF(ISNUMBER(RU_Raw!T67),T64+(RU_Raw!T67-T64)/3,"")))</f>
        <v>154.7</v>
      </c>
      <c r="U65" s="19">
        <f>IF(ISNUMBER(RU_Raw!U65),RU_Raw!U65,IF(ISNUMBER(RU_Raw!U66),(U64+RU_Raw!U66)/2,IF(ISNUMBER(RU_Raw!U67),U64+(RU_Raw!U67-U64)/3,"")))</f>
        <v>143.5</v>
      </c>
      <c r="V65" s="19">
        <f>IF(ISNUMBER(RU_Raw!V65),RU_Raw!V65,IF(ISNUMBER(RU_Raw!V66),(V64+RU_Raw!V66)/2,IF(ISNUMBER(RU_Raw!V67),V64+(RU_Raw!V67-V64)/3,"")))</f>
        <v>135.5</v>
      </c>
      <c r="W65" s="19">
        <f>IF(ISNUMBER(RU_Raw!W65),RU_Raw!W65,IF(ISNUMBER(RU_Raw!W66),(W64+RU_Raw!W66)/2,IF(ISNUMBER(RU_Raw!W67),W64+(RU_Raw!W67-W64)/3,"")))</f>
        <v>142.3</v>
      </c>
      <c r="X65" s="19">
        <f>IF(ISNUMBER(RU_Raw!X65),RU_Raw!X65,IF(ISNUMBER(RU_Raw!X66),(X64+RU_Raw!X66)/2,IF(ISNUMBER(RU_Raw!X67),X64+(RU_Raw!X67-X64)/3,"")))</f>
        <v>140.4</v>
      </c>
      <c r="Y65" s="19">
        <f>IF(ISNUMBER(RU_Raw!Y65),RU_Raw!Y65,IF(ISNUMBER(RU_Raw!Y66),(Y64+RU_Raw!Y66)/2,IF(ISNUMBER(RU_Raw!Y67),Y64+(RU_Raw!Y67-Y64)/3,"")))</f>
        <v>136.6</v>
      </c>
      <c r="Z65" s="19">
        <f>IF(ISNUMBER(RU_Raw!Z65),RU_Raw!Z65,IF(ISNUMBER(RU_Raw!Z66),(Z64+RU_Raw!Z66)/2,IF(ISNUMBER(RU_Raw!Z67),Z64+(RU_Raw!Z67-Z64)/3,"")))</f>
        <v>134.9</v>
      </c>
      <c r="AA65" s="19">
        <f>IF(ISNUMBER(RU_Raw!AA65),RU_Raw!AA65,IF(ISNUMBER(RU_Raw!AA66),(AA64+RU_Raw!AA66)/2,IF(ISNUMBER(RU_Raw!AA67),AA64+(RU_Raw!AA67-AA64)/3,"")))</f>
        <v>133.3</v>
      </c>
      <c r="AB65" s="19">
        <f>IF(ISNUMBER(RU_Raw!AB65),RU_Raw!AB65,IF(ISNUMBER(RU_Raw!AB66),(AB64+RU_Raw!AB66)/2,IF(ISNUMBER(RU_Raw!AB67),AB64+(RU_Raw!AB67-AB64)/3,"")))</f>
        <v>119.3</v>
      </c>
      <c r="AC65" s="19">
        <f>IF(ISNUMBER(RU_Raw!AC65),RU_Raw!AC65,IF(ISNUMBER(RU_Raw!AC66),(AC64+RU_Raw!AC66)/2,IF(ISNUMBER(RU_Raw!AC67),AC64+(RU_Raw!AC67-AC64)/3,"")))</f>
        <v>129.7</v>
      </c>
      <c r="AD65" s="19">
        <f>IF(ISNUMBER(RU_Raw!AD65),RU_Raw!AD65,IF(ISNUMBER(RU_Raw!AD66),(AD64+RU_Raw!AD66)/2,IF(ISNUMBER(RU_Raw!AD67),AD64+(RU_Raw!AD67-AD64)/3,"")))</f>
        <v>139</v>
      </c>
      <c r="AE65" s="19">
        <f>IF(ISNUMBER(RU_Raw!AE65),RU_Raw!AE65,IF(ISNUMBER(RU_Raw!AE66),(AE64+RU_Raw!AE66)/2,IF(ISNUMBER(RU_Raw!AE67),AE64+(RU_Raw!AE67-AE64)/3,"")))</f>
        <v>127.3</v>
      </c>
      <c r="AF65" s="19">
        <f>IF(ISNUMBER(RU_Raw!AF65),RU_Raw!AF65,IF(ISNUMBER(RU_Raw!AF66),(AF64+RU_Raw!AF66)/2,IF(ISNUMBER(RU_Raw!AF67),AF64+(RU_Raw!AF67-AF64)/3,"")))</f>
        <v>129.1</v>
      </c>
      <c r="AG65" s="19">
        <f>IF(ISNUMBER(RU_Raw!AG65),RU_Raw!AG65,IF(ISNUMBER(RU_Raw!AG66),(AG64+RU_Raw!AG66)/2,IF(ISNUMBER(RU_Raw!AG67),AG64+(RU_Raw!AG67-AG64)/3,"")))</f>
        <v>136.9</v>
      </c>
      <c r="AH65" s="19">
        <f t="shared" si="1"/>
        <v>1640.7</v>
      </c>
    </row>
    <row r="66" spans="1:34">
      <c r="A66" s="6">
        <f>RU_Raw!A66</f>
        <v>2018</v>
      </c>
      <c r="B66" s="6">
        <f>RU_Raw!B66</f>
        <v>2</v>
      </c>
      <c r="C66" s="6" t="str">
        <f>RU_Raw!C66</f>
        <v>February</v>
      </c>
      <c r="D66" s="9">
        <f>RU_Raw!D66</f>
        <v>43132</v>
      </c>
      <c r="E66" s="6">
        <f>COUNTBLANK(RU_Raw!G66:AG66)</f>
        <v>0</v>
      </c>
      <c r="F66" s="6" t="str">
        <f t="shared" si="0"/>
        <v/>
      </c>
      <c r="G66" s="19">
        <f>IF(ISNUMBER(RU_Raw!G66),RU_Raw!G66,IF(ISNUMBER(RU_Raw!G67),(G65+RU_Raw!G67)/2,IF(ISNUMBER(RU_Raw!G68),G65+(RU_Raw!G68-G65)/3,"")))</f>
        <v>135.9</v>
      </c>
      <c r="H66" s="19">
        <f>IF(ISNUMBER(RU_Raw!H66),RU_Raw!H66,IF(ISNUMBER(RU_Raw!H67),(H65+RU_Raw!H67)/2,IF(ISNUMBER(RU_Raw!H68),H65+(RU_Raw!H68-H65)/3,"")))</f>
        <v>143.5</v>
      </c>
      <c r="I66" s="19">
        <f>IF(ISNUMBER(RU_Raw!I66),RU_Raw!I66,IF(ISNUMBER(RU_Raw!I67),(I65+RU_Raw!I67)/2,IF(ISNUMBER(RU_Raw!I68),I65+(RU_Raw!I68-I65)/3,"")))</f>
        <v>140.3</v>
      </c>
      <c r="J66" s="19">
        <f>IF(ISNUMBER(RU_Raw!J66),RU_Raw!J66,IF(ISNUMBER(RU_Raw!J67),(J65+RU_Raw!J67)/2,IF(ISNUMBER(RU_Raw!J68),J65+(RU_Raw!J68-J65)/3,"")))</f>
        <v>140.9</v>
      </c>
      <c r="K66" s="19">
        <f>IF(ISNUMBER(RU_Raw!K66),RU_Raw!K66,IF(ISNUMBER(RU_Raw!K67),(K65+RU_Raw!K67)/2,IF(ISNUMBER(RU_Raw!K68),K65+(RU_Raw!K68-K65)/3,"")))</f>
        <v>120.4</v>
      </c>
      <c r="L66" s="19">
        <f>IF(ISNUMBER(RU_Raw!L66),RU_Raw!L66,IF(ISNUMBER(RU_Raw!L67),(L65+RU_Raw!L67)/2,IF(ISNUMBER(RU_Raw!L68),L65+(RU_Raw!L68-L65)/3,"")))</f>
        <v>142.9</v>
      </c>
      <c r="M66" s="19">
        <f>IF(ISNUMBER(RU_Raw!M66),RU_Raw!M66,IF(ISNUMBER(RU_Raw!M67),(M65+RU_Raw!M67)/2,IF(ISNUMBER(RU_Raw!M68),M65+(RU_Raw!M68-M65)/3,"")))</f>
        <v>140.5</v>
      </c>
      <c r="N66" s="19">
        <f>IF(ISNUMBER(RU_Raw!N66),RU_Raw!N66,IF(ISNUMBER(RU_Raw!N67),(N65+RU_Raw!N67)/2,IF(ISNUMBER(RU_Raw!N68),N65+(RU_Raw!N68-N65)/3,"")))</f>
        <v>125.8</v>
      </c>
      <c r="O66" s="19">
        <f>IF(ISNUMBER(RU_Raw!O66),RU_Raw!O66,IF(ISNUMBER(RU_Raw!O67),(O65+RU_Raw!O67)/2,IF(ISNUMBER(RU_Raw!O68),O65+(RU_Raw!O68-O65)/3,"")))</f>
        <v>117.1</v>
      </c>
      <c r="P66" s="19">
        <f>IF(ISNUMBER(RU_Raw!P66),RU_Raw!P66,IF(ISNUMBER(RU_Raw!P67),(P65+RU_Raw!P67)/2,IF(ISNUMBER(RU_Raw!P68),P65+(RU_Raw!P68-P65)/3,"")))</f>
        <v>137.3</v>
      </c>
      <c r="Q66" s="19">
        <f>IF(ISNUMBER(RU_Raw!Q66),RU_Raw!Q66,IF(ISNUMBER(RU_Raw!Q67),(Q65+RU_Raw!Q67)/2,IF(ISNUMBER(RU_Raw!Q68),Q65+(RU_Raw!Q68-Q65)/3,"")))</f>
        <v>128.6</v>
      </c>
      <c r="R66" s="19">
        <f>IF(ISNUMBER(RU_Raw!R66),RU_Raw!R66,IF(ISNUMBER(RU_Raw!R67),(R65+RU_Raw!R67)/2,IF(ISNUMBER(RU_Raw!R68),R65+(RU_Raw!R68-R65)/3,"")))</f>
        <v>149.6</v>
      </c>
      <c r="S66" s="19">
        <f>IF(ISNUMBER(RU_Raw!S66),RU_Raw!S66,IF(ISNUMBER(RU_Raw!S67),(S65+RU_Raw!S67)/2,IF(ISNUMBER(RU_Raw!S68),S65+(RU_Raw!S68-S65)/3,"")))</f>
        <v>137.6</v>
      </c>
      <c r="T66" s="19">
        <f>IF(ISNUMBER(RU_Raw!T66),RU_Raw!T66,IF(ISNUMBER(RU_Raw!T67),(T65+RU_Raw!T67)/2,IF(ISNUMBER(RU_Raw!T68),T65+(RU_Raw!T68-T65)/3,"")))</f>
        <v>154.9</v>
      </c>
      <c r="U66" s="19">
        <f>IF(ISNUMBER(RU_Raw!U66),RU_Raw!U66,IF(ISNUMBER(RU_Raw!U67),(U65+RU_Raw!U67)/2,IF(ISNUMBER(RU_Raw!U68),U65+(RU_Raw!U68-U65)/3,"")))</f>
        <v>143.8</v>
      </c>
      <c r="V66" s="19">
        <f>IF(ISNUMBER(RU_Raw!V66),RU_Raw!V66,IF(ISNUMBER(RU_Raw!V67),(V65+RU_Raw!V67)/2,IF(ISNUMBER(RU_Raw!V68),V65+(RU_Raw!V68-V65)/3,"")))</f>
        <v>135.6</v>
      </c>
      <c r="W66" s="19">
        <f>IF(ISNUMBER(RU_Raw!W66),RU_Raw!W66,IF(ISNUMBER(RU_Raw!W67),(W65+RU_Raw!W67)/2,IF(ISNUMBER(RU_Raw!W68),W65+(RU_Raw!W68-W65)/3,"")))</f>
        <v>142.6</v>
      </c>
      <c r="X66" s="19">
        <f>IF(ISNUMBER(RU_Raw!X66),RU_Raw!X66,IF(ISNUMBER(RU_Raw!X67),(X65+RU_Raw!X67)/2,IF(ISNUMBER(RU_Raw!X68),X65+(RU_Raw!X68-X65)/3,"")))</f>
        <v>141.3</v>
      </c>
      <c r="Y66" s="19">
        <f>IF(ISNUMBER(RU_Raw!Y66),RU_Raw!Y66,IF(ISNUMBER(RU_Raw!Y67),(Y65+RU_Raw!Y67)/2,IF(ISNUMBER(RU_Raw!Y68),Y65+(RU_Raw!Y68-Y65)/3,"")))</f>
        <v>136.7</v>
      </c>
      <c r="Z66" s="19">
        <f>IF(ISNUMBER(RU_Raw!Z66),RU_Raw!Z66,IF(ISNUMBER(RU_Raw!Z67),(Z65+RU_Raw!Z67)/2,IF(ISNUMBER(RU_Raw!Z68),Z65+(RU_Raw!Z68-Z65)/3,"")))</f>
        <v>135.2</v>
      </c>
      <c r="AA66" s="19">
        <f>IF(ISNUMBER(RU_Raw!AA66),RU_Raw!AA66,IF(ISNUMBER(RU_Raw!AA67),(AA65+RU_Raw!AA67)/2,IF(ISNUMBER(RU_Raw!AA68),AA65+(RU_Raw!AA68-AA65)/3,"")))</f>
        <v>133.8</v>
      </c>
      <c r="AB66" s="19">
        <f>IF(ISNUMBER(RU_Raw!AB66),RU_Raw!AB66,IF(ISNUMBER(RU_Raw!AB67),(AB65+RU_Raw!AB67)/2,IF(ISNUMBER(RU_Raw!AB68),AB65+(RU_Raw!AB68-AB65)/3,"")))</f>
        <v>120.2</v>
      </c>
      <c r="AC66" s="19">
        <f>IF(ISNUMBER(RU_Raw!AC66),RU_Raw!AC66,IF(ISNUMBER(RU_Raw!AC67),(AC65+RU_Raw!AC67)/2,IF(ISNUMBER(RU_Raw!AC68),AC65+(RU_Raw!AC68-AC65)/3,"")))</f>
        <v>129.9</v>
      </c>
      <c r="AD66" s="19">
        <f>IF(ISNUMBER(RU_Raw!AD66),RU_Raw!AD66,IF(ISNUMBER(RU_Raw!AD67),(AD65+RU_Raw!AD67)/2,IF(ISNUMBER(RU_Raw!AD68),AD65+(RU_Raw!AD68-AD65)/3,"")))</f>
        <v>139</v>
      </c>
      <c r="AE66" s="19">
        <f>IF(ISNUMBER(RU_Raw!AE66),RU_Raw!AE66,IF(ISNUMBER(RU_Raw!AE67),(AE65+RU_Raw!AE67)/2,IF(ISNUMBER(RU_Raw!AE68),AE65+(RU_Raw!AE68-AE65)/3,"")))</f>
        <v>127.7</v>
      </c>
      <c r="AF66" s="19">
        <f>IF(ISNUMBER(RU_Raw!AF66),RU_Raw!AF66,IF(ISNUMBER(RU_Raw!AF67),(AF65+RU_Raw!AF67)/2,IF(ISNUMBER(RU_Raw!AF68),AF65+(RU_Raw!AF68-AF65)/3,"")))</f>
        <v>129.6</v>
      </c>
      <c r="AG66" s="19">
        <f>IF(ISNUMBER(RU_Raw!AG66),RU_Raw!AG66,IF(ISNUMBER(RU_Raw!AG67),(AG65+RU_Raw!AG67)/2,IF(ISNUMBER(RU_Raw!AG68),AG65+(RU_Raw!AG68-AG65)/3,"")))</f>
        <v>136.4</v>
      </c>
      <c r="AH66" s="19">
        <f t="shared" si="1"/>
        <v>1622.8</v>
      </c>
    </row>
    <row r="67" spans="1:34">
      <c r="A67" s="6">
        <f>RU_Raw!A67</f>
        <v>2018</v>
      </c>
      <c r="B67" s="6">
        <f>RU_Raw!B67</f>
        <v>3</v>
      </c>
      <c r="C67" s="6" t="str">
        <f>RU_Raw!C67</f>
        <v>March</v>
      </c>
      <c r="D67" s="9">
        <f>RU_Raw!D67</f>
        <v>43160</v>
      </c>
      <c r="E67" s="6">
        <f>COUNTBLANK(RU_Raw!G67:AG67)</f>
        <v>0</v>
      </c>
      <c r="F67" s="6" t="str">
        <f t="shared" si="0"/>
        <v/>
      </c>
      <c r="G67" s="19">
        <f>IF(ISNUMBER(RU_Raw!G67),RU_Raw!G67,IF(ISNUMBER(RU_Raw!G68),(G66+RU_Raw!G68)/2,IF(ISNUMBER(RU_Raw!G69),G66+(RU_Raw!G69-G66)/3,"")))</f>
        <v>136.2</v>
      </c>
      <c r="H67" s="19">
        <f>IF(ISNUMBER(RU_Raw!H67),RU_Raw!H67,IF(ISNUMBER(RU_Raw!H68),(H66+RU_Raw!H68)/2,IF(ISNUMBER(RU_Raw!H69),H66+(RU_Raw!H69-H66)/3,"")))</f>
        <v>143.6</v>
      </c>
      <c r="I67" s="19">
        <f>IF(ISNUMBER(RU_Raw!I67),RU_Raw!I67,IF(ISNUMBER(RU_Raw!I68),(I66+RU_Raw!I68)/2,IF(ISNUMBER(RU_Raw!I69),I66+(RU_Raw!I69-I66)/3,"")))</f>
        <v>138.3</v>
      </c>
      <c r="J67" s="19">
        <f>IF(ISNUMBER(RU_Raw!J67),RU_Raw!J67,IF(ISNUMBER(RU_Raw!J68),(J66+RU_Raw!J68)/2,IF(ISNUMBER(RU_Raw!J69),J66+(RU_Raw!J69-J66)/3,"")))</f>
        <v>141.2</v>
      </c>
      <c r="K67" s="19">
        <f>IF(ISNUMBER(RU_Raw!K67),RU_Raw!K67,IF(ISNUMBER(RU_Raw!K68),(K66+RU_Raw!K68)/2,IF(ISNUMBER(RU_Raw!K69),K66+(RU_Raw!K69-K66)/3,"")))</f>
        <v>120.7</v>
      </c>
      <c r="L67" s="19">
        <f>IF(ISNUMBER(RU_Raw!L67),RU_Raw!L67,IF(ISNUMBER(RU_Raw!L68),(L66+RU_Raw!L68)/2,IF(ISNUMBER(RU_Raw!L69),L66+(RU_Raw!L69-L66)/3,"")))</f>
        <v>146.2</v>
      </c>
      <c r="M67" s="19">
        <f>IF(ISNUMBER(RU_Raw!M67),RU_Raw!M67,IF(ISNUMBER(RU_Raw!M68),(M66+RU_Raw!M68)/2,IF(ISNUMBER(RU_Raw!M69),M66+(RU_Raw!M69-M66)/3,"")))</f>
        <v>134.6</v>
      </c>
      <c r="N67" s="19">
        <f>IF(ISNUMBER(RU_Raw!N67),RU_Raw!N67,IF(ISNUMBER(RU_Raw!N68),(N66+RU_Raw!N68)/2,IF(ISNUMBER(RU_Raw!N69),N66+(RU_Raw!N69-N66)/3,"")))</f>
        <v>124.6</v>
      </c>
      <c r="O67" s="19">
        <f>IF(ISNUMBER(RU_Raw!O67),RU_Raw!O67,IF(ISNUMBER(RU_Raw!O68),(O66+RU_Raw!O68)/2,IF(ISNUMBER(RU_Raw!O69),O66+(RU_Raw!O69-O66)/3,"")))</f>
        <v>116.1</v>
      </c>
      <c r="P67" s="19">
        <f>IF(ISNUMBER(RU_Raw!P67),RU_Raw!P67,IF(ISNUMBER(RU_Raw!P68),(P66+RU_Raw!P68)/2,IF(ISNUMBER(RU_Raw!P69),P66+(RU_Raw!P69-P66)/3,"")))</f>
        <v>137.8</v>
      </c>
      <c r="Q67" s="19">
        <f>IF(ISNUMBER(RU_Raw!Q67),RU_Raw!Q67,IF(ISNUMBER(RU_Raw!Q68),(Q66+RU_Raw!Q68)/2,IF(ISNUMBER(RU_Raw!Q69),Q66+(RU_Raw!Q69-Q66)/3,"")))</f>
        <v>129.1</v>
      </c>
      <c r="R67" s="19">
        <f>IF(ISNUMBER(RU_Raw!R67),RU_Raw!R67,IF(ISNUMBER(RU_Raw!R68),(R66+RU_Raw!R68)/2,IF(ISNUMBER(RU_Raw!R69),R66+(RU_Raw!R69-R66)/3,"")))</f>
        <v>150.4</v>
      </c>
      <c r="S67" s="19">
        <f>IF(ISNUMBER(RU_Raw!S67),RU_Raw!S67,IF(ISNUMBER(RU_Raw!S68),(S66+RU_Raw!S68)/2,IF(ISNUMBER(RU_Raw!S69),S66+(RU_Raw!S69-S66)/3,"")))</f>
        <v>137.2</v>
      </c>
      <c r="T67" s="19">
        <f>IF(ISNUMBER(RU_Raw!T67),RU_Raw!T67,IF(ISNUMBER(RU_Raw!T68),(T66+RU_Raw!T68)/2,IF(ISNUMBER(RU_Raw!T69),T66+(RU_Raw!T69-T66)/3,"")))</f>
        <v>156.3</v>
      </c>
      <c r="U67" s="19">
        <f>IF(ISNUMBER(RU_Raw!U67),RU_Raw!U67,IF(ISNUMBER(RU_Raw!U68),(U66+RU_Raw!U68)/2,IF(ISNUMBER(RU_Raw!U69),U66+(RU_Raw!U69-U66)/3,"")))</f>
        <v>144.3</v>
      </c>
      <c r="V67" s="19">
        <f>IF(ISNUMBER(RU_Raw!V67),RU_Raw!V67,IF(ISNUMBER(RU_Raw!V68),(V66+RU_Raw!V68)/2,IF(ISNUMBER(RU_Raw!V69),V66+(RU_Raw!V69-V66)/3,"")))</f>
        <v>136.2</v>
      </c>
      <c r="W67" s="19">
        <f>IF(ISNUMBER(RU_Raw!W67),RU_Raw!W67,IF(ISNUMBER(RU_Raw!W68),(W66+RU_Raw!W68)/2,IF(ISNUMBER(RU_Raw!W69),W66+(RU_Raw!W69-W66)/3,"")))</f>
        <v>143.1</v>
      </c>
      <c r="X67" s="19">
        <f>IF(ISNUMBER(RU_Raw!X67),RU_Raw!X67,IF(ISNUMBER(RU_Raw!X68),(X66+RU_Raw!X68)/2,IF(ISNUMBER(RU_Raw!X69),X66+(RU_Raw!X69-X66)/3,"")))</f>
        <v>142</v>
      </c>
      <c r="Y67" s="19">
        <f>IF(ISNUMBER(RU_Raw!Y67),RU_Raw!Y67,IF(ISNUMBER(RU_Raw!Y68),(Y66+RU_Raw!Y68)/2,IF(ISNUMBER(RU_Raw!Y69),Y66+(RU_Raw!Y69-Y66)/3,"")))</f>
        <v>136.5</v>
      </c>
      <c r="Z67" s="19">
        <f>IF(ISNUMBER(RU_Raw!Z67),RU_Raw!Z67,IF(ISNUMBER(RU_Raw!Z68),(Z66+RU_Raw!Z68)/2,IF(ISNUMBER(RU_Raw!Z69),Z66+(RU_Raw!Z69-Z66)/3,"")))</f>
        <v>135.6</v>
      </c>
      <c r="AA67" s="19">
        <f>IF(ISNUMBER(RU_Raw!AA67),RU_Raw!AA67,IF(ISNUMBER(RU_Raw!AA68),(AA66+RU_Raw!AA68)/2,IF(ISNUMBER(RU_Raw!AA69),AA66+(RU_Raw!AA69-AA66)/3,"")))</f>
        <v>134.3</v>
      </c>
      <c r="AB67" s="19">
        <f>IF(ISNUMBER(RU_Raw!AB67),RU_Raw!AB67,IF(ISNUMBER(RU_Raw!AB68),(AB66+RU_Raw!AB68)/2,IF(ISNUMBER(RU_Raw!AB69),AB66+(RU_Raw!AB69-AB66)/3,"")))</f>
        <v>121</v>
      </c>
      <c r="AC67" s="19">
        <f>IF(ISNUMBER(RU_Raw!AC67),RU_Raw!AC67,IF(ISNUMBER(RU_Raw!AC68),(AC66+RU_Raw!AC68)/2,IF(ISNUMBER(RU_Raw!AC69),AC66+(RU_Raw!AC69-AC66)/3,"")))</f>
        <v>130.4</v>
      </c>
      <c r="AD67" s="19">
        <f>IF(ISNUMBER(RU_Raw!AD67),RU_Raw!AD67,IF(ISNUMBER(RU_Raw!AD68),(AD66+RU_Raw!AD68)/2,IF(ISNUMBER(RU_Raw!AD69),AD66+(RU_Raw!AD69-AD66)/3,"")))</f>
        <v>139.8</v>
      </c>
      <c r="AE67" s="19">
        <f>IF(ISNUMBER(RU_Raw!AE67),RU_Raw!AE67,IF(ISNUMBER(RU_Raw!AE68),(AE66+RU_Raw!AE68)/2,IF(ISNUMBER(RU_Raw!AE69),AE66+(RU_Raw!AE69-AE66)/3,"")))</f>
        <v>128.2</v>
      </c>
      <c r="AF67" s="19">
        <f>IF(ISNUMBER(RU_Raw!AF67),RU_Raw!AF67,IF(ISNUMBER(RU_Raw!AF68),(AF66+RU_Raw!AF68)/2,IF(ISNUMBER(RU_Raw!AF69),AF66+(RU_Raw!AF69-AF66)/3,"")))</f>
        <v>130.3</v>
      </c>
      <c r="AG67" s="19">
        <f>IF(ISNUMBER(RU_Raw!AG67),RU_Raw!AG67,IF(ISNUMBER(RU_Raw!AG68),(AG66+RU_Raw!AG68)/2,IF(ISNUMBER(RU_Raw!AG69),AG66+(RU_Raw!AG69-AG66)/3,"")))</f>
        <v>136.5</v>
      </c>
      <c r="AH67" s="19">
        <f t="shared" si="1"/>
        <v>1618.8</v>
      </c>
    </row>
    <row r="68" spans="1:34">
      <c r="A68" s="6">
        <f>RU_Raw!A68</f>
        <v>2018</v>
      </c>
      <c r="B68" s="6">
        <f>RU_Raw!B68</f>
        <v>4</v>
      </c>
      <c r="C68" s="6" t="str">
        <f>RU_Raw!C68</f>
        <v>April</v>
      </c>
      <c r="D68" s="9">
        <f>RU_Raw!D68</f>
        <v>43191</v>
      </c>
      <c r="E68" s="6">
        <f>COUNTBLANK(RU_Raw!G68:AG68)</f>
        <v>0</v>
      </c>
      <c r="F68" s="6" t="str">
        <f t="shared" si="0"/>
        <v/>
      </c>
      <c r="G68" s="19">
        <f>IF(ISNUMBER(RU_Raw!G68),RU_Raw!G68,IF(ISNUMBER(RU_Raw!G69),(G67+RU_Raw!G69)/2,IF(ISNUMBER(RU_Raw!G70),G67+(RU_Raw!G70-G67)/3,"")))</f>
        <v>136.4</v>
      </c>
      <c r="H68" s="19">
        <f>IF(ISNUMBER(RU_Raw!H68),RU_Raw!H68,IF(ISNUMBER(RU_Raw!H69),(H67+RU_Raw!H69)/2,IF(ISNUMBER(RU_Raw!H70),H67+(RU_Raw!H70-H67)/3,"")))</f>
        <v>144.4</v>
      </c>
      <c r="I68" s="19">
        <f>IF(ISNUMBER(RU_Raw!I68),RU_Raw!I68,IF(ISNUMBER(RU_Raw!I69),(I67+RU_Raw!I69)/2,IF(ISNUMBER(RU_Raw!I70),I67+(RU_Raw!I70-I67)/3,"")))</f>
        <v>133.9</v>
      </c>
      <c r="J68" s="19">
        <f>IF(ISNUMBER(RU_Raw!J68),RU_Raw!J68,IF(ISNUMBER(RU_Raw!J69),(J67+RU_Raw!J69)/2,IF(ISNUMBER(RU_Raw!J70),J67+(RU_Raw!J70-J67)/3,"")))</f>
        <v>141.6</v>
      </c>
      <c r="K68" s="19">
        <f>IF(ISNUMBER(RU_Raw!K68),RU_Raw!K68,IF(ISNUMBER(RU_Raw!K69),(K67+RU_Raw!K69)/2,IF(ISNUMBER(RU_Raw!K70),K67+(RU_Raw!K70-K67)/3,"")))</f>
        <v>121</v>
      </c>
      <c r="L68" s="19">
        <f>IF(ISNUMBER(RU_Raw!L68),RU_Raw!L68,IF(ISNUMBER(RU_Raw!L69),(L67+RU_Raw!L69)/2,IF(ISNUMBER(RU_Raw!L70),L67+(RU_Raw!L70-L67)/3,"")))</f>
        <v>153.5</v>
      </c>
      <c r="M68" s="19">
        <f>IF(ISNUMBER(RU_Raw!M68),RU_Raw!M68,IF(ISNUMBER(RU_Raw!M69),(M67+RU_Raw!M69)/2,IF(ISNUMBER(RU_Raw!M70),M67+(RU_Raw!M70-M67)/3,"")))</f>
        <v>132.6</v>
      </c>
      <c r="N68" s="19">
        <f>IF(ISNUMBER(RU_Raw!N68),RU_Raw!N68,IF(ISNUMBER(RU_Raw!N69),(N67+RU_Raw!N69)/2,IF(ISNUMBER(RU_Raw!N70),N67+(RU_Raw!N70-N67)/3,"")))</f>
        <v>123.5</v>
      </c>
      <c r="O68" s="19">
        <f>IF(ISNUMBER(RU_Raw!O68),RU_Raw!O68,IF(ISNUMBER(RU_Raw!O69),(O67+RU_Raw!O69)/2,IF(ISNUMBER(RU_Raw!O70),O67+(RU_Raw!O70-O67)/3,"")))</f>
        <v>113.7</v>
      </c>
      <c r="P68" s="19">
        <f>IF(ISNUMBER(RU_Raw!P68),RU_Raw!P68,IF(ISNUMBER(RU_Raw!P69),(P67+RU_Raw!P69)/2,IF(ISNUMBER(RU_Raw!P70),P67+(RU_Raw!P70-P67)/3,"")))</f>
        <v>138.2</v>
      </c>
      <c r="Q68" s="19">
        <f>IF(ISNUMBER(RU_Raw!Q68),RU_Raw!Q68,IF(ISNUMBER(RU_Raw!Q69),(Q67+RU_Raw!Q69)/2,IF(ISNUMBER(RU_Raw!Q70),Q67+(RU_Raw!Q70-Q67)/3,"")))</f>
        <v>129.6</v>
      </c>
      <c r="R68" s="19">
        <f>IF(ISNUMBER(RU_Raw!R68),RU_Raw!R68,IF(ISNUMBER(RU_Raw!R69),(R67+RU_Raw!R69)/2,IF(ISNUMBER(RU_Raw!R70),R67+(RU_Raw!R70-R67)/3,"")))</f>
        <v>151.2</v>
      </c>
      <c r="S68" s="19">
        <f>IF(ISNUMBER(RU_Raw!S68),RU_Raw!S68,IF(ISNUMBER(RU_Raw!S69),(S67+RU_Raw!S69)/2,IF(ISNUMBER(RU_Raw!S70),S67+(RU_Raw!S70-S67)/3,"")))</f>
        <v>137.5</v>
      </c>
      <c r="T68" s="19">
        <f>IF(ISNUMBER(RU_Raw!T68),RU_Raw!T68,IF(ISNUMBER(RU_Raw!T69),(T67+RU_Raw!T69)/2,IF(ISNUMBER(RU_Raw!T70),T67+(RU_Raw!T70-T67)/3,"")))</f>
        <v>156.9</v>
      </c>
      <c r="U68" s="19">
        <f>IF(ISNUMBER(RU_Raw!U68),RU_Raw!U68,IF(ISNUMBER(RU_Raw!U69),(U67+RU_Raw!U69)/2,IF(ISNUMBER(RU_Raw!U70),U67+(RU_Raw!U70-U67)/3,"")))</f>
        <v>145.3</v>
      </c>
      <c r="V68" s="19">
        <f>IF(ISNUMBER(RU_Raw!V68),RU_Raw!V68,IF(ISNUMBER(RU_Raw!V69),(V67+RU_Raw!V69)/2,IF(ISNUMBER(RU_Raw!V70),V67+(RU_Raw!V70-V67)/3,"")))</f>
        <v>136.7</v>
      </c>
      <c r="W68" s="19">
        <f>IF(ISNUMBER(RU_Raw!W68),RU_Raw!W68,IF(ISNUMBER(RU_Raw!W69),(W67+RU_Raw!W69)/2,IF(ISNUMBER(RU_Raw!W70),W67+(RU_Raw!W70-W67)/3,"")))</f>
        <v>144</v>
      </c>
      <c r="X68" s="19">
        <f>IF(ISNUMBER(RU_Raw!X68),RU_Raw!X68,IF(ISNUMBER(RU_Raw!X69),(X67+RU_Raw!X69)/2,IF(ISNUMBER(RU_Raw!X70),X67+(RU_Raw!X70-X67)/3,"")))</f>
        <v>142.9</v>
      </c>
      <c r="Y68" s="19">
        <f>IF(ISNUMBER(RU_Raw!Y68),RU_Raw!Y68,IF(ISNUMBER(RU_Raw!Y69),(Y67+RU_Raw!Y69)/2,IF(ISNUMBER(RU_Raw!Y70),Y67+(RU_Raw!Y70-Y67)/3,"")))</f>
        <v>136.5</v>
      </c>
      <c r="Z68" s="19">
        <f>IF(ISNUMBER(RU_Raw!Z68),RU_Raw!Z68,IF(ISNUMBER(RU_Raw!Z69),(Z67+RU_Raw!Z69)/2,IF(ISNUMBER(RU_Raw!Z70),Z67+(RU_Raw!Z70-Z67)/3,"")))</f>
        <v>136.6</v>
      </c>
      <c r="AA68" s="19">
        <f>IF(ISNUMBER(RU_Raw!AA68),RU_Raw!AA68,IF(ISNUMBER(RU_Raw!AA69),(AA67+RU_Raw!AA69)/2,IF(ISNUMBER(RU_Raw!AA70),AA67+(RU_Raw!AA70-AA67)/3,"")))</f>
        <v>135.2</v>
      </c>
      <c r="AB68" s="19">
        <f>IF(ISNUMBER(RU_Raw!AB68),RU_Raw!AB68,IF(ISNUMBER(RU_Raw!AB69),(AB67+RU_Raw!AB69)/2,IF(ISNUMBER(RU_Raw!AB70),AB67+(RU_Raw!AB70-AB67)/3,"")))</f>
        <v>121.9</v>
      </c>
      <c r="AC68" s="19">
        <f>IF(ISNUMBER(RU_Raw!AC68),RU_Raw!AC68,IF(ISNUMBER(RU_Raw!AC69),(AC67+RU_Raw!AC69)/2,IF(ISNUMBER(RU_Raw!AC70),AC67+(RU_Raw!AC70-AC67)/3,"")))</f>
        <v>131.3</v>
      </c>
      <c r="AD68" s="19">
        <f>IF(ISNUMBER(RU_Raw!AD68),RU_Raw!AD68,IF(ISNUMBER(RU_Raw!AD69),(AD67+RU_Raw!AD69)/2,IF(ISNUMBER(RU_Raw!AD70),AD67+(RU_Raw!AD70-AD67)/3,"")))</f>
        <v>141.4</v>
      </c>
      <c r="AE68" s="19">
        <f>IF(ISNUMBER(RU_Raw!AE68),RU_Raw!AE68,IF(ISNUMBER(RU_Raw!AE69),(AE67+RU_Raw!AE69)/2,IF(ISNUMBER(RU_Raw!AE70),AE67+(RU_Raw!AE70-AE67)/3,"")))</f>
        <v>129.2</v>
      </c>
      <c r="AF68" s="19">
        <f>IF(ISNUMBER(RU_Raw!AF68),RU_Raw!AF68,IF(ISNUMBER(RU_Raw!AF69),(AF67+RU_Raw!AF69)/2,IF(ISNUMBER(RU_Raw!AF70),AF67+(RU_Raw!AF70-AF67)/3,"")))</f>
        <v>131.3</v>
      </c>
      <c r="AG68" s="19">
        <f>IF(ISNUMBER(RU_Raw!AG68),RU_Raw!AG68,IF(ISNUMBER(RU_Raw!AG69),(AG67+RU_Raw!AG69)/2,IF(ISNUMBER(RU_Raw!AG70),AG67+(RU_Raw!AG70-AG67)/3,"")))</f>
        <v>137.1</v>
      </c>
      <c r="AH68" s="19">
        <f t="shared" si="1"/>
        <v>1619.6</v>
      </c>
    </row>
    <row r="69" spans="1:34">
      <c r="A69" s="6">
        <f>RU_Raw!A69</f>
        <v>2018</v>
      </c>
      <c r="B69" s="6">
        <f>RU_Raw!B69</f>
        <v>5</v>
      </c>
      <c r="C69" s="6" t="str">
        <f>RU_Raw!C69</f>
        <v>May</v>
      </c>
      <c r="D69" s="9">
        <f>RU_Raw!D69</f>
        <v>43221</v>
      </c>
      <c r="E69" s="6">
        <f>COUNTBLANK(RU_Raw!G69:AG69)</f>
        <v>0</v>
      </c>
      <c r="F69" s="6" t="str">
        <f t="shared" ref="F69:F129" si="2">IF(E69&gt;0,"Imputed","")</f>
        <v/>
      </c>
      <c r="G69" s="19">
        <f>IF(ISNUMBER(RU_Raw!G69),RU_Raw!G69,IF(ISNUMBER(RU_Raw!G70),(G68+RU_Raw!G70)/2,IF(ISNUMBER(RU_Raw!G71),G68+(RU_Raw!G71-G68)/3,"")))</f>
        <v>136.6</v>
      </c>
      <c r="H69" s="19">
        <f>IF(ISNUMBER(RU_Raw!H69),RU_Raw!H69,IF(ISNUMBER(RU_Raw!H70),(H68+RU_Raw!H70)/2,IF(ISNUMBER(RU_Raw!H71),H68+(RU_Raw!H71-H68)/3,"")))</f>
        <v>146.6</v>
      </c>
      <c r="I69" s="19">
        <f>IF(ISNUMBER(RU_Raw!I69),RU_Raw!I69,IF(ISNUMBER(RU_Raw!I70),(I68+RU_Raw!I70)/2,IF(ISNUMBER(RU_Raw!I71),I68+(RU_Raw!I71-I68)/3,"")))</f>
        <v>133.6</v>
      </c>
      <c r="J69" s="19">
        <f>IF(ISNUMBER(RU_Raw!J69),RU_Raw!J69,IF(ISNUMBER(RU_Raw!J70),(J68+RU_Raw!J70)/2,IF(ISNUMBER(RU_Raw!J71),J68+(RU_Raw!J71-J68)/3,"")))</f>
        <v>142.1</v>
      </c>
      <c r="K69" s="19">
        <f>IF(ISNUMBER(RU_Raw!K69),RU_Raw!K69,IF(ISNUMBER(RU_Raw!K70),(K68+RU_Raw!K70)/2,IF(ISNUMBER(RU_Raw!K71),K68+(RU_Raw!K71-K68)/3,"")))</f>
        <v>121</v>
      </c>
      <c r="L69" s="19">
        <f>IF(ISNUMBER(RU_Raw!L69),RU_Raw!L69,IF(ISNUMBER(RU_Raw!L70),(L68+RU_Raw!L70)/2,IF(ISNUMBER(RU_Raw!L71),L68+(RU_Raw!L71-L68)/3,"")))</f>
        <v>154.6</v>
      </c>
      <c r="M69" s="19">
        <f>IF(ISNUMBER(RU_Raw!M69),RU_Raw!M69,IF(ISNUMBER(RU_Raw!M70),(M68+RU_Raw!M70)/2,IF(ISNUMBER(RU_Raw!M71),M68+(RU_Raw!M71-M68)/3,"")))</f>
        <v>135.6</v>
      </c>
      <c r="N69" s="19">
        <f>IF(ISNUMBER(RU_Raw!N69),RU_Raw!N69,IF(ISNUMBER(RU_Raw!N70),(N68+RU_Raw!N70)/2,IF(ISNUMBER(RU_Raw!N71),N68+(RU_Raw!N71-N68)/3,"")))</f>
        <v>122.3</v>
      </c>
      <c r="O69" s="19">
        <f>IF(ISNUMBER(RU_Raw!O69),RU_Raw!O69,IF(ISNUMBER(RU_Raw!O70),(O68+RU_Raw!O70)/2,IF(ISNUMBER(RU_Raw!O71),O68+(RU_Raw!O71-O68)/3,"")))</f>
        <v>109.6</v>
      </c>
      <c r="P69" s="19">
        <f>IF(ISNUMBER(RU_Raw!P69),RU_Raw!P69,IF(ISNUMBER(RU_Raw!P70),(P68+RU_Raw!P70)/2,IF(ISNUMBER(RU_Raw!P71),P68+(RU_Raw!P71-P68)/3,"")))</f>
        <v>138.1</v>
      </c>
      <c r="Q69" s="19">
        <f>IF(ISNUMBER(RU_Raw!Q69),RU_Raw!Q69,IF(ISNUMBER(RU_Raw!Q70),(Q68+RU_Raw!Q70)/2,IF(ISNUMBER(RU_Raw!Q71),Q68+(RU_Raw!Q71-Q68)/3,"")))</f>
        <v>129.9</v>
      </c>
      <c r="R69" s="19">
        <f>IF(ISNUMBER(RU_Raw!R69),RU_Raw!R69,IF(ISNUMBER(RU_Raw!R70),(R68+RU_Raw!R70)/2,IF(ISNUMBER(RU_Raw!R71),R68+(RU_Raw!R71-R68)/3,"")))</f>
        <v>151.7</v>
      </c>
      <c r="S69" s="19">
        <f>IF(ISNUMBER(RU_Raw!S69),RU_Raw!S69,IF(ISNUMBER(RU_Raw!S70),(S68+RU_Raw!S70)/2,IF(ISNUMBER(RU_Raw!S71),S68+(RU_Raw!S71-S68)/3,"")))</f>
        <v>138.1</v>
      </c>
      <c r="T69" s="19">
        <f>IF(ISNUMBER(RU_Raw!T69),RU_Raw!T69,IF(ISNUMBER(RU_Raw!T70),(T68+RU_Raw!T70)/2,IF(ISNUMBER(RU_Raw!T71),T68+(RU_Raw!T71-T68)/3,"")))</f>
        <v>157.9</v>
      </c>
      <c r="U69" s="19">
        <f>IF(ISNUMBER(RU_Raw!U69),RU_Raw!U69,IF(ISNUMBER(RU_Raw!U70),(U68+RU_Raw!U70)/2,IF(ISNUMBER(RU_Raw!U71),U68+(RU_Raw!U71-U68)/3,"")))</f>
        <v>146</v>
      </c>
      <c r="V69" s="19">
        <f>IF(ISNUMBER(RU_Raw!V69),RU_Raw!V69,IF(ISNUMBER(RU_Raw!V70),(V68+RU_Raw!V70)/2,IF(ISNUMBER(RU_Raw!V71),V68+(RU_Raw!V71-V68)/3,"")))</f>
        <v>137.4</v>
      </c>
      <c r="W69" s="19">
        <f>IF(ISNUMBER(RU_Raw!W69),RU_Raw!W69,IF(ISNUMBER(RU_Raw!W70),(W68+RU_Raw!W70)/2,IF(ISNUMBER(RU_Raw!W71),W68+(RU_Raw!W71-W68)/3,"")))</f>
        <v>144.7</v>
      </c>
      <c r="X69" s="19">
        <f>IF(ISNUMBER(RU_Raw!X69),RU_Raw!X69,IF(ISNUMBER(RU_Raw!X70),(X68+RU_Raw!X70)/2,IF(ISNUMBER(RU_Raw!X71),X68+(RU_Raw!X71-X68)/3,"")))</f>
        <v>143.2</v>
      </c>
      <c r="Y69" s="19">
        <f>IF(ISNUMBER(RU_Raw!Y69),RU_Raw!Y69,IF(ISNUMBER(RU_Raw!Y70),(Y68+RU_Raw!Y70)/2,IF(ISNUMBER(RU_Raw!Y71),Y68+(RU_Raw!Y71-Y68)/3,"")))</f>
        <v>136.9</v>
      </c>
      <c r="Z69" s="19">
        <f>IF(ISNUMBER(RU_Raw!Z69),RU_Raw!Z69,IF(ISNUMBER(RU_Raw!Z70),(Z68+RU_Raw!Z70)/2,IF(ISNUMBER(RU_Raw!Z71),Z68+(RU_Raw!Z71-Z68)/3,"")))</f>
        <v>137.4</v>
      </c>
      <c r="AA69" s="19">
        <f>IF(ISNUMBER(RU_Raw!AA69),RU_Raw!AA69,IF(ISNUMBER(RU_Raw!AA70),(AA68+RU_Raw!AA70)/2,IF(ISNUMBER(RU_Raw!AA71),AA68+(RU_Raw!AA71-AA68)/3,"")))</f>
        <v>136</v>
      </c>
      <c r="AB69" s="19">
        <f>IF(ISNUMBER(RU_Raw!AB69),RU_Raw!AB69,IF(ISNUMBER(RU_Raw!AB70),(AB68+RU_Raw!AB70)/2,IF(ISNUMBER(RU_Raw!AB71),AB68+(RU_Raw!AB71-AB68)/3,"")))</f>
        <v>122.9</v>
      </c>
      <c r="AC69" s="19">
        <f>IF(ISNUMBER(RU_Raw!AC69),RU_Raw!AC69,IF(ISNUMBER(RU_Raw!AC70),(AC68+RU_Raw!AC70)/2,IF(ISNUMBER(RU_Raw!AC71),AC68+(RU_Raw!AC71-AC68)/3,"")))</f>
        <v>131.8</v>
      </c>
      <c r="AD69" s="19">
        <f>IF(ISNUMBER(RU_Raw!AD69),RU_Raw!AD69,IF(ISNUMBER(RU_Raw!AD70),(AD68+RU_Raw!AD70)/2,IF(ISNUMBER(RU_Raw!AD71),AD68+(RU_Raw!AD71-AD68)/3,"")))</f>
        <v>142.1</v>
      </c>
      <c r="AE69" s="19">
        <f>IF(ISNUMBER(RU_Raw!AE69),RU_Raw!AE69,IF(ISNUMBER(RU_Raw!AE70),(AE68+RU_Raw!AE70)/2,IF(ISNUMBER(RU_Raw!AE71),AE68+(RU_Raw!AE71-AE68)/3,"")))</f>
        <v>129.9</v>
      </c>
      <c r="AF69" s="19">
        <f>IF(ISNUMBER(RU_Raw!AF69),RU_Raw!AF69,IF(ISNUMBER(RU_Raw!AF70),(AF68+RU_Raw!AF70)/2,IF(ISNUMBER(RU_Raw!AF71),AF68+(RU_Raw!AF71-AF68)/3,"")))</f>
        <v>132.1</v>
      </c>
      <c r="AG69" s="19">
        <f>IF(ISNUMBER(RU_Raw!AG69),RU_Raw!AG69,IF(ISNUMBER(RU_Raw!AG70),(AG68+RU_Raw!AG70)/2,IF(ISNUMBER(RU_Raw!AG71),AG68+(RU_Raw!AG71-AG68)/3,"")))</f>
        <v>137.8</v>
      </c>
      <c r="AH69" s="19">
        <f t="shared" ref="AH69:AH129" si="3">SUM(G69:R69)</f>
        <v>1621.7</v>
      </c>
    </row>
    <row r="70" spans="1:34">
      <c r="A70" s="6">
        <f>RU_Raw!A70</f>
        <v>2018</v>
      </c>
      <c r="B70" s="6">
        <f>RU_Raw!B70</f>
        <v>6</v>
      </c>
      <c r="C70" s="6" t="str">
        <f>RU_Raw!C70</f>
        <v>June</v>
      </c>
      <c r="D70" s="9">
        <f>RU_Raw!D70</f>
        <v>43252</v>
      </c>
      <c r="E70" s="6">
        <f>COUNTBLANK(RU_Raw!G70:AG70)</f>
        <v>0</v>
      </c>
      <c r="F70" s="6" t="str">
        <f t="shared" si="2"/>
        <v/>
      </c>
      <c r="G70" s="19">
        <f>IF(ISNUMBER(RU_Raw!G70),RU_Raw!G70,IF(ISNUMBER(RU_Raw!G71),(G69+RU_Raw!G71)/2,IF(ISNUMBER(RU_Raw!G72),G69+(RU_Raw!G72-G69)/3,"")))</f>
        <v>136.9</v>
      </c>
      <c r="H70" s="19">
        <f>IF(ISNUMBER(RU_Raw!H70),RU_Raw!H70,IF(ISNUMBER(RU_Raw!H71),(H69+RU_Raw!H71)/2,IF(ISNUMBER(RU_Raw!H72),H69+(RU_Raw!H72-H69)/3,"")))</f>
        <v>148.7</v>
      </c>
      <c r="I70" s="19">
        <f>IF(ISNUMBER(RU_Raw!I70),RU_Raw!I70,IF(ISNUMBER(RU_Raw!I71),(I69+RU_Raw!I71)/2,IF(ISNUMBER(RU_Raw!I72),I69+(RU_Raw!I72-I69)/3,"")))</f>
        <v>135.6</v>
      </c>
      <c r="J70" s="19">
        <f>IF(ISNUMBER(RU_Raw!J70),RU_Raw!J70,IF(ISNUMBER(RU_Raw!J71),(J69+RU_Raw!J71)/2,IF(ISNUMBER(RU_Raw!J72),J69+(RU_Raw!J72-J69)/3,"")))</f>
        <v>142.3</v>
      </c>
      <c r="K70" s="19">
        <f>IF(ISNUMBER(RU_Raw!K70),RU_Raw!K70,IF(ISNUMBER(RU_Raw!K71),(K69+RU_Raw!K71)/2,IF(ISNUMBER(RU_Raw!K72),K69+(RU_Raw!K72-K69)/3,"")))</f>
        <v>121.3</v>
      </c>
      <c r="L70" s="19">
        <f>IF(ISNUMBER(RU_Raw!L70),RU_Raw!L70,IF(ISNUMBER(RU_Raw!L71),(L69+RU_Raw!L71)/2,IF(ISNUMBER(RU_Raw!L72),L69+(RU_Raw!L72-L69)/3,"")))</f>
        <v>153.2</v>
      </c>
      <c r="M70" s="19">
        <f>IF(ISNUMBER(RU_Raw!M70),RU_Raw!M70,IF(ISNUMBER(RU_Raw!M71),(M69+RU_Raw!M71)/2,IF(ISNUMBER(RU_Raw!M72),M69+(RU_Raw!M72-M69)/3,"")))</f>
        <v>143.7</v>
      </c>
      <c r="N70" s="19">
        <f>IF(ISNUMBER(RU_Raw!N70),RU_Raw!N70,IF(ISNUMBER(RU_Raw!N71),(N69+RU_Raw!N71)/2,IF(ISNUMBER(RU_Raw!N72),N69+(RU_Raw!N72-N69)/3,"")))</f>
        <v>121.4</v>
      </c>
      <c r="O70" s="19">
        <f>IF(ISNUMBER(RU_Raw!O70),RU_Raw!O70,IF(ISNUMBER(RU_Raw!O71),(O69+RU_Raw!O71)/2,IF(ISNUMBER(RU_Raw!O72),O69+(RU_Raw!O72-O69)/3,"")))</f>
        <v>111.1</v>
      </c>
      <c r="P70" s="19">
        <f>IF(ISNUMBER(RU_Raw!P70),RU_Raw!P70,IF(ISNUMBER(RU_Raw!P71),(P69+RU_Raw!P71)/2,IF(ISNUMBER(RU_Raw!P72),P69+(RU_Raw!P72-P69)/3,"")))</f>
        <v>138.4</v>
      </c>
      <c r="Q70" s="19">
        <f>IF(ISNUMBER(RU_Raw!Q70),RU_Raw!Q70,IF(ISNUMBER(RU_Raw!Q71),(Q69+RU_Raw!Q71)/2,IF(ISNUMBER(RU_Raw!Q72),Q69+(RU_Raw!Q72-Q69)/3,"")))</f>
        <v>130.3</v>
      </c>
      <c r="R70" s="19">
        <f>IF(ISNUMBER(RU_Raw!R70),RU_Raw!R70,IF(ISNUMBER(RU_Raw!R71),(R69+RU_Raw!R71)/2,IF(ISNUMBER(RU_Raw!R72),R69+(RU_Raw!R72-R69)/3,"")))</f>
        <v>151.8</v>
      </c>
      <c r="S70" s="19">
        <f>IF(ISNUMBER(RU_Raw!S70),RU_Raw!S70,IF(ISNUMBER(RU_Raw!S71),(S69+RU_Raw!S71)/2,IF(ISNUMBER(RU_Raw!S72),S69+(RU_Raw!S72-S69)/3,"")))</f>
        <v>139.4</v>
      </c>
      <c r="T70" s="19">
        <f>IF(ISNUMBER(RU_Raw!T70),RU_Raw!T70,IF(ISNUMBER(RU_Raw!T71),(T69+RU_Raw!T71)/2,IF(ISNUMBER(RU_Raw!T72),T69+(RU_Raw!T72-T69)/3,"")))</f>
        <v>158.3</v>
      </c>
      <c r="U70" s="19">
        <f>IF(ISNUMBER(RU_Raw!U70),RU_Raw!U70,IF(ISNUMBER(RU_Raw!U71),(U69+RU_Raw!U71)/2,IF(ISNUMBER(RU_Raw!U72),U69+(RU_Raw!U72-U69)/3,"")))</f>
        <v>146.4</v>
      </c>
      <c r="V70" s="19">
        <f>IF(ISNUMBER(RU_Raw!V70),RU_Raw!V70,IF(ISNUMBER(RU_Raw!V71),(V69+RU_Raw!V71)/2,IF(ISNUMBER(RU_Raw!V72),V69+(RU_Raw!V72-V69)/3,"")))</f>
        <v>138.1</v>
      </c>
      <c r="W70" s="19">
        <f>IF(ISNUMBER(RU_Raw!W70),RU_Raw!W70,IF(ISNUMBER(RU_Raw!W71),(W69+RU_Raw!W71)/2,IF(ISNUMBER(RU_Raw!W72),W69+(RU_Raw!W72-W69)/3,"")))</f>
        <v>145.2</v>
      </c>
      <c r="X70" s="19">
        <f>IF(ISNUMBER(RU_Raw!X70),RU_Raw!X70,IF(ISNUMBER(RU_Raw!X71),(X69+RU_Raw!X71)/2,IF(ISNUMBER(RU_Raw!X72),X69+(RU_Raw!X72-X69)/3,"")))</f>
        <v>142.5</v>
      </c>
      <c r="Y70" s="19">
        <f>IF(ISNUMBER(RU_Raw!Y70),RU_Raw!Y70,IF(ISNUMBER(RU_Raw!Y71),(Y69+RU_Raw!Y71)/2,IF(ISNUMBER(RU_Raw!Y72),Y69+(RU_Raw!Y72-Y69)/3,"")))</f>
        <v>138.1</v>
      </c>
      <c r="Z70" s="19">
        <f>IF(ISNUMBER(RU_Raw!Z70),RU_Raw!Z70,IF(ISNUMBER(RU_Raw!Z71),(Z69+RU_Raw!Z71)/2,IF(ISNUMBER(RU_Raw!Z72),Z69+(RU_Raw!Z72-Z69)/3,"")))</f>
        <v>137.9</v>
      </c>
      <c r="AA70" s="19">
        <f>IF(ISNUMBER(RU_Raw!AA70),RU_Raw!AA70,IF(ISNUMBER(RU_Raw!AA71),(AA69+RU_Raw!AA71)/2,IF(ISNUMBER(RU_Raw!AA72),AA69+(RU_Raw!AA72-AA69)/3,"")))</f>
        <v>136.2</v>
      </c>
      <c r="AB70" s="19">
        <f>IF(ISNUMBER(RU_Raw!AB70),RU_Raw!AB70,IF(ISNUMBER(RU_Raw!AB71),(AB69+RU_Raw!AB71)/2,IF(ISNUMBER(RU_Raw!AB72),AB69+(RU_Raw!AB72-AB69)/3,"")))</f>
        <v>123.7</v>
      </c>
      <c r="AC70" s="19">
        <f>IF(ISNUMBER(RU_Raw!AC70),RU_Raw!AC70,IF(ISNUMBER(RU_Raw!AC71),(AC69+RU_Raw!AC71)/2,IF(ISNUMBER(RU_Raw!AC72),AC69+(RU_Raw!AC72-AC69)/3,"")))</f>
        <v>132.6</v>
      </c>
      <c r="AD70" s="19">
        <f>IF(ISNUMBER(RU_Raw!AD70),RU_Raw!AD70,IF(ISNUMBER(RU_Raw!AD71),(AD69+RU_Raw!AD71)/2,IF(ISNUMBER(RU_Raw!AD72),AD69+(RU_Raw!AD72-AD69)/3,"")))</f>
        <v>142.8</v>
      </c>
      <c r="AE70" s="19">
        <f>IF(ISNUMBER(RU_Raw!AE70),RU_Raw!AE70,IF(ISNUMBER(RU_Raw!AE71),(AE69+RU_Raw!AE71)/2,IF(ISNUMBER(RU_Raw!AE72),AE69+(RU_Raw!AE72-AE69)/3,"")))</f>
        <v>130.1</v>
      </c>
      <c r="AF70" s="19">
        <f>IF(ISNUMBER(RU_Raw!AF70),RU_Raw!AF70,IF(ISNUMBER(RU_Raw!AF71),(AF69+RU_Raw!AF71)/2,IF(ISNUMBER(RU_Raw!AF72),AF69+(RU_Raw!AF72-AF69)/3,"")))</f>
        <v>132.6</v>
      </c>
      <c r="AG70" s="19">
        <f>IF(ISNUMBER(RU_Raw!AG70),RU_Raw!AG70,IF(ISNUMBER(RU_Raw!AG71),(AG69+RU_Raw!AG71)/2,IF(ISNUMBER(RU_Raw!AG72),AG69+(RU_Raw!AG72-AG69)/3,"")))</f>
        <v>138.5</v>
      </c>
      <c r="AH70" s="19">
        <f t="shared" si="3"/>
        <v>1634.7</v>
      </c>
    </row>
    <row r="71" spans="1:34">
      <c r="A71" s="6">
        <f>RU_Raw!A71</f>
        <v>2018</v>
      </c>
      <c r="B71" s="6">
        <f>RU_Raw!B71</f>
        <v>7</v>
      </c>
      <c r="C71" s="6" t="str">
        <f>RU_Raw!C71</f>
        <v>July</v>
      </c>
      <c r="D71" s="9">
        <f>RU_Raw!D71</f>
        <v>43282</v>
      </c>
      <c r="E71" s="6">
        <f>COUNTBLANK(RU_Raw!G71:AG71)</f>
        <v>0</v>
      </c>
      <c r="F71" s="6" t="str">
        <f t="shared" si="2"/>
        <v/>
      </c>
      <c r="G71" s="19">
        <f>IF(ISNUMBER(RU_Raw!G71),RU_Raw!G71,IF(ISNUMBER(RU_Raw!G72),(G70+RU_Raw!G72)/2,IF(ISNUMBER(RU_Raw!G73),G70+(RU_Raw!G73-G70)/3,"")))</f>
        <v>137.5</v>
      </c>
      <c r="H71" s="19">
        <f>IF(ISNUMBER(RU_Raw!H71),RU_Raw!H71,IF(ISNUMBER(RU_Raw!H72),(H70+RU_Raw!H72)/2,IF(ISNUMBER(RU_Raw!H73),H70+(RU_Raw!H73-H70)/3,"")))</f>
        <v>149.1</v>
      </c>
      <c r="I71" s="19">
        <f>IF(ISNUMBER(RU_Raw!I71),RU_Raw!I71,IF(ISNUMBER(RU_Raw!I72),(I70+RU_Raw!I72)/2,IF(ISNUMBER(RU_Raw!I73),I70+(RU_Raw!I73-I70)/3,"")))</f>
        <v>139.2</v>
      </c>
      <c r="J71" s="19">
        <f>IF(ISNUMBER(RU_Raw!J71),RU_Raw!J71,IF(ISNUMBER(RU_Raw!J72),(J70+RU_Raw!J72)/2,IF(ISNUMBER(RU_Raw!J73),J70+(RU_Raw!J73-J70)/3,"")))</f>
        <v>142.5</v>
      </c>
      <c r="K71" s="19">
        <f>IF(ISNUMBER(RU_Raw!K71),RU_Raw!K71,IF(ISNUMBER(RU_Raw!K72),(K70+RU_Raw!K72)/2,IF(ISNUMBER(RU_Raw!K73),K70+(RU_Raw!K73-K70)/3,"")))</f>
        <v>121.4</v>
      </c>
      <c r="L71" s="19">
        <f>IF(ISNUMBER(RU_Raw!L71),RU_Raw!L71,IF(ISNUMBER(RU_Raw!L72),(L70+RU_Raw!L72)/2,IF(ISNUMBER(RU_Raw!L73),L70+(RU_Raw!L73-L70)/3,"")))</f>
        <v>151.6</v>
      </c>
      <c r="M71" s="19">
        <f>IF(ISNUMBER(RU_Raw!M71),RU_Raw!M71,IF(ISNUMBER(RU_Raw!M72),(M70+RU_Raw!M72)/2,IF(ISNUMBER(RU_Raw!M73),M70+(RU_Raw!M73-M70)/3,"")))</f>
        <v>155.9</v>
      </c>
      <c r="N71" s="19">
        <f>IF(ISNUMBER(RU_Raw!N71),RU_Raw!N71,IF(ISNUMBER(RU_Raw!N72),(N70+RU_Raw!N72)/2,IF(ISNUMBER(RU_Raw!N73),N70+(RU_Raw!N73-N70)/3,"")))</f>
        <v>121.7</v>
      </c>
      <c r="O71" s="19">
        <f>IF(ISNUMBER(RU_Raw!O71),RU_Raw!O71,IF(ISNUMBER(RU_Raw!O72),(O70+RU_Raw!O72)/2,IF(ISNUMBER(RU_Raw!O73),O70+(RU_Raw!O73-O70)/3,"")))</f>
        <v>113.5</v>
      </c>
      <c r="P71" s="19">
        <f>IF(ISNUMBER(RU_Raw!P71),RU_Raw!P71,IF(ISNUMBER(RU_Raw!P72),(P70+RU_Raw!P72)/2,IF(ISNUMBER(RU_Raw!P73),P70+(RU_Raw!P73-P70)/3,"")))</f>
        <v>138.9</v>
      </c>
      <c r="Q71" s="19">
        <f>IF(ISNUMBER(RU_Raw!Q71),RU_Raw!Q71,IF(ISNUMBER(RU_Raw!Q72),(Q70+RU_Raw!Q72)/2,IF(ISNUMBER(RU_Raw!Q73),Q70+(RU_Raw!Q73-Q70)/3,"")))</f>
        <v>130.3</v>
      </c>
      <c r="R71" s="19">
        <f>IF(ISNUMBER(RU_Raw!R71),RU_Raw!R71,IF(ISNUMBER(RU_Raw!R72),(R70+RU_Raw!R72)/2,IF(ISNUMBER(RU_Raw!R73),R70+(RU_Raw!R73-R70)/3,"")))</f>
        <v>152.3</v>
      </c>
      <c r="S71" s="19">
        <f>IF(ISNUMBER(RU_Raw!S71),RU_Raw!S71,IF(ISNUMBER(RU_Raw!S72),(S70+RU_Raw!S72)/2,IF(ISNUMBER(RU_Raw!S73),S70+(RU_Raw!S73-S70)/3,"")))</f>
        <v>141.4</v>
      </c>
      <c r="T71" s="19">
        <f>IF(ISNUMBER(RU_Raw!T71),RU_Raw!T71,IF(ISNUMBER(RU_Raw!T72),(T70+RU_Raw!T72)/2,IF(ISNUMBER(RU_Raw!T73),T70+(RU_Raw!T73-T70)/3,"")))</f>
        <v>157.5</v>
      </c>
      <c r="U71" s="19">
        <f>IF(ISNUMBER(RU_Raw!U71),RU_Raw!U71,IF(ISNUMBER(RU_Raw!U72),(U70+RU_Raw!U72)/2,IF(ISNUMBER(RU_Raw!U73),U70+(RU_Raw!U73-U70)/3,"")))</f>
        <v>146.8</v>
      </c>
      <c r="V71" s="19">
        <f>IF(ISNUMBER(RU_Raw!V71),RU_Raw!V71,IF(ISNUMBER(RU_Raw!V72),(V70+RU_Raw!V72)/2,IF(ISNUMBER(RU_Raw!V73),V70+(RU_Raw!V73-V70)/3,"")))</f>
        <v>138.4</v>
      </c>
      <c r="W71" s="19">
        <f>IF(ISNUMBER(RU_Raw!W71),RU_Raw!W71,IF(ISNUMBER(RU_Raw!W72),(W70+RU_Raw!W72)/2,IF(ISNUMBER(RU_Raw!W73),W70+(RU_Raw!W73-W70)/3,"")))</f>
        <v>145.6</v>
      </c>
      <c r="X71" s="19">
        <f>IF(ISNUMBER(RU_Raw!X71),RU_Raw!X71,IF(ISNUMBER(RU_Raw!X72),(X70+RU_Raw!X72)/2,IF(ISNUMBER(RU_Raw!X73),X70+(RU_Raw!X73-X70)/3,"")))</f>
        <v>143.6</v>
      </c>
      <c r="Y71" s="19">
        <f>IF(ISNUMBER(RU_Raw!Y71),RU_Raw!Y71,IF(ISNUMBER(RU_Raw!Y72),(Y70+RU_Raw!Y72)/2,IF(ISNUMBER(RU_Raw!Y73),Y70+(RU_Raw!Y73-Y70)/3,"")))</f>
        <v>139.7</v>
      </c>
      <c r="Z71" s="19">
        <f>IF(ISNUMBER(RU_Raw!Z71),RU_Raw!Z71,IF(ISNUMBER(RU_Raw!Z72),(Z70+RU_Raw!Z72)/2,IF(ISNUMBER(RU_Raw!Z73),Z70+(RU_Raw!Z73-Z70)/3,"")))</f>
        <v>138.6</v>
      </c>
      <c r="AA71" s="19">
        <f>IF(ISNUMBER(RU_Raw!AA71),RU_Raw!AA71,IF(ISNUMBER(RU_Raw!AA72),(AA70+RU_Raw!AA72)/2,IF(ISNUMBER(RU_Raw!AA73),AA70+(RU_Raw!AA73-AA70)/3,"")))</f>
        <v>137</v>
      </c>
      <c r="AB71" s="19">
        <f>IF(ISNUMBER(RU_Raw!AB71),RU_Raw!AB71,IF(ISNUMBER(RU_Raw!AB72),(AB70+RU_Raw!AB72)/2,IF(ISNUMBER(RU_Raw!AB73),AB70+(RU_Raw!AB73-AB70)/3,"")))</f>
        <v>123.6</v>
      </c>
      <c r="AC71" s="19">
        <f>IF(ISNUMBER(RU_Raw!AC71),RU_Raw!AC71,IF(ISNUMBER(RU_Raw!AC72),(AC70+RU_Raw!AC72)/2,IF(ISNUMBER(RU_Raw!AC73),AC70+(RU_Raw!AC73-AC70)/3,"")))</f>
        <v>133.1</v>
      </c>
      <c r="AD71" s="19">
        <f>IF(ISNUMBER(RU_Raw!AD71),RU_Raw!AD71,IF(ISNUMBER(RU_Raw!AD72),(AD70+RU_Raw!AD72)/2,IF(ISNUMBER(RU_Raw!AD73),AD70+(RU_Raw!AD73-AD70)/3,"")))</f>
        <v>144.7</v>
      </c>
      <c r="AE71" s="19">
        <f>IF(ISNUMBER(RU_Raw!AE71),RU_Raw!AE71,IF(ISNUMBER(RU_Raw!AE72),(AE70+RU_Raw!AE72)/2,IF(ISNUMBER(RU_Raw!AE73),AE70+(RU_Raw!AE73-AE70)/3,"")))</f>
        <v>130.1</v>
      </c>
      <c r="AF71" s="19">
        <f>IF(ISNUMBER(RU_Raw!AF71),RU_Raw!AF71,IF(ISNUMBER(RU_Raw!AF72),(AF70+RU_Raw!AF72)/2,IF(ISNUMBER(RU_Raw!AF73),AF70+(RU_Raw!AF73-AF70)/3,"")))</f>
        <v>133.2</v>
      </c>
      <c r="AG71" s="19">
        <f>IF(ISNUMBER(RU_Raw!AG71),RU_Raw!AG71,IF(ISNUMBER(RU_Raw!AG72),(AG70+RU_Raw!AG72)/2,IF(ISNUMBER(RU_Raw!AG73),AG70+(RU_Raw!AG73-AG70)/3,"")))</f>
        <v>139.8</v>
      </c>
      <c r="AH71" s="19">
        <f t="shared" si="3"/>
        <v>1653.9</v>
      </c>
    </row>
    <row r="72" spans="1:34">
      <c r="A72" s="6">
        <f>RU_Raw!A72</f>
        <v>2018</v>
      </c>
      <c r="B72" s="6">
        <f>RU_Raw!B72</f>
        <v>8</v>
      </c>
      <c r="C72" s="6" t="str">
        <f>RU_Raw!C72</f>
        <v>August</v>
      </c>
      <c r="D72" s="9">
        <f>RU_Raw!D72</f>
        <v>43313</v>
      </c>
      <c r="E72" s="6">
        <f>COUNTBLANK(RU_Raw!G72:AG72)</f>
        <v>0</v>
      </c>
      <c r="F72" s="6" t="str">
        <f t="shared" si="2"/>
        <v/>
      </c>
      <c r="G72" s="19">
        <f>IF(ISNUMBER(RU_Raw!G72),RU_Raw!G72,IF(ISNUMBER(RU_Raw!G73),(G71+RU_Raw!G73)/2,IF(ISNUMBER(RU_Raw!G74),G71+(RU_Raw!G74-G71)/3,"")))</f>
        <v>138.3</v>
      </c>
      <c r="H72" s="19">
        <f>IF(ISNUMBER(RU_Raw!H72),RU_Raw!H72,IF(ISNUMBER(RU_Raw!H73),(H71+RU_Raw!H73)/2,IF(ISNUMBER(RU_Raw!H74),H71+(RU_Raw!H74-H71)/3,"")))</f>
        <v>148</v>
      </c>
      <c r="I72" s="19">
        <f>IF(ISNUMBER(RU_Raw!I72),RU_Raw!I72,IF(ISNUMBER(RU_Raw!I73),(I71+RU_Raw!I73)/2,IF(ISNUMBER(RU_Raw!I74),I71+(RU_Raw!I74-I71)/3,"")))</f>
        <v>138.1</v>
      </c>
      <c r="J72" s="19">
        <f>IF(ISNUMBER(RU_Raw!J72),RU_Raw!J72,IF(ISNUMBER(RU_Raw!J73),(J71+RU_Raw!J73)/2,IF(ISNUMBER(RU_Raw!J74),J71+(RU_Raw!J74-J71)/3,"")))</f>
        <v>142.6</v>
      </c>
      <c r="K72" s="19">
        <f>IF(ISNUMBER(RU_Raw!K72),RU_Raw!K72,IF(ISNUMBER(RU_Raw!K73),(K71+RU_Raw!K73)/2,IF(ISNUMBER(RU_Raw!K74),K71+(RU_Raw!K74-K71)/3,"")))</f>
        <v>122.2</v>
      </c>
      <c r="L72" s="19">
        <f>IF(ISNUMBER(RU_Raw!L72),RU_Raw!L72,IF(ISNUMBER(RU_Raw!L73),(L71+RU_Raw!L73)/2,IF(ISNUMBER(RU_Raw!L74),L71+(RU_Raw!L74-L71)/3,"")))</f>
        <v>150.6</v>
      </c>
      <c r="M72" s="19">
        <f>IF(ISNUMBER(RU_Raw!M72),RU_Raw!M72,IF(ISNUMBER(RU_Raw!M73),(M71+RU_Raw!M73)/2,IF(ISNUMBER(RU_Raw!M74),M71+(RU_Raw!M74-M71)/3,"")))</f>
        <v>156.6</v>
      </c>
      <c r="N72" s="19">
        <f>IF(ISNUMBER(RU_Raw!N72),RU_Raw!N72,IF(ISNUMBER(RU_Raw!N73),(N71+RU_Raw!N73)/2,IF(ISNUMBER(RU_Raw!N74),N71+(RU_Raw!N74-N71)/3,"")))</f>
        <v>122.4</v>
      </c>
      <c r="O72" s="19">
        <f>IF(ISNUMBER(RU_Raw!O72),RU_Raw!O72,IF(ISNUMBER(RU_Raw!O73),(O71+RU_Raw!O73)/2,IF(ISNUMBER(RU_Raw!O74),O71+(RU_Raw!O74-O71)/3,"")))</f>
        <v>114.7</v>
      </c>
      <c r="P72" s="19">
        <f>IF(ISNUMBER(RU_Raw!P72),RU_Raw!P72,IF(ISNUMBER(RU_Raw!P73),(P71+RU_Raw!P73)/2,IF(ISNUMBER(RU_Raw!P74),P71+(RU_Raw!P74-P71)/3,"")))</f>
        <v>139.4</v>
      </c>
      <c r="Q72" s="19">
        <f>IF(ISNUMBER(RU_Raw!Q72),RU_Raw!Q72,IF(ISNUMBER(RU_Raw!Q73),(Q71+RU_Raw!Q73)/2,IF(ISNUMBER(RU_Raw!Q74),Q71+(RU_Raw!Q74-Q71)/3,"")))</f>
        <v>131.1</v>
      </c>
      <c r="R72" s="19">
        <f>IF(ISNUMBER(RU_Raw!R72),RU_Raw!R72,IF(ISNUMBER(RU_Raw!R73),(R71+RU_Raw!R73)/2,IF(ISNUMBER(RU_Raw!R74),R71+(RU_Raw!R74-R71)/3,"")))</f>
        <v>153</v>
      </c>
      <c r="S72" s="19">
        <f>IF(ISNUMBER(RU_Raw!S72),RU_Raw!S72,IF(ISNUMBER(RU_Raw!S73),(S71+RU_Raw!S73)/2,IF(ISNUMBER(RU_Raw!S74),S71+(RU_Raw!S74-S71)/3,"")))</f>
        <v>141.7</v>
      </c>
      <c r="T72" s="19">
        <f>IF(ISNUMBER(RU_Raw!T72),RU_Raw!T72,IF(ISNUMBER(RU_Raw!T73),(T71+RU_Raw!T73)/2,IF(ISNUMBER(RU_Raw!T74),T71+(RU_Raw!T74-T71)/3,"")))</f>
        <v>157.9</v>
      </c>
      <c r="U72" s="19">
        <f>IF(ISNUMBER(RU_Raw!U72),RU_Raw!U72,IF(ISNUMBER(RU_Raw!U73),(U71+RU_Raw!U73)/2,IF(ISNUMBER(RU_Raw!U74),U71+(RU_Raw!U74-U71)/3,"")))</f>
        <v>147.3</v>
      </c>
      <c r="V72" s="19">
        <f>IF(ISNUMBER(RU_Raw!V72),RU_Raw!V72,IF(ISNUMBER(RU_Raw!V73),(V71+RU_Raw!V73)/2,IF(ISNUMBER(RU_Raw!V74),V71+(RU_Raw!V74-V71)/3,"")))</f>
        <v>138.8</v>
      </c>
      <c r="W72" s="19">
        <f>IF(ISNUMBER(RU_Raw!W72),RU_Raw!W72,IF(ISNUMBER(RU_Raw!W73),(W71+RU_Raw!W73)/2,IF(ISNUMBER(RU_Raw!W74),W71+(RU_Raw!W74-W71)/3,"")))</f>
        <v>146.1</v>
      </c>
      <c r="X72" s="19">
        <f>IF(ISNUMBER(RU_Raw!X72),RU_Raw!X72,IF(ISNUMBER(RU_Raw!X73),(X71+RU_Raw!X73)/2,IF(ISNUMBER(RU_Raw!X74),X71+(RU_Raw!X74-X71)/3,"")))</f>
        <v>144.6</v>
      </c>
      <c r="Y72" s="19">
        <f>IF(ISNUMBER(RU_Raw!Y72),RU_Raw!Y72,IF(ISNUMBER(RU_Raw!Y73),(Y71+RU_Raw!Y73)/2,IF(ISNUMBER(RU_Raw!Y74),Y71+(RU_Raw!Y74-Y71)/3,"")))</f>
        <v>140.9</v>
      </c>
      <c r="Z72" s="19">
        <f>IF(ISNUMBER(RU_Raw!Z72),RU_Raw!Z72,IF(ISNUMBER(RU_Raw!Z73),(Z71+RU_Raw!Z73)/2,IF(ISNUMBER(RU_Raw!Z74),Z71+(RU_Raw!Z74-Z71)/3,"")))</f>
        <v>139.4</v>
      </c>
      <c r="AA72" s="19">
        <f>IF(ISNUMBER(RU_Raw!AA72),RU_Raw!AA72,IF(ISNUMBER(RU_Raw!AA73),(AA71+RU_Raw!AA73)/2,IF(ISNUMBER(RU_Raw!AA74),AA71+(RU_Raw!AA74-AA71)/3,"")))</f>
        <v>137.7</v>
      </c>
      <c r="AB72" s="19">
        <f>IF(ISNUMBER(RU_Raw!AB72),RU_Raw!AB72,IF(ISNUMBER(RU_Raw!AB73),(AB71+RU_Raw!AB73)/2,IF(ISNUMBER(RU_Raw!AB74),AB71+(RU_Raw!AB74-AB71)/3,"")))</f>
        <v>124.3</v>
      </c>
      <c r="AC72" s="19">
        <f>IF(ISNUMBER(RU_Raw!AC72),RU_Raw!AC72,IF(ISNUMBER(RU_Raw!AC73),(AC71+RU_Raw!AC73)/2,IF(ISNUMBER(RU_Raw!AC74),AC71+(RU_Raw!AC74-AC71)/3,"")))</f>
        <v>133.6</v>
      </c>
      <c r="AD72" s="19">
        <f>IF(ISNUMBER(RU_Raw!AD72),RU_Raw!AD72,IF(ISNUMBER(RU_Raw!AD73),(AD71+RU_Raw!AD73)/2,IF(ISNUMBER(RU_Raw!AD74),AD71+(RU_Raw!AD74-AD71)/3,"")))</f>
        <v>146</v>
      </c>
      <c r="AE72" s="19">
        <f>IF(ISNUMBER(RU_Raw!AE72),RU_Raw!AE72,IF(ISNUMBER(RU_Raw!AE73),(AE71+RU_Raw!AE73)/2,IF(ISNUMBER(RU_Raw!AE74),AE71+(RU_Raw!AE74-AE71)/3,"")))</f>
        <v>130.1</v>
      </c>
      <c r="AF72" s="19">
        <f>IF(ISNUMBER(RU_Raw!AF72),RU_Raw!AF72,IF(ISNUMBER(RU_Raw!AF73),(AF71+RU_Raw!AF73)/2,IF(ISNUMBER(RU_Raw!AF74),AF71+(RU_Raw!AF74-AF71)/3,"")))</f>
        <v>133.9</v>
      </c>
      <c r="AG72" s="19">
        <f>IF(ISNUMBER(RU_Raw!AG72),RU_Raw!AG72,IF(ISNUMBER(RU_Raw!AG73),(AG71+RU_Raw!AG73)/2,IF(ISNUMBER(RU_Raw!AG74),AG71+(RU_Raw!AG74-AG71)/3,"")))</f>
        <v>140.4</v>
      </c>
      <c r="AH72" s="19">
        <f t="shared" si="3"/>
        <v>1657</v>
      </c>
    </row>
    <row r="73" spans="1:34">
      <c r="A73" s="6">
        <f>RU_Raw!A73</f>
        <v>2018</v>
      </c>
      <c r="B73" s="6">
        <f>RU_Raw!B73</f>
        <v>9</v>
      </c>
      <c r="C73" s="6" t="str">
        <f>RU_Raw!C73</f>
        <v>September</v>
      </c>
      <c r="D73" s="9">
        <f>RU_Raw!D73</f>
        <v>43344</v>
      </c>
      <c r="E73" s="6">
        <f>COUNTBLANK(RU_Raw!G73:AG73)</f>
        <v>0</v>
      </c>
      <c r="F73" s="6" t="str">
        <f t="shared" si="2"/>
        <v/>
      </c>
      <c r="G73" s="19">
        <f>IF(ISNUMBER(RU_Raw!G73),RU_Raw!G73,IF(ISNUMBER(RU_Raw!G74),(G72+RU_Raw!G74)/2,IF(ISNUMBER(RU_Raw!G75),G72+(RU_Raw!G75-G72)/3,"")))</f>
        <v>138.6</v>
      </c>
      <c r="H73" s="19">
        <f>IF(ISNUMBER(RU_Raw!H73),RU_Raw!H73,IF(ISNUMBER(RU_Raw!H74),(H72+RU_Raw!H74)/2,IF(ISNUMBER(RU_Raw!H75),H72+(RU_Raw!H75-H72)/3,"")))</f>
        <v>145.8</v>
      </c>
      <c r="I73" s="19">
        <f>IF(ISNUMBER(RU_Raw!I73),RU_Raw!I73,IF(ISNUMBER(RU_Raw!I74),(I72+RU_Raw!I74)/2,IF(ISNUMBER(RU_Raw!I75),I72+(RU_Raw!I75-I72)/3,"")))</f>
        <v>135.1</v>
      </c>
      <c r="J73" s="19">
        <f>IF(ISNUMBER(RU_Raw!J73),RU_Raw!J73,IF(ISNUMBER(RU_Raw!J74),(J72+RU_Raw!J74)/2,IF(ISNUMBER(RU_Raw!J75),J72+(RU_Raw!J75-J72)/3,"")))</f>
        <v>142.9</v>
      </c>
      <c r="K73" s="19">
        <f>IF(ISNUMBER(RU_Raw!K73),RU_Raw!K73,IF(ISNUMBER(RU_Raw!K74),(K72+RU_Raw!K74)/2,IF(ISNUMBER(RU_Raw!K75),K72+(RU_Raw!K75-K72)/3,"")))</f>
        <v>122.1</v>
      </c>
      <c r="L73" s="19">
        <f>IF(ISNUMBER(RU_Raw!L73),RU_Raw!L73,IF(ISNUMBER(RU_Raw!L74),(L72+RU_Raw!L74)/2,IF(ISNUMBER(RU_Raw!L75),L72+(RU_Raw!L75-L72)/3,"")))</f>
        <v>145.4</v>
      </c>
      <c r="M73" s="19">
        <f>IF(ISNUMBER(RU_Raw!M73),RU_Raw!M73,IF(ISNUMBER(RU_Raw!M74),(M72+RU_Raw!M74)/2,IF(ISNUMBER(RU_Raw!M75),M72+(RU_Raw!M75-M72)/3,"")))</f>
        <v>150</v>
      </c>
      <c r="N73" s="19">
        <f>IF(ISNUMBER(RU_Raw!N73),RU_Raw!N73,IF(ISNUMBER(RU_Raw!N74),(N72+RU_Raw!N74)/2,IF(ISNUMBER(RU_Raw!N75),N72+(RU_Raw!N75-N72)/3,"")))</f>
        <v>121.4</v>
      </c>
      <c r="O73" s="19">
        <f>IF(ISNUMBER(RU_Raw!O73),RU_Raw!O73,IF(ISNUMBER(RU_Raw!O74),(O72+RU_Raw!O74)/2,IF(ISNUMBER(RU_Raw!O75),O72+(RU_Raw!O75-O72)/3,"")))</f>
        <v>113.7</v>
      </c>
      <c r="P73" s="19">
        <f>IF(ISNUMBER(RU_Raw!P73),RU_Raw!P73,IF(ISNUMBER(RU_Raw!P74),(P72+RU_Raw!P74)/2,IF(ISNUMBER(RU_Raw!P75),P72+(RU_Raw!P75-P72)/3,"")))</f>
        <v>139.5</v>
      </c>
      <c r="Q73" s="19">
        <f>IF(ISNUMBER(RU_Raw!Q73),RU_Raw!Q73,IF(ISNUMBER(RU_Raw!Q74),(Q72+RU_Raw!Q74)/2,IF(ISNUMBER(RU_Raw!Q75),Q72+(RU_Raw!Q75-Q72)/3,"")))</f>
        <v>130.8</v>
      </c>
      <c r="R73" s="19">
        <f>IF(ISNUMBER(RU_Raw!R73),RU_Raw!R73,IF(ISNUMBER(RU_Raw!R74),(R72+RU_Raw!R74)/2,IF(ISNUMBER(RU_Raw!R75),R72+(RU_Raw!R75-R72)/3,"")))</f>
        <v>153.8</v>
      </c>
      <c r="S73" s="19">
        <f>IF(ISNUMBER(RU_Raw!S73),RU_Raw!S73,IF(ISNUMBER(RU_Raw!S74),(S72+RU_Raw!S74)/2,IF(ISNUMBER(RU_Raw!S75),S72+(RU_Raw!S75-S72)/3,"")))</f>
        <v>140.4</v>
      </c>
      <c r="T73" s="19">
        <f>IF(ISNUMBER(RU_Raw!T73),RU_Raw!T73,IF(ISNUMBER(RU_Raw!T74),(T72+RU_Raw!T74)/2,IF(ISNUMBER(RU_Raw!T75),T72+(RU_Raw!T75-T72)/3,"")))</f>
        <v>159.2</v>
      </c>
      <c r="U73" s="19">
        <f>IF(ISNUMBER(RU_Raw!U73),RU_Raw!U73,IF(ISNUMBER(RU_Raw!U74),(U72+RU_Raw!U74)/2,IF(ISNUMBER(RU_Raw!U75),U72+(RU_Raw!U75-U72)/3,"")))</f>
        <v>147.7</v>
      </c>
      <c r="V73" s="19">
        <f>IF(ISNUMBER(RU_Raw!V73),RU_Raw!V73,IF(ISNUMBER(RU_Raw!V74),(V72+RU_Raw!V74)/2,IF(ISNUMBER(RU_Raw!V75),V72+(RU_Raw!V75-V72)/3,"")))</f>
        <v>139.1</v>
      </c>
      <c r="W73" s="19">
        <f>IF(ISNUMBER(RU_Raw!W73),RU_Raw!W73,IF(ISNUMBER(RU_Raw!W74),(W72+RU_Raw!W74)/2,IF(ISNUMBER(RU_Raw!W75),W72+(RU_Raw!W75-W72)/3,"")))</f>
        <v>146.5</v>
      </c>
      <c r="X73" s="19">
        <f>IF(ISNUMBER(RU_Raw!X73),RU_Raw!X73,IF(ISNUMBER(RU_Raw!X74),(X72+RU_Raw!X74)/2,IF(ISNUMBER(RU_Raw!X75),X72+(RU_Raw!X75-X72)/3,"")))</f>
        <v>145.3</v>
      </c>
      <c r="Y73" s="19">
        <f>IF(ISNUMBER(RU_Raw!Y73),RU_Raw!Y73,IF(ISNUMBER(RU_Raw!Y74),(Y72+RU_Raw!Y74)/2,IF(ISNUMBER(RU_Raw!Y75),Y72+(RU_Raw!Y75-Y72)/3,"")))</f>
        <v>142.3</v>
      </c>
      <c r="Z73" s="19">
        <f>IF(ISNUMBER(RU_Raw!Z73),RU_Raw!Z73,IF(ISNUMBER(RU_Raw!Z74),(Z72+RU_Raw!Z74)/2,IF(ISNUMBER(RU_Raw!Z75),Z72+(RU_Raw!Z75-Z72)/3,"")))</f>
        <v>139.7</v>
      </c>
      <c r="AA73" s="19">
        <f>IF(ISNUMBER(RU_Raw!AA73),RU_Raw!AA73,IF(ISNUMBER(RU_Raw!AA74),(AA72+RU_Raw!AA74)/2,IF(ISNUMBER(RU_Raw!AA75),AA72+(RU_Raw!AA75-AA72)/3,"")))</f>
        <v>138.4</v>
      </c>
      <c r="AB73" s="19">
        <f>IF(ISNUMBER(RU_Raw!AB73),RU_Raw!AB73,IF(ISNUMBER(RU_Raw!AB74),(AB72+RU_Raw!AB74)/2,IF(ISNUMBER(RU_Raw!AB75),AB72+(RU_Raw!AB75-AB72)/3,"")))</f>
        <v>126</v>
      </c>
      <c r="AC73" s="19">
        <f>IF(ISNUMBER(RU_Raw!AC73),RU_Raw!AC73,IF(ISNUMBER(RU_Raw!AC74),(AC72+RU_Raw!AC74)/2,IF(ISNUMBER(RU_Raw!AC75),AC72+(RU_Raw!AC75-AC72)/3,"")))</f>
        <v>134.5</v>
      </c>
      <c r="AD73" s="19">
        <f>IF(ISNUMBER(RU_Raw!AD73),RU_Raw!AD73,IF(ISNUMBER(RU_Raw!AD74),(AD72+RU_Raw!AD74)/2,IF(ISNUMBER(RU_Raw!AD75),AD72+(RU_Raw!AD75-AD72)/3,"")))</f>
        <v>146.2</v>
      </c>
      <c r="AE73" s="19">
        <f>IF(ISNUMBER(RU_Raw!AE73),RU_Raw!AE73,IF(ISNUMBER(RU_Raw!AE74),(AE72+RU_Raw!AE74)/2,IF(ISNUMBER(RU_Raw!AE75),AE72+(RU_Raw!AE75-AE72)/3,"")))</f>
        <v>130.9</v>
      </c>
      <c r="AF73" s="19">
        <f>IF(ISNUMBER(RU_Raw!AF73),RU_Raw!AF73,IF(ISNUMBER(RU_Raw!AF74),(AF72+RU_Raw!AF74)/2,IF(ISNUMBER(RU_Raw!AF75),AF72+(RU_Raw!AF75-AF72)/3,"")))</f>
        <v>134.7</v>
      </c>
      <c r="AG73" s="19">
        <f>IF(ISNUMBER(RU_Raw!AG73),RU_Raw!AG73,IF(ISNUMBER(RU_Raw!AG74),(AG72+RU_Raw!AG74)/2,IF(ISNUMBER(RU_Raw!AG75),AG72+(RU_Raw!AG75-AG72)/3,"")))</f>
        <v>140.2</v>
      </c>
      <c r="AH73" s="19">
        <f t="shared" si="3"/>
        <v>1639.1</v>
      </c>
    </row>
    <row r="74" spans="1:34">
      <c r="A74" s="6">
        <f>RU_Raw!A74</f>
        <v>2018</v>
      </c>
      <c r="B74" s="6">
        <f>RU_Raw!B74</f>
        <v>10</v>
      </c>
      <c r="C74" s="6" t="str">
        <f>RU_Raw!C74</f>
        <v>October</v>
      </c>
      <c r="D74" s="9">
        <f>RU_Raw!D74</f>
        <v>43374</v>
      </c>
      <c r="E74" s="6">
        <f>COUNTBLANK(RU_Raw!G74:AG74)</f>
        <v>0</v>
      </c>
      <c r="F74" s="6" t="str">
        <f t="shared" si="2"/>
        <v/>
      </c>
      <c r="G74" s="19">
        <f>IF(ISNUMBER(RU_Raw!G74),RU_Raw!G74,IF(ISNUMBER(RU_Raw!G75),(G73+RU_Raw!G75)/2,IF(ISNUMBER(RU_Raw!G76),G73+(RU_Raw!G76-G73)/3,"")))</f>
        <v>137.4</v>
      </c>
      <c r="H74" s="19">
        <f>IF(ISNUMBER(RU_Raw!H74),RU_Raw!H74,IF(ISNUMBER(RU_Raw!H75),(H73+RU_Raw!H75)/2,IF(ISNUMBER(RU_Raw!H76),H73+(RU_Raw!H76-H73)/3,"")))</f>
        <v>149.5</v>
      </c>
      <c r="I74" s="19">
        <f>IF(ISNUMBER(RU_Raw!I74),RU_Raw!I74,IF(ISNUMBER(RU_Raw!I75),(I73+RU_Raw!I75)/2,IF(ISNUMBER(RU_Raw!I76),I73+(RU_Raw!I76-I73)/3,"")))</f>
        <v>137.3</v>
      </c>
      <c r="J74" s="19">
        <f>IF(ISNUMBER(RU_Raw!J74),RU_Raw!J74,IF(ISNUMBER(RU_Raw!J75),(J73+RU_Raw!J75)/2,IF(ISNUMBER(RU_Raw!J76),J73+(RU_Raw!J76-J73)/3,"")))</f>
        <v>141.9</v>
      </c>
      <c r="K74" s="19">
        <f>IF(ISNUMBER(RU_Raw!K74),RU_Raw!K74,IF(ISNUMBER(RU_Raw!K75),(K73+RU_Raw!K75)/2,IF(ISNUMBER(RU_Raw!K76),K73+(RU_Raw!K76-K73)/3,"")))</f>
        <v>121.1</v>
      </c>
      <c r="L74" s="19">
        <f>IF(ISNUMBER(RU_Raw!L74),RU_Raw!L74,IF(ISNUMBER(RU_Raw!L75),(L73+RU_Raw!L75)/2,IF(ISNUMBER(RU_Raw!L76),L73+(RU_Raw!L76-L73)/3,"")))</f>
        <v>142.5</v>
      </c>
      <c r="M74" s="19">
        <f>IF(ISNUMBER(RU_Raw!M74),RU_Raw!M74,IF(ISNUMBER(RU_Raw!M75),(M73+RU_Raw!M75)/2,IF(ISNUMBER(RU_Raw!M76),M73+(RU_Raw!M76-M73)/3,"")))</f>
        <v>146.7</v>
      </c>
      <c r="N74" s="19">
        <f>IF(ISNUMBER(RU_Raw!N74),RU_Raw!N74,IF(ISNUMBER(RU_Raw!N75),(N73+RU_Raw!N75)/2,IF(ISNUMBER(RU_Raw!N76),N73+(RU_Raw!N76-N73)/3,"")))</f>
        <v>119.1</v>
      </c>
      <c r="O74" s="19">
        <f>IF(ISNUMBER(RU_Raw!O74),RU_Raw!O74,IF(ISNUMBER(RU_Raw!O75),(O73+RU_Raw!O75)/2,IF(ISNUMBER(RU_Raw!O76),O73+(RU_Raw!O76-O73)/3,"")))</f>
        <v>111.9</v>
      </c>
      <c r="P74" s="19">
        <f>IF(ISNUMBER(RU_Raw!P74),RU_Raw!P74,IF(ISNUMBER(RU_Raw!P75),(P73+RU_Raw!P75)/2,IF(ISNUMBER(RU_Raw!P76),P73+(RU_Raw!P76-P73)/3,"")))</f>
        <v>141</v>
      </c>
      <c r="Q74" s="19">
        <f>IF(ISNUMBER(RU_Raw!Q74),RU_Raw!Q74,IF(ISNUMBER(RU_Raw!Q75),(Q73+RU_Raw!Q75)/2,IF(ISNUMBER(RU_Raw!Q76),Q73+(RU_Raw!Q76-Q73)/3,"")))</f>
        <v>133.6</v>
      </c>
      <c r="R74" s="19">
        <f>IF(ISNUMBER(RU_Raw!R74),RU_Raw!R74,IF(ISNUMBER(RU_Raw!R75),(R73+RU_Raw!R75)/2,IF(ISNUMBER(RU_Raw!R76),R73+(RU_Raw!R76-R73)/3,"")))</f>
        <v>154.5</v>
      </c>
      <c r="S74" s="19">
        <f>IF(ISNUMBER(RU_Raw!S74),RU_Raw!S74,IF(ISNUMBER(RU_Raw!S75),(S73+RU_Raw!S75)/2,IF(ISNUMBER(RU_Raw!S76),S73+(RU_Raw!S76-S73)/3,"")))</f>
        <v>139.7</v>
      </c>
      <c r="T74" s="19">
        <f>IF(ISNUMBER(RU_Raw!T74),RU_Raw!T74,IF(ISNUMBER(RU_Raw!T75),(T73+RU_Raw!T75)/2,IF(ISNUMBER(RU_Raw!T76),T73+(RU_Raw!T76-T73)/3,"")))</f>
        <v>162.6</v>
      </c>
      <c r="U74" s="19">
        <f>IF(ISNUMBER(RU_Raw!U74),RU_Raw!U74,IF(ISNUMBER(RU_Raw!U75),(U73+RU_Raw!U75)/2,IF(ISNUMBER(RU_Raw!U76),U73+(RU_Raw!U76-U73)/3,"")))</f>
        <v>148</v>
      </c>
      <c r="V74" s="19">
        <f>IF(ISNUMBER(RU_Raw!V74),RU_Raw!V74,IF(ISNUMBER(RU_Raw!V75),(V73+RU_Raw!V75)/2,IF(ISNUMBER(RU_Raw!V76),V73+(RU_Raw!V76-V73)/3,"")))</f>
        <v>139.2</v>
      </c>
      <c r="W74" s="19">
        <f>IF(ISNUMBER(RU_Raw!W74),RU_Raw!W74,IF(ISNUMBER(RU_Raw!W75),(W73+RU_Raw!W75)/2,IF(ISNUMBER(RU_Raw!W76),W73+(RU_Raw!W76-W73)/3,"")))</f>
        <v>146.8</v>
      </c>
      <c r="X74" s="19">
        <f>IF(ISNUMBER(RU_Raw!X74),RU_Raw!X74,IF(ISNUMBER(RU_Raw!X75),(X73+RU_Raw!X75)/2,IF(ISNUMBER(RU_Raw!X76),X73+(RU_Raw!X76-X73)/3,"")))</f>
        <v>146.9</v>
      </c>
      <c r="Y74" s="19">
        <f>IF(ISNUMBER(RU_Raw!Y74),RU_Raw!Y74,IF(ISNUMBER(RU_Raw!Y75),(Y73+RU_Raw!Y75)/2,IF(ISNUMBER(RU_Raw!Y76),Y73+(RU_Raw!Y76-Y73)/3,"")))</f>
        <v>145.3</v>
      </c>
      <c r="Z74" s="19">
        <f>IF(ISNUMBER(RU_Raw!Z74),RU_Raw!Z74,IF(ISNUMBER(RU_Raw!Z75),(Z73+RU_Raw!Z75)/2,IF(ISNUMBER(RU_Raw!Z76),Z73+(RU_Raw!Z76-Z73)/3,"")))</f>
        <v>142.2</v>
      </c>
      <c r="AA74" s="19">
        <f>IF(ISNUMBER(RU_Raw!AA74),RU_Raw!AA74,IF(ISNUMBER(RU_Raw!AA75),(AA73+RU_Raw!AA75)/2,IF(ISNUMBER(RU_Raw!AA76),AA73+(RU_Raw!AA76-AA73)/3,"")))</f>
        <v>142.1</v>
      </c>
      <c r="AB74" s="19">
        <f>IF(ISNUMBER(RU_Raw!AB74),RU_Raw!AB74,IF(ISNUMBER(RU_Raw!AB75),(AB73+RU_Raw!AB75)/2,IF(ISNUMBER(RU_Raw!AB76),AB73+(RU_Raw!AB76-AB73)/3,"")))</f>
        <v>125.5</v>
      </c>
      <c r="AC74" s="19">
        <f>IF(ISNUMBER(RU_Raw!AC74),RU_Raw!AC74,IF(ISNUMBER(RU_Raw!AC75),(AC73+RU_Raw!AC75)/2,IF(ISNUMBER(RU_Raw!AC76),AC73+(RU_Raw!AC76-AC73)/3,"")))</f>
        <v>136.5</v>
      </c>
      <c r="AD74" s="19">
        <f>IF(ISNUMBER(RU_Raw!AD74),RU_Raw!AD74,IF(ISNUMBER(RU_Raw!AD75),(AD73+RU_Raw!AD75)/2,IF(ISNUMBER(RU_Raw!AD76),AD73+(RU_Raw!AD76-AD73)/3,"")))</f>
        <v>147.8</v>
      </c>
      <c r="AE74" s="19">
        <f>IF(ISNUMBER(RU_Raw!AE74),RU_Raw!AE74,IF(ISNUMBER(RU_Raw!AE75),(AE73+RU_Raw!AE75)/2,IF(ISNUMBER(RU_Raw!AE76),AE73+(RU_Raw!AE76-AE73)/3,"")))</f>
        <v>132</v>
      </c>
      <c r="AF74" s="19">
        <f>IF(ISNUMBER(RU_Raw!AF74),RU_Raw!AF74,IF(ISNUMBER(RU_Raw!AF75),(AF73+RU_Raw!AF75)/2,IF(ISNUMBER(RU_Raw!AF76),AF73+(RU_Raw!AF76-AF73)/3,"")))</f>
        <v>136.3</v>
      </c>
      <c r="AG74" s="19">
        <f>IF(ISNUMBER(RU_Raw!AG74),RU_Raw!AG74,IF(ISNUMBER(RU_Raw!AG75),(AG73+RU_Raw!AG75)/2,IF(ISNUMBER(RU_Raw!AG76),AG73+(RU_Raw!AG76-AG73)/3,"")))</f>
        <v>140.8</v>
      </c>
      <c r="AH74" s="19">
        <f t="shared" si="3"/>
        <v>1636.5</v>
      </c>
    </row>
    <row r="75" spans="1:34">
      <c r="A75" s="6">
        <f>RU_Raw!A75</f>
        <v>2018</v>
      </c>
      <c r="B75" s="6">
        <f>RU_Raw!B75</f>
        <v>11</v>
      </c>
      <c r="C75" s="6" t="str">
        <f>RU_Raw!C75</f>
        <v>November</v>
      </c>
      <c r="D75" s="9">
        <f>RU_Raw!D75</f>
        <v>43405</v>
      </c>
      <c r="E75" s="6">
        <f>COUNTBLANK(RU_Raw!G75:AG75)</f>
        <v>0</v>
      </c>
      <c r="F75" s="6" t="str">
        <f t="shared" si="2"/>
        <v/>
      </c>
      <c r="G75" s="19">
        <f>IF(ISNUMBER(RU_Raw!G75),RU_Raw!G75,IF(ISNUMBER(RU_Raw!G76),(G74+RU_Raw!G76)/2,IF(ISNUMBER(RU_Raw!G77),G74+(RU_Raw!G77-G74)/3,"")))</f>
        <v>137.4</v>
      </c>
      <c r="H75" s="19">
        <f>IF(ISNUMBER(RU_Raw!H75),RU_Raw!H75,IF(ISNUMBER(RU_Raw!H76),(H74+RU_Raw!H76)/2,IF(ISNUMBER(RU_Raw!H77),H74+(RU_Raw!H77-H74)/3,"")))</f>
        <v>149.2</v>
      </c>
      <c r="I75" s="19">
        <f>IF(ISNUMBER(RU_Raw!I75),RU_Raw!I75,IF(ISNUMBER(RU_Raw!I76),(I74+RU_Raw!I76)/2,IF(ISNUMBER(RU_Raw!I77),I74+(RU_Raw!I77-I74)/3,"")))</f>
        <v>137.1</v>
      </c>
      <c r="J75" s="19">
        <f>IF(ISNUMBER(RU_Raw!J75),RU_Raw!J75,IF(ISNUMBER(RU_Raw!J76),(J74+RU_Raw!J76)/2,IF(ISNUMBER(RU_Raw!J77),J74+(RU_Raw!J77-J74)/3,"")))</f>
        <v>141.8</v>
      </c>
      <c r="K75" s="19">
        <f>IF(ISNUMBER(RU_Raw!K75),RU_Raw!K75,IF(ISNUMBER(RU_Raw!K76),(K74+RU_Raw!K76)/2,IF(ISNUMBER(RU_Raw!K77),K74+(RU_Raw!K77-K74)/3,"")))</f>
        <v>121.1</v>
      </c>
      <c r="L75" s="19">
        <f>IF(ISNUMBER(RU_Raw!L75),RU_Raw!L75,IF(ISNUMBER(RU_Raw!L76),(L74+RU_Raw!L76)/2,IF(ISNUMBER(RU_Raw!L77),L74+(RU_Raw!L77-L74)/3,"")))</f>
        <v>142.8</v>
      </c>
      <c r="M75" s="19">
        <f>IF(ISNUMBER(RU_Raw!M75),RU_Raw!M75,IF(ISNUMBER(RU_Raw!M76),(M74+RU_Raw!M76)/2,IF(ISNUMBER(RU_Raw!M77),M74+(RU_Raw!M77-M74)/3,"")))</f>
        <v>146.7</v>
      </c>
      <c r="N75" s="19">
        <f>IF(ISNUMBER(RU_Raw!N75),RU_Raw!N75,IF(ISNUMBER(RU_Raw!N76),(N74+RU_Raw!N76)/2,IF(ISNUMBER(RU_Raw!N77),N74+(RU_Raw!N77-N74)/3,"")))</f>
        <v>119.1</v>
      </c>
      <c r="O75" s="19">
        <f>IF(ISNUMBER(RU_Raw!O75),RU_Raw!O75,IF(ISNUMBER(RU_Raw!O76),(O74+RU_Raw!O76)/2,IF(ISNUMBER(RU_Raw!O77),O74+(RU_Raw!O77-O74)/3,"")))</f>
        <v>111.9</v>
      </c>
      <c r="P75" s="19">
        <f>IF(ISNUMBER(RU_Raw!P75),RU_Raw!P75,IF(ISNUMBER(RU_Raw!P76),(P74+RU_Raw!P76)/2,IF(ISNUMBER(RU_Raw!P77),P74+(RU_Raw!P77-P74)/3,"")))</f>
        <v>140.9</v>
      </c>
      <c r="Q75" s="19">
        <f>IF(ISNUMBER(RU_Raw!Q75),RU_Raw!Q75,IF(ISNUMBER(RU_Raw!Q76),(Q74+RU_Raw!Q76)/2,IF(ISNUMBER(RU_Raw!Q77),Q74+(RU_Raw!Q77-Q74)/3,"")))</f>
        <v>133.5</v>
      </c>
      <c r="R75" s="19">
        <f>IF(ISNUMBER(RU_Raw!R75),RU_Raw!R75,IF(ISNUMBER(RU_Raw!R76),(R74+RU_Raw!R76)/2,IF(ISNUMBER(RU_Raw!R77),R74+(RU_Raw!R77-R74)/3,"")))</f>
        <v>154.5</v>
      </c>
      <c r="S75" s="19">
        <f>IF(ISNUMBER(RU_Raw!S75),RU_Raw!S75,IF(ISNUMBER(RU_Raw!S76),(S74+RU_Raw!S76)/2,IF(ISNUMBER(RU_Raw!S77),S74+(RU_Raw!S77-S74)/3,"")))</f>
        <v>139.7</v>
      </c>
      <c r="T75" s="19">
        <f>IF(ISNUMBER(RU_Raw!T75),RU_Raw!T75,IF(ISNUMBER(RU_Raw!T76),(T74+RU_Raw!T76)/2,IF(ISNUMBER(RU_Raw!T77),T74+(RU_Raw!T77-T74)/3,"")))</f>
        <v>162.6</v>
      </c>
      <c r="U75" s="19">
        <f>IF(ISNUMBER(RU_Raw!U75),RU_Raw!U75,IF(ISNUMBER(RU_Raw!U76),(U74+RU_Raw!U76)/2,IF(ISNUMBER(RU_Raw!U77),U74+(RU_Raw!U77-U74)/3,"")))</f>
        <v>148</v>
      </c>
      <c r="V75" s="19">
        <f>IF(ISNUMBER(RU_Raw!V75),RU_Raw!V75,IF(ISNUMBER(RU_Raw!V76),(V74+RU_Raw!V76)/2,IF(ISNUMBER(RU_Raw!V77),V74+(RU_Raw!V77-V74)/3,"")))</f>
        <v>139.1</v>
      </c>
      <c r="W75" s="19">
        <f>IF(ISNUMBER(RU_Raw!W75),RU_Raw!W75,IF(ISNUMBER(RU_Raw!W76),(W74+RU_Raw!W76)/2,IF(ISNUMBER(RU_Raw!W77),W74+(RU_Raw!W77-W74)/3,"")))</f>
        <v>146.7</v>
      </c>
      <c r="X75" s="19">
        <f>IF(ISNUMBER(RU_Raw!X75),RU_Raw!X75,IF(ISNUMBER(RU_Raw!X76),(X74+RU_Raw!X76)/2,IF(ISNUMBER(RU_Raw!X77),X74+(RU_Raw!X77-X74)/3,"")))</f>
        <v>146.9</v>
      </c>
      <c r="Y75" s="19">
        <f>IF(ISNUMBER(RU_Raw!Y75),RU_Raw!Y75,IF(ISNUMBER(RU_Raw!Y76),(Y74+RU_Raw!Y76)/2,IF(ISNUMBER(RU_Raw!Y77),Y74+(RU_Raw!Y77-Y74)/3,"")))</f>
        <v>145.1</v>
      </c>
      <c r="Z75" s="19">
        <f>IF(ISNUMBER(RU_Raw!Z75),RU_Raw!Z75,IF(ISNUMBER(RU_Raw!Z76),(Z74+RU_Raw!Z76)/2,IF(ISNUMBER(RU_Raw!Z77),Z74+(RU_Raw!Z77-Z74)/3,"")))</f>
        <v>142.2</v>
      </c>
      <c r="AA75" s="19">
        <f>IF(ISNUMBER(RU_Raw!AA75),RU_Raw!AA75,IF(ISNUMBER(RU_Raw!AA76),(AA74+RU_Raw!AA76)/2,IF(ISNUMBER(RU_Raw!AA77),AA74+(RU_Raw!AA77-AA74)/3,"")))</f>
        <v>142.1</v>
      </c>
      <c r="AB75" s="19">
        <f>IF(ISNUMBER(RU_Raw!AB75),RU_Raw!AB75,IF(ISNUMBER(RU_Raw!AB76),(AB74+RU_Raw!AB76)/2,IF(ISNUMBER(RU_Raw!AB77),AB74+(RU_Raw!AB77-AB74)/3,"")))</f>
        <v>125.5</v>
      </c>
      <c r="AC75" s="19">
        <f>IF(ISNUMBER(RU_Raw!AC75),RU_Raw!AC75,IF(ISNUMBER(RU_Raw!AC76),(AC74+RU_Raw!AC76)/2,IF(ISNUMBER(RU_Raw!AC77),AC74+(RU_Raw!AC77-AC74)/3,"")))</f>
        <v>136.5</v>
      </c>
      <c r="AD75" s="19">
        <f>IF(ISNUMBER(RU_Raw!AD75),RU_Raw!AD75,IF(ISNUMBER(RU_Raw!AD76),(AD74+RU_Raw!AD76)/2,IF(ISNUMBER(RU_Raw!AD77),AD74+(RU_Raw!AD77-AD74)/3,"")))</f>
        <v>147.8</v>
      </c>
      <c r="AE75" s="19">
        <f>IF(ISNUMBER(RU_Raw!AE75),RU_Raw!AE75,IF(ISNUMBER(RU_Raw!AE76),(AE74+RU_Raw!AE76)/2,IF(ISNUMBER(RU_Raw!AE77),AE74+(RU_Raw!AE77-AE74)/3,"")))</f>
        <v>132</v>
      </c>
      <c r="AF75" s="19">
        <f>IF(ISNUMBER(RU_Raw!AF75),RU_Raw!AF75,IF(ISNUMBER(RU_Raw!AF76),(AF74+RU_Raw!AF76)/2,IF(ISNUMBER(RU_Raw!AF77),AF74+(RU_Raw!AF77-AF74)/3,"")))</f>
        <v>136.3</v>
      </c>
      <c r="AG75" s="19">
        <f>IF(ISNUMBER(RU_Raw!AG75),RU_Raw!AG75,IF(ISNUMBER(RU_Raw!AG76),(AG74+RU_Raw!AG76)/2,IF(ISNUMBER(RU_Raw!AG77),AG74+(RU_Raw!AG77-AG74)/3,"")))</f>
        <v>140.8</v>
      </c>
      <c r="AH75" s="19">
        <f t="shared" si="3"/>
        <v>1636</v>
      </c>
    </row>
    <row r="76" spans="1:34">
      <c r="A76" s="6">
        <f>RU_Raw!A76</f>
        <v>2018</v>
      </c>
      <c r="B76" s="6">
        <f>RU_Raw!B76</f>
        <v>12</v>
      </c>
      <c r="C76" s="6" t="str">
        <f>RU_Raw!C76</f>
        <v>December</v>
      </c>
      <c r="D76" s="9">
        <f>RU_Raw!D76</f>
        <v>43435</v>
      </c>
      <c r="E76" s="6">
        <f>COUNTBLANK(RU_Raw!G76:AG76)</f>
        <v>0</v>
      </c>
      <c r="F76" s="6" t="str">
        <f t="shared" si="2"/>
        <v/>
      </c>
      <c r="G76" s="19">
        <f>IF(ISNUMBER(RU_Raw!G76),RU_Raw!G76,IF(ISNUMBER(RU_Raw!G77),(G75+RU_Raw!G77)/2,IF(ISNUMBER(RU_Raw!G78),G75+(RU_Raw!G78-G75)/3,"")))</f>
        <v>137.5</v>
      </c>
      <c r="H76" s="19">
        <f>IF(ISNUMBER(RU_Raw!H76),RU_Raw!H76,IF(ISNUMBER(RU_Raw!H77),(H75+RU_Raw!H77)/2,IF(ISNUMBER(RU_Raw!H78),H75+(RU_Raw!H78-H75)/3,"")))</f>
        <v>150.5</v>
      </c>
      <c r="I76" s="19">
        <f>IF(ISNUMBER(RU_Raw!I76),RU_Raw!I76,IF(ISNUMBER(RU_Raw!I77),(I75+RU_Raw!I77)/2,IF(ISNUMBER(RU_Raw!I78),I75+(RU_Raw!I78-I75)/3,"")))</f>
        <v>138.8</v>
      </c>
      <c r="J76" s="19">
        <f>IF(ISNUMBER(RU_Raw!J76),RU_Raw!J76,IF(ISNUMBER(RU_Raw!J77),(J75+RU_Raw!J77)/2,IF(ISNUMBER(RU_Raw!J78),J75+(RU_Raw!J78-J75)/3,"")))</f>
        <v>142.1</v>
      </c>
      <c r="K76" s="19">
        <f>IF(ISNUMBER(RU_Raw!K76),RU_Raw!K76,IF(ISNUMBER(RU_Raw!K77),(K75+RU_Raw!K77)/2,IF(ISNUMBER(RU_Raw!K78),K75+(RU_Raw!K78-K75)/3,"")))</f>
        <v>122</v>
      </c>
      <c r="L76" s="19">
        <f>IF(ISNUMBER(RU_Raw!L76),RU_Raw!L76,IF(ISNUMBER(RU_Raw!L77),(L75+RU_Raw!L77)/2,IF(ISNUMBER(RU_Raw!L78),L75+(RU_Raw!L78-L75)/3,"")))</f>
        <v>139.4</v>
      </c>
      <c r="M76" s="19">
        <f>IF(ISNUMBER(RU_Raw!M76),RU_Raw!M76,IF(ISNUMBER(RU_Raw!M77),(M75+RU_Raw!M77)/2,IF(ISNUMBER(RU_Raw!M78),M75+(RU_Raw!M78-M75)/3,"")))</f>
        <v>135.2</v>
      </c>
      <c r="N76" s="19">
        <f>IF(ISNUMBER(RU_Raw!N76),RU_Raw!N76,IF(ISNUMBER(RU_Raw!N77),(N75+RU_Raw!N77)/2,IF(ISNUMBER(RU_Raw!N78),N75+(RU_Raw!N78-N75)/3,"")))</f>
        <v>119.8</v>
      </c>
      <c r="O76" s="19">
        <f>IF(ISNUMBER(RU_Raw!O76),RU_Raw!O76,IF(ISNUMBER(RU_Raw!O77),(O75+RU_Raw!O77)/2,IF(ISNUMBER(RU_Raw!O78),O75+(RU_Raw!O78-O75)/3,"")))</f>
        <v>110.3</v>
      </c>
      <c r="P76" s="19">
        <f>IF(ISNUMBER(RU_Raw!P76),RU_Raw!P76,IF(ISNUMBER(RU_Raw!P77),(P75+RU_Raw!P77)/2,IF(ISNUMBER(RU_Raw!P78),P75+(RU_Raw!P78-P75)/3,"")))</f>
        <v>140.6</v>
      </c>
      <c r="Q76" s="19">
        <f>IF(ISNUMBER(RU_Raw!Q76),RU_Raw!Q76,IF(ISNUMBER(RU_Raw!Q77),(Q75+RU_Raw!Q77)/2,IF(ISNUMBER(RU_Raw!Q78),Q75+(RU_Raw!Q78-Q75)/3,"")))</f>
        <v>133.8</v>
      </c>
      <c r="R76" s="19">
        <f>IF(ISNUMBER(RU_Raw!R76),RU_Raw!R76,IF(ISNUMBER(RU_Raw!R77),(R75+RU_Raw!R77)/2,IF(ISNUMBER(RU_Raw!R78),R75+(RU_Raw!R78-R75)/3,"")))</f>
        <v>154.6</v>
      </c>
      <c r="S76" s="19">
        <f>IF(ISNUMBER(RU_Raw!S76),RU_Raw!S76,IF(ISNUMBER(RU_Raw!S77),(S75+RU_Raw!S77)/2,IF(ISNUMBER(RU_Raw!S78),S75+(RU_Raw!S78-S75)/3,"")))</f>
        <v>138.2</v>
      </c>
      <c r="T76" s="19">
        <f>IF(ISNUMBER(RU_Raw!T76),RU_Raw!T76,IF(ISNUMBER(RU_Raw!T77),(T75+RU_Raw!T77)/2,IF(ISNUMBER(RU_Raw!T78),T75+(RU_Raw!T78-T75)/3,"")))</f>
        <v>163</v>
      </c>
      <c r="U76" s="19">
        <f>IF(ISNUMBER(RU_Raw!U76),RU_Raw!U76,IF(ISNUMBER(RU_Raw!U77),(U75+RU_Raw!U77)/2,IF(ISNUMBER(RU_Raw!U78),U75+(RU_Raw!U78-U75)/3,"")))</f>
        <v>148.1</v>
      </c>
      <c r="V76" s="19">
        <f>IF(ISNUMBER(RU_Raw!V76),RU_Raw!V76,IF(ISNUMBER(RU_Raw!V77),(V75+RU_Raw!V77)/2,IF(ISNUMBER(RU_Raw!V78),V75+(RU_Raw!V78-V75)/3,"")))</f>
        <v>139.4</v>
      </c>
      <c r="W76" s="19">
        <f>IF(ISNUMBER(RU_Raw!W76),RU_Raw!W76,IF(ISNUMBER(RU_Raw!W77),(W75+RU_Raw!W77)/2,IF(ISNUMBER(RU_Raw!W78),W75+(RU_Raw!W78-W75)/3,"")))</f>
        <v>146.8</v>
      </c>
      <c r="X76" s="19">
        <f>IF(ISNUMBER(RU_Raw!X76),RU_Raw!X76,IF(ISNUMBER(RU_Raw!X77),(X75+RU_Raw!X77)/2,IF(ISNUMBER(RU_Raw!X78),X75+(RU_Raw!X78-X75)/3,"")))</f>
        <v>146.5</v>
      </c>
      <c r="Y76" s="19">
        <f>IF(ISNUMBER(RU_Raw!Y76),RU_Raw!Y76,IF(ISNUMBER(RU_Raw!Y77),(Y75+RU_Raw!Y77)/2,IF(ISNUMBER(RU_Raw!Y78),Y75+(RU_Raw!Y78-Y75)/3,"")))</f>
        <v>142.7</v>
      </c>
      <c r="Z76" s="19">
        <f>IF(ISNUMBER(RU_Raw!Z76),RU_Raw!Z76,IF(ISNUMBER(RU_Raw!Z77),(Z75+RU_Raw!Z77)/2,IF(ISNUMBER(RU_Raw!Z78),Z75+(RU_Raw!Z78-Z75)/3,"")))</f>
        <v>143.2</v>
      </c>
      <c r="AA76" s="19">
        <f>IF(ISNUMBER(RU_Raw!AA76),RU_Raw!AA76,IF(ISNUMBER(RU_Raw!AA77),(AA75+RU_Raw!AA77)/2,IF(ISNUMBER(RU_Raw!AA78),AA75+(RU_Raw!AA78-AA75)/3,"")))</f>
        <v>144.9</v>
      </c>
      <c r="AB76" s="19">
        <f>IF(ISNUMBER(RU_Raw!AB76),RU_Raw!AB76,IF(ISNUMBER(RU_Raw!AB77),(AB75+RU_Raw!AB77)/2,IF(ISNUMBER(RU_Raw!AB78),AB75+(RU_Raw!AB78-AB75)/3,"")))</f>
        <v>123.6</v>
      </c>
      <c r="AC76" s="19">
        <f>IF(ISNUMBER(RU_Raw!AC76),RU_Raw!AC76,IF(ISNUMBER(RU_Raw!AC77),(AC75+RU_Raw!AC77)/2,IF(ISNUMBER(RU_Raw!AC78),AC75+(RU_Raw!AC78-AC75)/3,"")))</f>
        <v>136.8</v>
      </c>
      <c r="AD76" s="19">
        <f>IF(ISNUMBER(RU_Raw!AD76),RU_Raw!AD76,IF(ISNUMBER(RU_Raw!AD77),(AD75+RU_Raw!AD77)/2,IF(ISNUMBER(RU_Raw!AD78),AD75+(RU_Raw!AD78-AD75)/3,"")))</f>
        <v>150.1</v>
      </c>
      <c r="AE76" s="19">
        <f>IF(ISNUMBER(RU_Raw!AE76),RU_Raw!AE76,IF(ISNUMBER(RU_Raw!AE77),(AE75+RU_Raw!AE77)/2,IF(ISNUMBER(RU_Raw!AE78),AE75+(RU_Raw!AE78-AE75)/3,"")))</f>
        <v>132.2</v>
      </c>
      <c r="AF76" s="19">
        <f>IF(ISNUMBER(RU_Raw!AF76),RU_Raw!AF76,IF(ISNUMBER(RU_Raw!AF77),(AF75+RU_Raw!AF77)/2,IF(ISNUMBER(RU_Raw!AF78),AF75+(RU_Raw!AF78-AF75)/3,"")))</f>
        <v>136.8</v>
      </c>
      <c r="AG76" s="19">
        <f>IF(ISNUMBER(RU_Raw!AG76),RU_Raw!AG76,IF(ISNUMBER(RU_Raw!AG77),(AG75+RU_Raw!AG77)/2,IF(ISNUMBER(RU_Raw!AG78),AG75+(RU_Raw!AG78-AG75)/3,"")))</f>
        <v>140.1</v>
      </c>
      <c r="AH76" s="19">
        <f t="shared" si="3"/>
        <v>1624.6</v>
      </c>
    </row>
    <row r="77" spans="1:34">
      <c r="A77" s="6">
        <f>RU_Raw!A77</f>
        <v>2019</v>
      </c>
      <c r="B77" s="6">
        <f>RU_Raw!B77</f>
        <v>1</v>
      </c>
      <c r="C77" s="6" t="str">
        <f>RU_Raw!C77</f>
        <v>January</v>
      </c>
      <c r="D77" s="9">
        <f>RU_Raw!D77</f>
        <v>43466</v>
      </c>
      <c r="E77" s="6">
        <f>COUNTBLANK(RU_Raw!G77:AG77)</f>
        <v>0</v>
      </c>
      <c r="F77" s="6" t="str">
        <f t="shared" si="2"/>
        <v/>
      </c>
      <c r="G77" s="19">
        <f>IF(ISNUMBER(RU_Raw!G77),RU_Raw!G77,IF(ISNUMBER(RU_Raw!G78),(G76+RU_Raw!G78)/2,IF(ISNUMBER(RU_Raw!G79),G76+(RU_Raw!G79-G76)/3,"")))</f>
        <v>137.1</v>
      </c>
      <c r="H77" s="19">
        <f>IF(ISNUMBER(RU_Raw!H77),RU_Raw!H77,IF(ISNUMBER(RU_Raw!H78),(H76+RU_Raw!H78)/2,IF(ISNUMBER(RU_Raw!H79),H76+(RU_Raw!H79-H76)/3,"")))</f>
        <v>151.4</v>
      </c>
      <c r="I77" s="19">
        <f>IF(ISNUMBER(RU_Raw!I77),RU_Raw!I77,IF(ISNUMBER(RU_Raw!I78),(I76+RU_Raw!I78)/2,IF(ISNUMBER(RU_Raw!I79),I76+(RU_Raw!I79-I76)/3,"")))</f>
        <v>140.2</v>
      </c>
      <c r="J77" s="19">
        <f>IF(ISNUMBER(RU_Raw!J77),RU_Raw!J77,IF(ISNUMBER(RU_Raw!J78),(J76+RU_Raw!J78)/2,IF(ISNUMBER(RU_Raw!J79),J76+(RU_Raw!J79-J76)/3,"")))</f>
        <v>142.1</v>
      </c>
      <c r="K77" s="19">
        <f>IF(ISNUMBER(RU_Raw!K77),RU_Raw!K77,IF(ISNUMBER(RU_Raw!K78),(K76+RU_Raw!K78)/2,IF(ISNUMBER(RU_Raw!K79),K76+(RU_Raw!K79-K76)/3,"")))</f>
        <v>121.8</v>
      </c>
      <c r="L77" s="19">
        <f>IF(ISNUMBER(RU_Raw!L77),RU_Raw!L77,IF(ISNUMBER(RU_Raw!L78),(L76+RU_Raw!L78)/2,IF(ISNUMBER(RU_Raw!L79),L76+(RU_Raw!L79-L76)/3,"")))</f>
        <v>135.4</v>
      </c>
      <c r="M77" s="19">
        <f>IF(ISNUMBER(RU_Raw!M77),RU_Raw!M77,IF(ISNUMBER(RU_Raw!M78),(M76+RU_Raw!M78)/2,IF(ISNUMBER(RU_Raw!M79),M76+(RU_Raw!M79-M76)/3,"")))</f>
        <v>131.3</v>
      </c>
      <c r="N77" s="19">
        <f>IF(ISNUMBER(RU_Raw!N77),RU_Raw!N77,IF(ISNUMBER(RU_Raw!N78),(N76+RU_Raw!N78)/2,IF(ISNUMBER(RU_Raw!N79),N76+(RU_Raw!N79-N76)/3,"")))</f>
        <v>120.3</v>
      </c>
      <c r="O77" s="19">
        <f>IF(ISNUMBER(RU_Raw!O77),RU_Raw!O77,IF(ISNUMBER(RU_Raw!O78),(O76+RU_Raw!O78)/2,IF(ISNUMBER(RU_Raw!O79),O76+(RU_Raw!O79-O76)/3,"")))</f>
        <v>109.1</v>
      </c>
      <c r="P77" s="19">
        <f>IF(ISNUMBER(RU_Raw!P77),RU_Raw!P77,IF(ISNUMBER(RU_Raw!P78),(P76+RU_Raw!P78)/2,IF(ISNUMBER(RU_Raw!P79),P76+(RU_Raw!P79-P76)/3,"")))</f>
        <v>139.4</v>
      </c>
      <c r="Q77" s="19">
        <f>IF(ISNUMBER(RU_Raw!Q77),RU_Raw!Q77,IF(ISNUMBER(RU_Raw!Q78),(Q76+RU_Raw!Q78)/2,IF(ISNUMBER(RU_Raw!Q79),Q76+(RU_Raw!Q79-Q76)/3,"")))</f>
        <v>133.3</v>
      </c>
      <c r="R77" s="19">
        <f>IF(ISNUMBER(RU_Raw!R77),RU_Raw!R77,IF(ISNUMBER(RU_Raw!R78),(R76+RU_Raw!R78)/2,IF(ISNUMBER(RU_Raw!R79),R76+(RU_Raw!R79-R76)/3,"")))</f>
        <v>154.6</v>
      </c>
      <c r="S77" s="19">
        <f>IF(ISNUMBER(RU_Raw!S77),RU_Raw!S77,IF(ISNUMBER(RU_Raw!S78),(S76+RU_Raw!S78)/2,IF(ISNUMBER(RU_Raw!S79),S76+(RU_Raw!S79-S76)/3,"")))</f>
        <v>137.4</v>
      </c>
      <c r="T77" s="19">
        <f>IF(ISNUMBER(RU_Raw!T77),RU_Raw!T77,IF(ISNUMBER(RU_Raw!T78),(T76+RU_Raw!T78)/2,IF(ISNUMBER(RU_Raw!T79),T76+(RU_Raw!T79-T76)/3,"")))</f>
        <v>163.2</v>
      </c>
      <c r="U77" s="19">
        <f>IF(ISNUMBER(RU_Raw!U77),RU_Raw!U77,IF(ISNUMBER(RU_Raw!U78),(U76+RU_Raw!U78)/2,IF(ISNUMBER(RU_Raw!U79),U76+(RU_Raw!U79-U76)/3,"")))</f>
        <v>147.6</v>
      </c>
      <c r="V77" s="19">
        <f>IF(ISNUMBER(RU_Raw!V77),RU_Raw!V77,IF(ISNUMBER(RU_Raw!V78),(V76+RU_Raw!V78)/2,IF(ISNUMBER(RU_Raw!V79),V76+(RU_Raw!V79-V76)/3,"")))</f>
        <v>139</v>
      </c>
      <c r="W77" s="19">
        <f>IF(ISNUMBER(RU_Raw!W77),RU_Raw!W77,IF(ISNUMBER(RU_Raw!W78),(W76+RU_Raw!W78)/2,IF(ISNUMBER(RU_Raw!W79),W76+(RU_Raw!W79-W76)/3,"")))</f>
        <v>146.4</v>
      </c>
      <c r="X77" s="19">
        <f>IF(ISNUMBER(RU_Raw!X77),RU_Raw!X77,IF(ISNUMBER(RU_Raw!X78),(X76+RU_Raw!X78)/2,IF(ISNUMBER(RU_Raw!X79),X76+(RU_Raw!X79-X76)/3,"")))</f>
        <v>147.7</v>
      </c>
      <c r="Y77" s="19">
        <f>IF(ISNUMBER(RU_Raw!Y77),RU_Raw!Y77,IF(ISNUMBER(RU_Raw!Y78),(Y76+RU_Raw!Y78)/2,IF(ISNUMBER(RU_Raw!Y79),Y76+(RU_Raw!Y79-Y76)/3,"")))</f>
        <v>139.5</v>
      </c>
      <c r="Z77" s="19">
        <f>IF(ISNUMBER(RU_Raw!Z77),RU_Raw!Z77,IF(ISNUMBER(RU_Raw!Z78),(Z76+RU_Raw!Z78)/2,IF(ISNUMBER(RU_Raw!Z79),Z76+(RU_Raw!Z79-Z76)/3,"")))</f>
        <v>143.6</v>
      </c>
      <c r="AA77" s="19">
        <f>IF(ISNUMBER(RU_Raw!AA77),RU_Raw!AA77,IF(ISNUMBER(RU_Raw!AA78),(AA76+RU_Raw!AA78)/2,IF(ISNUMBER(RU_Raw!AA79),AA76+(RU_Raw!AA79-AA76)/3,"")))</f>
        <v>145.1</v>
      </c>
      <c r="AB77" s="19">
        <f>IF(ISNUMBER(RU_Raw!AB77),RU_Raw!AB77,IF(ISNUMBER(RU_Raw!AB78),(AB76+RU_Raw!AB78)/2,IF(ISNUMBER(RU_Raw!AB79),AB76+(RU_Raw!AB79-AB76)/3,"")))</f>
        <v>123.3</v>
      </c>
      <c r="AC77" s="19">
        <f>IF(ISNUMBER(RU_Raw!AC77),RU_Raw!AC77,IF(ISNUMBER(RU_Raw!AC78),(AC76+RU_Raw!AC78)/2,IF(ISNUMBER(RU_Raw!AC79),AC76+(RU_Raw!AC79-AC76)/3,"")))</f>
        <v>136.7</v>
      </c>
      <c r="AD77" s="19">
        <f>IF(ISNUMBER(RU_Raw!AD77),RU_Raw!AD77,IF(ISNUMBER(RU_Raw!AD78),(AD76+RU_Raw!AD78)/2,IF(ISNUMBER(RU_Raw!AD79),AD76+(RU_Raw!AD79-AD76)/3,"")))</f>
        <v>150.2</v>
      </c>
      <c r="AE77" s="19">
        <f>IF(ISNUMBER(RU_Raw!AE77),RU_Raw!AE77,IF(ISNUMBER(RU_Raw!AE78),(AE76+RU_Raw!AE78)/2,IF(ISNUMBER(RU_Raw!AE79),AE76+(RU_Raw!AE79-AE76)/3,"")))</f>
        <v>132.8</v>
      </c>
      <c r="AF77" s="19">
        <f>IF(ISNUMBER(RU_Raw!AF77),RU_Raw!AF77,IF(ISNUMBER(RU_Raw!AF78),(AF76+RU_Raw!AF78)/2,IF(ISNUMBER(RU_Raw!AF79),AF76+(RU_Raw!AF79-AF76)/3,"")))</f>
        <v>136.9</v>
      </c>
      <c r="AG77" s="19">
        <f>IF(ISNUMBER(RU_Raw!AG77),RU_Raw!AG77,IF(ISNUMBER(RU_Raw!AG78),(AG76+RU_Raw!AG78)/2,IF(ISNUMBER(RU_Raw!AG79),AG76+(RU_Raw!AG79-AG76)/3,"")))</f>
        <v>139.6</v>
      </c>
      <c r="AH77" s="19">
        <f t="shared" si="3"/>
        <v>1616</v>
      </c>
    </row>
    <row r="78" spans="1:34">
      <c r="A78" s="6">
        <f>RU_Raw!A78</f>
        <v>2019</v>
      </c>
      <c r="B78" s="6">
        <f>RU_Raw!B78</f>
        <v>2</v>
      </c>
      <c r="C78" s="6" t="str">
        <f>RU_Raw!C78</f>
        <v>February</v>
      </c>
      <c r="D78" s="9">
        <f>RU_Raw!D78</f>
        <v>43497</v>
      </c>
      <c r="E78" s="6">
        <f>COUNTBLANK(RU_Raw!G78:AG78)</f>
        <v>0</v>
      </c>
      <c r="F78" s="6" t="str">
        <f t="shared" si="2"/>
        <v/>
      </c>
      <c r="G78" s="19">
        <f>IF(ISNUMBER(RU_Raw!G78),RU_Raw!G78,IF(ISNUMBER(RU_Raw!G79),(G77+RU_Raw!G79)/2,IF(ISNUMBER(RU_Raw!G80),G77+(RU_Raw!G80-G77)/3,"")))</f>
        <v>137.6</v>
      </c>
      <c r="H78" s="19">
        <f>IF(ISNUMBER(RU_Raw!H78),RU_Raw!H78,IF(ISNUMBER(RU_Raw!H79),(H77+RU_Raw!H79)/2,IF(ISNUMBER(RU_Raw!H80),H77+(RU_Raw!H80-H77)/3,"")))</f>
        <v>152</v>
      </c>
      <c r="I78" s="19">
        <f>IF(ISNUMBER(RU_Raw!I78),RU_Raw!I78,IF(ISNUMBER(RU_Raw!I79),(I77+RU_Raw!I79)/2,IF(ISNUMBER(RU_Raw!I80),I77+(RU_Raw!I80-I77)/3,"")))</f>
        <v>141.5</v>
      </c>
      <c r="J78" s="19">
        <f>IF(ISNUMBER(RU_Raw!J78),RU_Raw!J78,IF(ISNUMBER(RU_Raw!J79),(J77+RU_Raw!J79)/2,IF(ISNUMBER(RU_Raw!J80),J77+(RU_Raw!J80-J77)/3,"")))</f>
        <v>142.2</v>
      </c>
      <c r="K78" s="19">
        <f>IF(ISNUMBER(RU_Raw!K78),RU_Raw!K78,IF(ISNUMBER(RU_Raw!K79),(K77+RU_Raw!K79)/2,IF(ISNUMBER(RU_Raw!K80),K77+(RU_Raw!K80-K77)/3,"")))</f>
        <v>122</v>
      </c>
      <c r="L78" s="19">
        <f>IF(ISNUMBER(RU_Raw!L78),RU_Raw!L78,IF(ISNUMBER(RU_Raw!L79),(L77+RU_Raw!L79)/2,IF(ISNUMBER(RU_Raw!L80),L77+(RU_Raw!L80-L77)/3,"")))</f>
        <v>136.4</v>
      </c>
      <c r="M78" s="19">
        <f>IF(ISNUMBER(RU_Raw!M78),RU_Raw!M78,IF(ISNUMBER(RU_Raw!M79),(M77+RU_Raw!M79)/2,IF(ISNUMBER(RU_Raw!M80),M77+(RU_Raw!M80-M77)/3,"")))</f>
        <v>129.7</v>
      </c>
      <c r="N78" s="19">
        <f>IF(ISNUMBER(RU_Raw!N78),RU_Raw!N78,IF(ISNUMBER(RU_Raw!N79),(N77+RU_Raw!N79)/2,IF(ISNUMBER(RU_Raw!N80),N77+(RU_Raw!N80-N77)/3,"")))</f>
        <v>121</v>
      </c>
      <c r="O78" s="19">
        <f>IF(ISNUMBER(RU_Raw!O78),RU_Raw!O78,IF(ISNUMBER(RU_Raw!O79),(O77+RU_Raw!O79)/2,IF(ISNUMBER(RU_Raw!O80),O77+(RU_Raw!O80-O77)/3,"")))</f>
        <v>109</v>
      </c>
      <c r="P78" s="19">
        <f>IF(ISNUMBER(RU_Raw!P78),RU_Raw!P78,IF(ISNUMBER(RU_Raw!P79),(P77+RU_Raw!P79)/2,IF(ISNUMBER(RU_Raw!P80),P77+(RU_Raw!P80-P77)/3,"")))</f>
        <v>139.7</v>
      </c>
      <c r="Q78" s="19">
        <f>IF(ISNUMBER(RU_Raw!Q78),RU_Raw!Q78,IF(ISNUMBER(RU_Raw!Q79),(Q77+RU_Raw!Q79)/2,IF(ISNUMBER(RU_Raw!Q80),Q77+(RU_Raw!Q80-Q77)/3,"")))</f>
        <v>133.6</v>
      </c>
      <c r="R78" s="19">
        <f>IF(ISNUMBER(RU_Raw!R78),RU_Raw!R78,IF(ISNUMBER(RU_Raw!R79),(R77+RU_Raw!R79)/2,IF(ISNUMBER(RU_Raw!R80),R77+(RU_Raw!R80-R77)/3,"")))</f>
        <v>154.9</v>
      </c>
      <c r="S78" s="19">
        <f>IF(ISNUMBER(RU_Raw!S78),RU_Raw!S78,IF(ISNUMBER(RU_Raw!S79),(S77+RU_Raw!S79)/2,IF(ISNUMBER(RU_Raw!S80),S77+(RU_Raw!S80-S77)/3,"")))</f>
        <v>137.5</v>
      </c>
      <c r="T78" s="19">
        <f>IF(ISNUMBER(RU_Raw!T78),RU_Raw!T78,IF(ISNUMBER(RU_Raw!T79),(T77+RU_Raw!T79)/2,IF(ISNUMBER(RU_Raw!T80),T77+(RU_Raw!T80-T77)/3,"")))</f>
        <v>163.4</v>
      </c>
      <c r="U78" s="19">
        <f>IF(ISNUMBER(RU_Raw!U78),RU_Raw!U78,IF(ISNUMBER(RU_Raw!U79),(U77+RU_Raw!U79)/2,IF(ISNUMBER(RU_Raw!U80),U77+(RU_Raw!U80-U77)/3,"")))</f>
        <v>147.7</v>
      </c>
      <c r="V78" s="19">
        <f>IF(ISNUMBER(RU_Raw!V78),RU_Raw!V78,IF(ISNUMBER(RU_Raw!V79),(V77+RU_Raw!V79)/2,IF(ISNUMBER(RU_Raw!V80),V77+(RU_Raw!V80-V77)/3,"")))</f>
        <v>139.7</v>
      </c>
      <c r="W78" s="19">
        <f>IF(ISNUMBER(RU_Raw!W78),RU_Raw!W78,IF(ISNUMBER(RU_Raw!W79),(W77+RU_Raw!W79)/2,IF(ISNUMBER(RU_Raw!W80),W77+(RU_Raw!W80-W77)/3,"")))</f>
        <v>146.5</v>
      </c>
      <c r="X78" s="19">
        <f>IF(ISNUMBER(RU_Raw!X78),RU_Raw!X78,IF(ISNUMBER(RU_Raw!X79),(X77+RU_Raw!X79)/2,IF(ISNUMBER(RU_Raw!X80),X77+(RU_Raw!X80-X77)/3,"")))</f>
        <v>148.5</v>
      </c>
      <c r="Y78" s="19">
        <f>IF(ISNUMBER(RU_Raw!Y78),RU_Raw!Y78,IF(ISNUMBER(RU_Raw!Y79),(Y77+RU_Raw!Y79)/2,IF(ISNUMBER(RU_Raw!Y80),Y77+(RU_Raw!Y80-Y77)/3,"")))</f>
        <v>138.4</v>
      </c>
      <c r="Z78" s="19">
        <f>IF(ISNUMBER(RU_Raw!Z78),RU_Raw!Z78,IF(ISNUMBER(RU_Raw!Z79),(Z77+RU_Raw!Z79)/2,IF(ISNUMBER(RU_Raw!Z80),Z77+(RU_Raw!Z80-Z77)/3,"")))</f>
        <v>143.7</v>
      </c>
      <c r="AA78" s="19">
        <f>IF(ISNUMBER(RU_Raw!AA78),RU_Raw!AA78,IF(ISNUMBER(RU_Raw!AA79),(AA77+RU_Raw!AA79)/2,IF(ISNUMBER(RU_Raw!AA80),AA77+(RU_Raw!AA80-AA77)/3,"")))</f>
        <v>145.6</v>
      </c>
      <c r="AB78" s="19">
        <f>IF(ISNUMBER(RU_Raw!AB78),RU_Raw!AB78,IF(ISNUMBER(RU_Raw!AB79),(AB77+RU_Raw!AB79)/2,IF(ISNUMBER(RU_Raw!AB80),AB77+(RU_Raw!AB80-AB77)/3,"")))</f>
        <v>123.9</v>
      </c>
      <c r="AC78" s="19">
        <f>IF(ISNUMBER(RU_Raw!AC78),RU_Raw!AC78,IF(ISNUMBER(RU_Raw!AC79),(AC77+RU_Raw!AC79)/2,IF(ISNUMBER(RU_Raw!AC80),AC77+(RU_Raw!AC80-AC77)/3,"")))</f>
        <v>137.1</v>
      </c>
      <c r="AD78" s="19">
        <f>IF(ISNUMBER(RU_Raw!AD78),RU_Raw!AD78,IF(ISNUMBER(RU_Raw!AD79),(AD77+RU_Raw!AD79)/2,IF(ISNUMBER(RU_Raw!AD80),AD77+(RU_Raw!AD80-AD77)/3,"")))</f>
        <v>150.3</v>
      </c>
      <c r="AE78" s="19">
        <f>IF(ISNUMBER(RU_Raw!AE78),RU_Raw!AE78,IF(ISNUMBER(RU_Raw!AE79),(AE77+RU_Raw!AE79)/2,IF(ISNUMBER(RU_Raw!AE80),AE77+(RU_Raw!AE80-AE77)/3,"")))</f>
        <v>134.1</v>
      </c>
      <c r="AF78" s="19">
        <f>IF(ISNUMBER(RU_Raw!AF78),RU_Raw!AF78,IF(ISNUMBER(RU_Raw!AF79),(AF77+RU_Raw!AF79)/2,IF(ISNUMBER(RU_Raw!AF80),AF77+(RU_Raw!AF80-AF77)/3,"")))</f>
        <v>137.4</v>
      </c>
      <c r="AG78" s="19">
        <f>IF(ISNUMBER(RU_Raw!AG78),RU_Raw!AG78,IF(ISNUMBER(RU_Raw!AG79),(AG77+RU_Raw!AG79)/2,IF(ISNUMBER(RU_Raw!AG80),AG77+(RU_Raw!AG80-AG77)/3,"")))</f>
        <v>139.9</v>
      </c>
      <c r="AH78" s="19">
        <f t="shared" si="3"/>
        <v>1619.6</v>
      </c>
    </row>
    <row r="79" spans="1:34">
      <c r="A79" s="6">
        <f>RU_Raw!A79</f>
        <v>2019</v>
      </c>
      <c r="B79" s="6">
        <f>RU_Raw!B79</f>
        <v>3</v>
      </c>
      <c r="C79" s="6" t="str">
        <f>RU_Raw!C79</f>
        <v>March</v>
      </c>
      <c r="D79" s="9">
        <f>RU_Raw!D79</f>
        <v>43525</v>
      </c>
      <c r="E79" s="6">
        <f>COUNTBLANK(RU_Raw!G79:AG79)</f>
        <v>0</v>
      </c>
      <c r="F79" s="6" t="str">
        <f t="shared" si="2"/>
        <v/>
      </c>
      <c r="G79" s="19">
        <f>IF(ISNUMBER(RU_Raw!G79),RU_Raw!G79,IF(ISNUMBER(RU_Raw!G80),(G78+RU_Raw!G80)/2,IF(ISNUMBER(RU_Raw!G81),G78+(RU_Raw!G81-G78)/3,"")))</f>
        <v>137.8</v>
      </c>
      <c r="H79" s="19">
        <f>IF(ISNUMBER(RU_Raw!H79),RU_Raw!H79,IF(ISNUMBER(RU_Raw!H80),(H78+RU_Raw!H80)/2,IF(ISNUMBER(RU_Raw!H81),H78+(RU_Raw!H81-H78)/3,"")))</f>
        <v>153</v>
      </c>
      <c r="I79" s="19">
        <f>IF(ISNUMBER(RU_Raw!I79),RU_Raw!I79,IF(ISNUMBER(RU_Raw!I80),(I78+RU_Raw!I80)/2,IF(ISNUMBER(RU_Raw!I81),I78+(RU_Raw!I81-I78)/3,"")))</f>
        <v>140.3</v>
      </c>
      <c r="J79" s="19">
        <f>IF(ISNUMBER(RU_Raw!J79),RU_Raw!J79,IF(ISNUMBER(RU_Raw!J80),(J78+RU_Raw!J80)/2,IF(ISNUMBER(RU_Raw!J81),J78+(RU_Raw!J81-J78)/3,"")))</f>
        <v>142.3</v>
      </c>
      <c r="K79" s="19">
        <f>IF(ISNUMBER(RU_Raw!K79),RU_Raw!K79,IF(ISNUMBER(RU_Raw!K80),(K78+RU_Raw!K80)/2,IF(ISNUMBER(RU_Raw!K81),K78+(RU_Raw!K81-K78)/3,"")))</f>
        <v>122</v>
      </c>
      <c r="L79" s="19">
        <f>IF(ISNUMBER(RU_Raw!L79),RU_Raw!L79,IF(ISNUMBER(RU_Raw!L80),(L78+RU_Raw!L80)/2,IF(ISNUMBER(RU_Raw!L81),L78+(RU_Raw!L81-L78)/3,"")))</f>
        <v>137.6</v>
      </c>
      <c r="M79" s="19">
        <f>IF(ISNUMBER(RU_Raw!M79),RU_Raw!M79,IF(ISNUMBER(RU_Raw!M80),(M78+RU_Raw!M80)/2,IF(ISNUMBER(RU_Raw!M81),M78+(RU_Raw!M81-M78)/3,"")))</f>
        <v>132.6</v>
      </c>
      <c r="N79" s="19">
        <f>IF(ISNUMBER(RU_Raw!N79),RU_Raw!N79,IF(ISNUMBER(RU_Raw!N80),(N78+RU_Raw!N80)/2,IF(ISNUMBER(RU_Raw!N81),N78+(RU_Raw!N81-N78)/3,"")))</f>
        <v>121.8</v>
      </c>
      <c r="O79" s="19">
        <f>IF(ISNUMBER(RU_Raw!O79),RU_Raw!O79,IF(ISNUMBER(RU_Raw!O80),(O78+RU_Raw!O80)/2,IF(ISNUMBER(RU_Raw!O81),O78+(RU_Raw!O81-O78)/3,"")))</f>
        <v>109</v>
      </c>
      <c r="P79" s="19">
        <f>IF(ISNUMBER(RU_Raw!P79),RU_Raw!P79,IF(ISNUMBER(RU_Raw!P80),(P78+RU_Raw!P80)/2,IF(ISNUMBER(RU_Raw!P81),P78+(RU_Raw!P81-P78)/3,"")))</f>
        <v>139.5</v>
      </c>
      <c r="Q79" s="19">
        <f>IF(ISNUMBER(RU_Raw!Q79),RU_Raw!Q79,IF(ISNUMBER(RU_Raw!Q80),(Q78+RU_Raw!Q80)/2,IF(ISNUMBER(RU_Raw!Q81),Q78+(RU_Raw!Q81-Q78)/3,"")))</f>
        <v>133.7</v>
      </c>
      <c r="R79" s="19">
        <f>IF(ISNUMBER(RU_Raw!R79),RU_Raw!R79,IF(ISNUMBER(RU_Raw!R80),(R78+RU_Raw!R80)/2,IF(ISNUMBER(RU_Raw!R81),R78+(RU_Raw!R81-R78)/3,"")))</f>
        <v>155.2</v>
      </c>
      <c r="S79" s="19">
        <f>IF(ISNUMBER(RU_Raw!S79),RU_Raw!S79,IF(ISNUMBER(RU_Raw!S80),(S78+RU_Raw!S80)/2,IF(ISNUMBER(RU_Raw!S81),S78+(RU_Raw!S81-S78)/3,"")))</f>
        <v>138.1</v>
      </c>
      <c r="T79" s="19">
        <f>IF(ISNUMBER(RU_Raw!T79),RU_Raw!T79,IF(ISNUMBER(RU_Raw!T80),(T78+RU_Raw!T80)/2,IF(ISNUMBER(RU_Raw!T81),T78+(RU_Raw!T81-T78)/3,"")))</f>
        <v>163.5</v>
      </c>
      <c r="U79" s="19">
        <f>IF(ISNUMBER(RU_Raw!U79),RU_Raw!U79,IF(ISNUMBER(RU_Raw!U80),(U78+RU_Raw!U80)/2,IF(ISNUMBER(RU_Raw!U81),U78+(RU_Raw!U81-U78)/3,"")))</f>
        <v>147.9</v>
      </c>
      <c r="V79" s="19">
        <f>IF(ISNUMBER(RU_Raw!V79),RU_Raw!V79,IF(ISNUMBER(RU_Raw!V80),(V78+RU_Raw!V80)/2,IF(ISNUMBER(RU_Raw!V81),V78+(RU_Raw!V81-V78)/3,"")))</f>
        <v>139.9</v>
      </c>
      <c r="W79" s="19">
        <f>IF(ISNUMBER(RU_Raw!W79),RU_Raw!W79,IF(ISNUMBER(RU_Raw!W80),(W78+RU_Raw!W80)/2,IF(ISNUMBER(RU_Raw!W81),W78+(RU_Raw!W81-W78)/3,"")))</f>
        <v>146.7</v>
      </c>
      <c r="X79" s="19">
        <f>IF(ISNUMBER(RU_Raw!X79),RU_Raw!X79,IF(ISNUMBER(RU_Raw!X80),(X78+RU_Raw!X80)/2,IF(ISNUMBER(RU_Raw!X81),X78+(RU_Raw!X81-X78)/3,"")))</f>
        <v>149</v>
      </c>
      <c r="Y79" s="19">
        <f>IF(ISNUMBER(RU_Raw!Y79),RU_Raw!Y79,IF(ISNUMBER(RU_Raw!Y80),(Y78+RU_Raw!Y80)/2,IF(ISNUMBER(RU_Raw!Y81),Y78+(RU_Raw!Y81-Y78)/3,"")))</f>
        <v>139.7</v>
      </c>
      <c r="Z79" s="19">
        <f>IF(ISNUMBER(RU_Raw!Z79),RU_Raw!Z79,IF(ISNUMBER(RU_Raw!Z80),(Z78+RU_Raw!Z80)/2,IF(ISNUMBER(RU_Raw!Z81),Z78+(RU_Raw!Z81-Z78)/3,"")))</f>
        <v>143.8</v>
      </c>
      <c r="AA79" s="19">
        <f>IF(ISNUMBER(RU_Raw!AA79),RU_Raw!AA79,IF(ISNUMBER(RU_Raw!AA80),(AA78+RU_Raw!AA80)/2,IF(ISNUMBER(RU_Raw!AA81),AA78+(RU_Raw!AA81-AA78)/3,"")))</f>
        <v>146.2</v>
      </c>
      <c r="AB79" s="19">
        <f>IF(ISNUMBER(RU_Raw!AB79),RU_Raw!AB79,IF(ISNUMBER(RU_Raw!AB80),(AB78+RU_Raw!AB80)/2,IF(ISNUMBER(RU_Raw!AB81),AB78+(RU_Raw!AB81-AB78)/3,"")))</f>
        <v>124.6</v>
      </c>
      <c r="AC79" s="19">
        <f>IF(ISNUMBER(RU_Raw!AC79),RU_Raw!AC79,IF(ISNUMBER(RU_Raw!AC80),(AC78+RU_Raw!AC80)/2,IF(ISNUMBER(RU_Raw!AC81),AC78+(RU_Raw!AC81-AC78)/3,"")))</f>
        <v>137.7</v>
      </c>
      <c r="AD79" s="19">
        <f>IF(ISNUMBER(RU_Raw!AD79),RU_Raw!AD79,IF(ISNUMBER(RU_Raw!AD80),(AD78+RU_Raw!AD80)/2,IF(ISNUMBER(RU_Raw!AD81),AD78+(RU_Raw!AD81-AD78)/3,"")))</f>
        <v>150.3</v>
      </c>
      <c r="AE79" s="19">
        <f>IF(ISNUMBER(RU_Raw!AE79),RU_Raw!AE79,IF(ISNUMBER(RU_Raw!AE80),(AE78+RU_Raw!AE80)/2,IF(ISNUMBER(RU_Raw!AE81),AE78+(RU_Raw!AE81-AE78)/3,"")))</f>
        <v>133.4</v>
      </c>
      <c r="AF79" s="19">
        <f>IF(ISNUMBER(RU_Raw!AF79),RU_Raw!AF79,IF(ISNUMBER(RU_Raw!AF80),(AF78+RU_Raw!AF80)/2,IF(ISNUMBER(RU_Raw!AF81),AF78+(RU_Raw!AF81-AF78)/3,"")))</f>
        <v>137.7</v>
      </c>
      <c r="AG79" s="19">
        <f>IF(ISNUMBER(RU_Raw!AG79),RU_Raw!AG79,IF(ISNUMBER(RU_Raw!AG80),(AG78+RU_Raw!AG80)/2,IF(ISNUMBER(RU_Raw!AG81),AG78+(RU_Raw!AG81-AG78)/3,"")))</f>
        <v>140.4</v>
      </c>
      <c r="AH79" s="19">
        <f t="shared" si="3"/>
        <v>1624.8</v>
      </c>
    </row>
    <row r="80" spans="1:34">
      <c r="A80" s="6">
        <f>RU_Raw!A80</f>
        <v>2019</v>
      </c>
      <c r="B80" s="6">
        <f>RU_Raw!B80</f>
        <v>4</v>
      </c>
      <c r="C80" s="6" t="str">
        <f>RU_Raw!C80</f>
        <v>April</v>
      </c>
      <c r="D80" s="9">
        <f>RU_Raw!D80</f>
        <v>43556</v>
      </c>
      <c r="E80" s="6">
        <f>COUNTBLANK(RU_Raw!G80:AG80)</f>
        <v>27</v>
      </c>
      <c r="F80" s="6" t="str">
        <f t="shared" si="2"/>
        <v>Imputed</v>
      </c>
      <c r="G80" s="19">
        <f>IF(ISNUMBER(RU_Raw!G80),RU_Raw!G80,IF(ISNUMBER(RU_Raw!G81),(G79+RU_Raw!G81)/2,IF(ISNUMBER(RU_Raw!G82),G79+(RU_Raw!G82-G79)/3,"")))</f>
        <v>138.05</v>
      </c>
      <c r="H80" s="19">
        <f>IF(ISNUMBER(RU_Raw!H80),RU_Raw!H80,IF(ISNUMBER(RU_Raw!H81),(H79+RU_Raw!H81)/2,IF(ISNUMBER(RU_Raw!H82),H79+(RU_Raw!H82-H79)/3,"")))</f>
        <v>155.75</v>
      </c>
      <c r="I80" s="19">
        <f>IF(ISNUMBER(RU_Raw!I80),RU_Raw!I80,IF(ISNUMBER(RU_Raw!I81),(I79+RU_Raw!I81)/2,IF(ISNUMBER(RU_Raw!I82),I79+(RU_Raw!I82-I79)/3,"")))</f>
        <v>138.15</v>
      </c>
      <c r="J80" s="19">
        <f>IF(ISNUMBER(RU_Raw!J80),RU_Raw!J80,IF(ISNUMBER(RU_Raw!J81),(J79+RU_Raw!J81)/2,IF(ISNUMBER(RU_Raw!J82),J79+(RU_Raw!J82-J79)/3,"")))</f>
        <v>142.4</v>
      </c>
      <c r="K80" s="19">
        <f>IF(ISNUMBER(RU_Raw!K80),RU_Raw!K80,IF(ISNUMBER(RU_Raw!K81),(K79+RU_Raw!K81)/2,IF(ISNUMBER(RU_Raw!K82),K79+(RU_Raw!K82-K79)/3,"")))</f>
        <v>122</v>
      </c>
      <c r="L80" s="19">
        <f>IF(ISNUMBER(RU_Raw!L80),RU_Raw!L80,IF(ISNUMBER(RU_Raw!L81),(L79+RU_Raw!L81)/2,IF(ISNUMBER(RU_Raw!L82),L79+(RU_Raw!L82-L79)/3,"")))</f>
        <v>142.05</v>
      </c>
      <c r="M80" s="19">
        <f>IF(ISNUMBER(RU_Raw!M80),RU_Raw!M80,IF(ISNUMBER(RU_Raw!M81),(M79+RU_Raw!M81)/2,IF(ISNUMBER(RU_Raw!M82),M79+(RU_Raw!M82-M79)/3,"")))</f>
        <v>137.8</v>
      </c>
      <c r="N80" s="19">
        <f>IF(ISNUMBER(RU_Raw!N80),RU_Raw!N80,IF(ISNUMBER(RU_Raw!N81),(N79+RU_Raw!N81)/2,IF(ISNUMBER(RU_Raw!N82),N79+(RU_Raw!N82-N79)/3,"")))</f>
        <v>123.35</v>
      </c>
      <c r="O80" s="19">
        <f>IF(ISNUMBER(RU_Raw!O80),RU_Raw!O80,IF(ISNUMBER(RU_Raw!O81),(O79+RU_Raw!O81)/2,IF(ISNUMBER(RU_Raw!O82),O79+(RU_Raw!O82-O79)/3,"")))</f>
        <v>109.45</v>
      </c>
      <c r="P80" s="19">
        <f>IF(ISNUMBER(RU_Raw!P80),RU_Raw!P80,IF(ISNUMBER(RU_Raw!P81),(P79+RU_Raw!P81)/2,IF(ISNUMBER(RU_Raw!P82),P79+(RU_Raw!P82-P79)/3,"")))</f>
        <v>139.7</v>
      </c>
      <c r="Q80" s="19">
        <f>IF(ISNUMBER(RU_Raw!Q80),RU_Raw!Q80,IF(ISNUMBER(RU_Raw!Q81),(Q79+RU_Raw!Q81)/2,IF(ISNUMBER(RU_Raw!Q82),Q79+(RU_Raw!Q82-Q79)/3,"")))</f>
        <v>133.85</v>
      </c>
      <c r="R80" s="19">
        <f>IF(ISNUMBER(RU_Raw!R80),RU_Raw!R80,IF(ISNUMBER(RU_Raw!R81),(R79+RU_Raw!R81)/2,IF(ISNUMBER(RU_Raw!R82),R79+(RU_Raw!R82-R79)/3,"")))</f>
        <v>155.35</v>
      </c>
      <c r="S80" s="19">
        <f>IF(ISNUMBER(RU_Raw!S80),RU_Raw!S80,IF(ISNUMBER(RU_Raw!S81),(S79+RU_Raw!S81)/2,IF(ISNUMBER(RU_Raw!S82),S79+(RU_Raw!S82-S79)/3,"")))</f>
        <v>139.5</v>
      </c>
      <c r="T80" s="19">
        <f>IF(ISNUMBER(RU_Raw!T80),RU_Raw!T80,IF(ISNUMBER(RU_Raw!T81),(T79+RU_Raw!T81)/2,IF(ISNUMBER(RU_Raw!T82),T79+(RU_Raw!T82-T79)/3,"")))</f>
        <v>163.8</v>
      </c>
      <c r="U80" s="19">
        <f>IF(ISNUMBER(RU_Raw!U80),RU_Raw!U80,IF(ISNUMBER(RU_Raw!U81),(U79+RU_Raw!U81)/2,IF(ISNUMBER(RU_Raw!U82),U79+(RU_Raw!U82-U79)/3,"")))</f>
        <v>148.15</v>
      </c>
      <c r="V80" s="19">
        <f>IF(ISNUMBER(RU_Raw!V80),RU_Raw!V80,IF(ISNUMBER(RU_Raw!V81),(V79+RU_Raw!V81)/2,IF(ISNUMBER(RU_Raw!V82),V79+(RU_Raw!V82-V79)/3,"")))</f>
        <v>140.15</v>
      </c>
      <c r="W80" s="19">
        <f>IF(ISNUMBER(RU_Raw!W80),RU_Raw!W80,IF(ISNUMBER(RU_Raw!W81),(W79+RU_Raw!W81)/2,IF(ISNUMBER(RU_Raw!W82),W79+(RU_Raw!W82-W79)/3,"")))</f>
        <v>147</v>
      </c>
      <c r="X80" s="19">
        <f>IF(ISNUMBER(RU_Raw!X80),RU_Raw!X80,IF(ISNUMBER(RU_Raw!X81),(X79+RU_Raw!X81)/2,IF(ISNUMBER(RU_Raw!X82),X79+(RU_Raw!X82-X79)/3,"")))</f>
        <v>149.55</v>
      </c>
      <c r="Y80" s="19">
        <f>IF(ISNUMBER(RU_Raw!Y80),RU_Raw!Y80,IF(ISNUMBER(RU_Raw!Y81),(Y79+RU_Raw!Y81)/2,IF(ISNUMBER(RU_Raw!Y82),Y79+(RU_Raw!Y82-Y79)/3,"")))</f>
        <v>140</v>
      </c>
      <c r="Z80" s="19">
        <f>IF(ISNUMBER(RU_Raw!Z80),RU_Raw!Z80,IF(ISNUMBER(RU_Raw!Z81),(Z79+RU_Raw!Z81)/2,IF(ISNUMBER(RU_Raw!Z82),Z79+(RU_Raw!Z82-Z79)/3,"")))</f>
        <v>143.75</v>
      </c>
      <c r="AA80" s="19">
        <f>IF(ISNUMBER(RU_Raw!AA80),RU_Raw!AA80,IF(ISNUMBER(RU_Raw!AA81),(AA79+RU_Raw!AA81)/2,IF(ISNUMBER(RU_Raw!AA82),AA79+(RU_Raw!AA82-AA79)/3,"")))</f>
        <v>146.55</v>
      </c>
      <c r="AB80" s="19">
        <f>IF(ISNUMBER(RU_Raw!AB80),RU_Raw!AB80,IF(ISNUMBER(RU_Raw!AB81),(AB79+RU_Raw!AB81)/2,IF(ISNUMBER(RU_Raw!AB82),AB79+(RU_Raw!AB82-AB79)/3,"")))</f>
        <v>124.75</v>
      </c>
      <c r="AC80" s="19">
        <f>IF(ISNUMBER(RU_Raw!AC80),RU_Raw!AC80,IF(ISNUMBER(RU_Raw!AC81),(AC79+RU_Raw!AC81)/2,IF(ISNUMBER(RU_Raw!AC82),AC79+(RU_Raw!AC82-AC79)/3,"")))</f>
        <v>138.45</v>
      </c>
      <c r="AD80" s="19">
        <f>IF(ISNUMBER(RU_Raw!AD80),RU_Raw!AD80,IF(ISNUMBER(RU_Raw!AD81),(AD79+RU_Raw!AD81)/2,IF(ISNUMBER(RU_Raw!AD82),AD79+(RU_Raw!AD82-AD79)/3,"")))</f>
        <v>150.95</v>
      </c>
      <c r="AE80" s="19">
        <f>IF(ISNUMBER(RU_Raw!AE80),RU_Raw!AE80,IF(ISNUMBER(RU_Raw!AE81),(AE79+RU_Raw!AE81)/2,IF(ISNUMBER(RU_Raw!AE82),AE79+(RU_Raw!AE82-AE79)/3,"")))</f>
        <v>133.4</v>
      </c>
      <c r="AF80" s="19">
        <f>IF(ISNUMBER(RU_Raw!AF80),RU_Raw!AF80,IF(ISNUMBER(RU_Raw!AF81),(AF79+RU_Raw!AF81)/2,IF(ISNUMBER(RU_Raw!AF82),AF79+(RU_Raw!AF82-AF79)/3,"")))</f>
        <v>137.95</v>
      </c>
      <c r="AG80" s="19">
        <f>IF(ISNUMBER(RU_Raw!AG80),RU_Raw!AG80,IF(ISNUMBER(RU_Raw!AG81),(AG79+RU_Raw!AG81)/2,IF(ISNUMBER(RU_Raw!AG82),AG79+(RU_Raw!AG82-AG79)/3,"")))</f>
        <v>141.2</v>
      </c>
      <c r="AH80" s="19">
        <f t="shared" si="3"/>
        <v>1637.9</v>
      </c>
    </row>
    <row r="81" spans="1:34">
      <c r="A81" s="6">
        <f>RU_Raw!A81</f>
        <v>2019</v>
      </c>
      <c r="B81" s="6">
        <f>RU_Raw!B81</f>
        <v>5</v>
      </c>
      <c r="C81" s="6" t="str">
        <f>RU_Raw!C81</f>
        <v>May</v>
      </c>
      <c r="D81" s="9">
        <f>RU_Raw!D81</f>
        <v>43586</v>
      </c>
      <c r="E81" s="6">
        <f>COUNTBLANK(RU_Raw!G81:AG81)</f>
        <v>0</v>
      </c>
      <c r="F81" s="6" t="str">
        <f t="shared" si="2"/>
        <v/>
      </c>
      <c r="G81" s="19">
        <f>IF(ISNUMBER(RU_Raw!G81),RU_Raw!G81,IF(ISNUMBER(RU_Raw!G82),(G80+RU_Raw!G82)/2,IF(ISNUMBER(RU_Raw!G83),G80+(RU_Raw!G83-G80)/3,"")))</f>
        <v>138.3</v>
      </c>
      <c r="H81" s="19">
        <f>IF(ISNUMBER(RU_Raw!H81),RU_Raw!H81,IF(ISNUMBER(RU_Raw!H82),(H80+RU_Raw!H82)/2,IF(ISNUMBER(RU_Raw!H83),H80+(RU_Raw!H83-H80)/3,"")))</f>
        <v>158.5</v>
      </c>
      <c r="I81" s="19">
        <f>IF(ISNUMBER(RU_Raw!I81),RU_Raw!I81,IF(ISNUMBER(RU_Raw!I82),(I80+RU_Raw!I82)/2,IF(ISNUMBER(RU_Raw!I83),I80+(RU_Raw!I83-I80)/3,"")))</f>
        <v>136</v>
      </c>
      <c r="J81" s="19">
        <f>IF(ISNUMBER(RU_Raw!J81),RU_Raw!J81,IF(ISNUMBER(RU_Raw!J82),(J80+RU_Raw!J82)/2,IF(ISNUMBER(RU_Raw!J83),J80+(RU_Raw!J83-J80)/3,"")))</f>
        <v>142.5</v>
      </c>
      <c r="K81" s="19">
        <f>IF(ISNUMBER(RU_Raw!K81),RU_Raw!K81,IF(ISNUMBER(RU_Raw!K82),(K80+RU_Raw!K82)/2,IF(ISNUMBER(RU_Raw!K83),K80+(RU_Raw!K83-K80)/3,"")))</f>
        <v>122</v>
      </c>
      <c r="L81" s="19">
        <f>IF(ISNUMBER(RU_Raw!L81),RU_Raw!L81,IF(ISNUMBER(RU_Raw!L82),(L80+RU_Raw!L82)/2,IF(ISNUMBER(RU_Raw!L83),L80+(RU_Raw!L83-L80)/3,"")))</f>
        <v>146.5</v>
      </c>
      <c r="M81" s="19">
        <f>IF(ISNUMBER(RU_Raw!M81),RU_Raw!M81,IF(ISNUMBER(RU_Raw!M82),(M80+RU_Raw!M82)/2,IF(ISNUMBER(RU_Raw!M83),M80+(RU_Raw!M83-M80)/3,"")))</f>
        <v>143</v>
      </c>
      <c r="N81" s="19">
        <f>IF(ISNUMBER(RU_Raw!N81),RU_Raw!N81,IF(ISNUMBER(RU_Raw!N82),(N80+RU_Raw!N82)/2,IF(ISNUMBER(RU_Raw!N83),N80+(RU_Raw!N83-N80)/3,"")))</f>
        <v>124.9</v>
      </c>
      <c r="O81" s="19">
        <f>IF(ISNUMBER(RU_Raw!O81),RU_Raw!O81,IF(ISNUMBER(RU_Raw!O82),(O80+RU_Raw!O82)/2,IF(ISNUMBER(RU_Raw!O83),O80+(RU_Raw!O83-O80)/3,"")))</f>
        <v>109.9</v>
      </c>
      <c r="P81" s="19">
        <f>IF(ISNUMBER(RU_Raw!P81),RU_Raw!P81,IF(ISNUMBER(RU_Raw!P82),(P80+RU_Raw!P82)/2,IF(ISNUMBER(RU_Raw!P83),P80+(RU_Raw!P83-P80)/3,"")))</f>
        <v>139.9</v>
      </c>
      <c r="Q81" s="19">
        <f>IF(ISNUMBER(RU_Raw!Q81),RU_Raw!Q81,IF(ISNUMBER(RU_Raw!Q82),(Q80+RU_Raw!Q82)/2,IF(ISNUMBER(RU_Raw!Q83),Q80+(RU_Raw!Q83-Q80)/3,"")))</f>
        <v>134</v>
      </c>
      <c r="R81" s="19">
        <f>IF(ISNUMBER(RU_Raw!R81),RU_Raw!R81,IF(ISNUMBER(RU_Raw!R82),(R80+RU_Raw!R82)/2,IF(ISNUMBER(RU_Raw!R83),R80+(RU_Raw!R83-R80)/3,"")))</f>
        <v>155.5</v>
      </c>
      <c r="S81" s="19">
        <f>IF(ISNUMBER(RU_Raw!S81),RU_Raw!S81,IF(ISNUMBER(RU_Raw!S82),(S80+RU_Raw!S82)/2,IF(ISNUMBER(RU_Raw!S83),S80+(RU_Raw!S83-S80)/3,"")))</f>
        <v>140.9</v>
      </c>
      <c r="T81" s="19">
        <f>IF(ISNUMBER(RU_Raw!T81),RU_Raw!T81,IF(ISNUMBER(RU_Raw!T82),(T80+RU_Raw!T82)/2,IF(ISNUMBER(RU_Raw!T83),T80+(RU_Raw!T83-T80)/3,"")))</f>
        <v>164.1</v>
      </c>
      <c r="U81" s="19">
        <f>IF(ISNUMBER(RU_Raw!U81),RU_Raw!U81,IF(ISNUMBER(RU_Raw!U82),(U80+RU_Raw!U82)/2,IF(ISNUMBER(RU_Raw!U83),U80+(RU_Raw!U83-U80)/3,"")))</f>
        <v>148.4</v>
      </c>
      <c r="V81" s="19">
        <f>IF(ISNUMBER(RU_Raw!V81),RU_Raw!V81,IF(ISNUMBER(RU_Raw!V82),(V80+RU_Raw!V82)/2,IF(ISNUMBER(RU_Raw!V83),V80+(RU_Raw!V83-V80)/3,"")))</f>
        <v>140.4</v>
      </c>
      <c r="W81" s="19">
        <f>IF(ISNUMBER(RU_Raw!W81),RU_Raw!W81,IF(ISNUMBER(RU_Raw!W82),(W80+RU_Raw!W82)/2,IF(ISNUMBER(RU_Raw!W83),W80+(RU_Raw!W83-W80)/3,"")))</f>
        <v>147.3</v>
      </c>
      <c r="X81" s="19">
        <f>IF(ISNUMBER(RU_Raw!X81),RU_Raw!X81,IF(ISNUMBER(RU_Raw!X82),(X80+RU_Raw!X82)/2,IF(ISNUMBER(RU_Raw!X83),X80+(RU_Raw!X83-X80)/3,"")))</f>
        <v>150.1</v>
      </c>
      <c r="Y81" s="19">
        <f>IF(ISNUMBER(RU_Raw!Y81),RU_Raw!Y81,IF(ISNUMBER(RU_Raw!Y82),(Y80+RU_Raw!Y82)/2,IF(ISNUMBER(RU_Raw!Y83),Y80+(RU_Raw!Y83-Y80)/3,"")))</f>
        <v>140.3</v>
      </c>
      <c r="Z81" s="19">
        <f>IF(ISNUMBER(RU_Raw!Z81),RU_Raw!Z81,IF(ISNUMBER(RU_Raw!Z82),(Z80+RU_Raw!Z82)/2,IF(ISNUMBER(RU_Raw!Z83),Z80+(RU_Raw!Z83-Z80)/3,"")))</f>
        <v>143.7</v>
      </c>
      <c r="AA81" s="19">
        <f>IF(ISNUMBER(RU_Raw!AA81),RU_Raw!AA81,IF(ISNUMBER(RU_Raw!AA82),(AA80+RU_Raw!AA82)/2,IF(ISNUMBER(RU_Raw!AA83),AA80+(RU_Raw!AA83-AA80)/3,"")))</f>
        <v>146.9</v>
      </c>
      <c r="AB81" s="19">
        <f>IF(ISNUMBER(RU_Raw!AB81),RU_Raw!AB81,IF(ISNUMBER(RU_Raw!AB82),(AB80+RU_Raw!AB82)/2,IF(ISNUMBER(RU_Raw!AB83),AB80+(RU_Raw!AB83-AB80)/3,"")))</f>
        <v>124.9</v>
      </c>
      <c r="AC81" s="19">
        <f>IF(ISNUMBER(RU_Raw!AC81),RU_Raw!AC81,IF(ISNUMBER(RU_Raw!AC82),(AC80+RU_Raw!AC82)/2,IF(ISNUMBER(RU_Raw!AC83),AC80+(RU_Raw!AC83-AC80)/3,"")))</f>
        <v>139.2</v>
      </c>
      <c r="AD81" s="19">
        <f>IF(ISNUMBER(RU_Raw!AD81),RU_Raw!AD81,IF(ISNUMBER(RU_Raw!AD82),(AD80+RU_Raw!AD82)/2,IF(ISNUMBER(RU_Raw!AD83),AD80+(RU_Raw!AD83-AD80)/3,"")))</f>
        <v>151.6</v>
      </c>
      <c r="AE81" s="19">
        <f>IF(ISNUMBER(RU_Raw!AE81),RU_Raw!AE81,IF(ISNUMBER(RU_Raw!AE82),(AE80+RU_Raw!AE82)/2,IF(ISNUMBER(RU_Raw!AE83),AE80+(RU_Raw!AE83-AE80)/3,"")))</f>
        <v>133.4</v>
      </c>
      <c r="AF81" s="19">
        <f>IF(ISNUMBER(RU_Raw!AF81),RU_Raw!AF81,IF(ISNUMBER(RU_Raw!AF82),(AF80+RU_Raw!AF82)/2,IF(ISNUMBER(RU_Raw!AF83),AF80+(RU_Raw!AF83-AF80)/3,"")))</f>
        <v>138.2</v>
      </c>
      <c r="AG81" s="19">
        <f>IF(ISNUMBER(RU_Raw!AG81),RU_Raw!AG81,IF(ISNUMBER(RU_Raw!AG82),(AG80+RU_Raw!AG82)/2,IF(ISNUMBER(RU_Raw!AG83),AG80+(RU_Raw!AG83-AG80)/3,"")))</f>
        <v>142</v>
      </c>
      <c r="AH81" s="19">
        <f t="shared" si="3"/>
        <v>1651</v>
      </c>
    </row>
    <row r="82" spans="1:34">
      <c r="A82" s="6">
        <f>RU_Raw!A82</f>
        <v>2019</v>
      </c>
      <c r="B82" s="6">
        <f>RU_Raw!B82</f>
        <v>6</v>
      </c>
      <c r="C82" s="6" t="str">
        <f>RU_Raw!C82</f>
        <v>June</v>
      </c>
      <c r="D82" s="9">
        <f>RU_Raw!D82</f>
        <v>43617</v>
      </c>
      <c r="E82" s="6">
        <f>COUNTBLANK(RU_Raw!G82:AG82)</f>
        <v>0</v>
      </c>
      <c r="F82" s="6" t="str">
        <f t="shared" si="2"/>
        <v/>
      </c>
      <c r="G82" s="19">
        <f>IF(ISNUMBER(RU_Raw!G82),RU_Raw!G82,IF(ISNUMBER(RU_Raw!G83),(G81+RU_Raw!G83)/2,IF(ISNUMBER(RU_Raw!G84),G81+(RU_Raw!G84-G81)/3,"")))</f>
        <v>138.7</v>
      </c>
      <c r="H82" s="19">
        <f>IF(ISNUMBER(RU_Raw!H82),RU_Raw!H82,IF(ISNUMBER(RU_Raw!H83),(H81+RU_Raw!H83)/2,IF(ISNUMBER(RU_Raw!H84),H81+(RU_Raw!H84-H81)/3,"")))</f>
        <v>162.1</v>
      </c>
      <c r="I82" s="19">
        <f>IF(ISNUMBER(RU_Raw!I82),RU_Raw!I82,IF(ISNUMBER(RU_Raw!I83),(I81+RU_Raw!I83)/2,IF(ISNUMBER(RU_Raw!I84),I81+(RU_Raw!I84-I81)/3,"")))</f>
        <v>137.8</v>
      </c>
      <c r="J82" s="19">
        <f>IF(ISNUMBER(RU_Raw!J82),RU_Raw!J82,IF(ISNUMBER(RU_Raw!J83),(J81+RU_Raw!J83)/2,IF(ISNUMBER(RU_Raw!J84),J81+(RU_Raw!J84-J81)/3,"")))</f>
        <v>143.3</v>
      </c>
      <c r="K82" s="19">
        <f>IF(ISNUMBER(RU_Raw!K82),RU_Raw!K82,IF(ISNUMBER(RU_Raw!K83),(K81+RU_Raw!K83)/2,IF(ISNUMBER(RU_Raw!K84),K81+(RU_Raw!K84-K81)/3,"")))</f>
        <v>122.2</v>
      </c>
      <c r="L82" s="19">
        <f>IF(ISNUMBER(RU_Raw!L82),RU_Raw!L82,IF(ISNUMBER(RU_Raw!L83),(L81+RU_Raw!L83)/2,IF(ISNUMBER(RU_Raw!L84),L81+(RU_Raw!L84-L81)/3,"")))</f>
        <v>146.8</v>
      </c>
      <c r="M82" s="19">
        <f>IF(ISNUMBER(RU_Raw!M82),RU_Raw!M82,IF(ISNUMBER(RU_Raw!M83),(M81+RU_Raw!M83)/2,IF(ISNUMBER(RU_Raw!M84),M81+(RU_Raw!M84-M81)/3,"")))</f>
        <v>150.5</v>
      </c>
      <c r="N82" s="19">
        <f>IF(ISNUMBER(RU_Raw!N82),RU_Raw!N82,IF(ISNUMBER(RU_Raw!N83),(N81+RU_Raw!N83)/2,IF(ISNUMBER(RU_Raw!N84),N81+(RU_Raw!N84-N81)/3,"")))</f>
        <v>128.3</v>
      </c>
      <c r="O82" s="19">
        <f>IF(ISNUMBER(RU_Raw!O82),RU_Raw!O82,IF(ISNUMBER(RU_Raw!O83),(O81+RU_Raw!O83)/2,IF(ISNUMBER(RU_Raw!O84),O81+(RU_Raw!O84-O81)/3,"")))</f>
        <v>111</v>
      </c>
      <c r="P82" s="19">
        <f>IF(ISNUMBER(RU_Raw!P82),RU_Raw!P82,IF(ISNUMBER(RU_Raw!P83),(P81+RU_Raw!P83)/2,IF(ISNUMBER(RU_Raw!P84),P81+(RU_Raw!P84-P81)/3,"")))</f>
        <v>140.6</v>
      </c>
      <c r="Q82" s="19">
        <f>IF(ISNUMBER(RU_Raw!Q82),RU_Raw!Q82,IF(ISNUMBER(RU_Raw!Q83),(Q81+RU_Raw!Q83)/2,IF(ISNUMBER(RU_Raw!Q84),Q81+(RU_Raw!Q84-Q81)/3,"")))</f>
        <v>134.2</v>
      </c>
      <c r="R82" s="19">
        <f>IF(ISNUMBER(RU_Raw!R82),RU_Raw!R82,IF(ISNUMBER(RU_Raw!R83),(R81+RU_Raw!R83)/2,IF(ISNUMBER(RU_Raw!R84),R81+(RU_Raw!R84-R81)/3,"")))</f>
        <v>155.9</v>
      </c>
      <c r="S82" s="19">
        <f>IF(ISNUMBER(RU_Raw!S82),RU_Raw!S82,IF(ISNUMBER(RU_Raw!S83),(S81+RU_Raw!S83)/2,IF(ISNUMBER(RU_Raw!S84),S81+(RU_Raw!S84-S81)/3,"")))</f>
        <v>142.7</v>
      </c>
      <c r="T82" s="19">
        <f>IF(ISNUMBER(RU_Raw!T82),RU_Raw!T82,IF(ISNUMBER(RU_Raw!T83),(T81+RU_Raw!T83)/2,IF(ISNUMBER(RU_Raw!T84),T81+(RU_Raw!T84-T81)/3,"")))</f>
        <v>164.9</v>
      </c>
      <c r="U82" s="19">
        <f>IF(ISNUMBER(RU_Raw!U82),RU_Raw!U82,IF(ISNUMBER(RU_Raw!U83),(U81+RU_Raw!U83)/2,IF(ISNUMBER(RU_Raw!U84),U81+(RU_Raw!U84-U81)/3,"")))</f>
        <v>148.6</v>
      </c>
      <c r="V82" s="19">
        <f>IF(ISNUMBER(RU_Raw!V82),RU_Raw!V82,IF(ISNUMBER(RU_Raw!V83),(V81+RU_Raw!V83)/2,IF(ISNUMBER(RU_Raw!V84),V81+(RU_Raw!V84-V81)/3,"")))</f>
        <v>140.4</v>
      </c>
      <c r="W82" s="19">
        <f>IF(ISNUMBER(RU_Raw!W82),RU_Raw!W82,IF(ISNUMBER(RU_Raw!W83),(W81+RU_Raw!W83)/2,IF(ISNUMBER(RU_Raw!W84),W81+(RU_Raw!W84-W81)/3,"")))</f>
        <v>147.4</v>
      </c>
      <c r="X82" s="19">
        <f>IF(ISNUMBER(RU_Raw!X82),RU_Raw!X82,IF(ISNUMBER(RU_Raw!X83),(X81+RU_Raw!X83)/2,IF(ISNUMBER(RU_Raw!X84),X81+(RU_Raw!X84-X81)/3,"")))</f>
        <v>149.4</v>
      </c>
      <c r="Y82" s="19">
        <f>IF(ISNUMBER(RU_Raw!Y82),RU_Raw!Y82,IF(ISNUMBER(RU_Raw!Y83),(Y81+RU_Raw!Y83)/2,IF(ISNUMBER(RU_Raw!Y84),Y81+(RU_Raw!Y84-Y81)/3,"")))</f>
        <v>141.2</v>
      </c>
      <c r="Z82" s="19">
        <f>IF(ISNUMBER(RU_Raw!Z82),RU_Raw!Z82,IF(ISNUMBER(RU_Raw!Z83),(Z81+RU_Raw!Z83)/2,IF(ISNUMBER(RU_Raw!Z84),Z81+(RU_Raw!Z84-Z81)/3,"")))</f>
        <v>143.8</v>
      </c>
      <c r="AA82" s="19">
        <f>IF(ISNUMBER(RU_Raw!AA82),RU_Raw!AA82,IF(ISNUMBER(RU_Raw!AA83),(AA81+RU_Raw!AA83)/2,IF(ISNUMBER(RU_Raw!AA84),AA81+(RU_Raw!AA84-AA81)/3,"")))</f>
        <v>147.4</v>
      </c>
      <c r="AB82" s="19">
        <f>IF(ISNUMBER(RU_Raw!AB82),RU_Raw!AB82,IF(ISNUMBER(RU_Raw!AB83),(AB81+RU_Raw!AB83)/2,IF(ISNUMBER(RU_Raw!AB84),AB81+(RU_Raw!AB84-AB81)/3,"")))</f>
        <v>124.6</v>
      </c>
      <c r="AC82" s="19">
        <f>IF(ISNUMBER(RU_Raw!AC82),RU_Raw!AC82,IF(ISNUMBER(RU_Raw!AC83),(AC81+RU_Raw!AC83)/2,IF(ISNUMBER(RU_Raw!AC84),AC81+(RU_Raw!AC84-AC81)/3,"")))</f>
        <v>139.6</v>
      </c>
      <c r="AD82" s="19">
        <f>IF(ISNUMBER(RU_Raw!AD82),RU_Raw!AD82,IF(ISNUMBER(RU_Raw!AD83),(AD81+RU_Raw!AD83)/2,IF(ISNUMBER(RU_Raw!AD84),AD81+(RU_Raw!AD84-AD81)/3,"")))</f>
        <v>152.5</v>
      </c>
      <c r="AE82" s="19">
        <f>IF(ISNUMBER(RU_Raw!AE82),RU_Raw!AE82,IF(ISNUMBER(RU_Raw!AE83),(AE81+RU_Raw!AE83)/2,IF(ISNUMBER(RU_Raw!AE84),AE81+(RU_Raw!AE84-AE81)/3,"")))</f>
        <v>134.3</v>
      </c>
      <c r="AF82" s="19">
        <f>IF(ISNUMBER(RU_Raw!AF82),RU_Raw!AF82,IF(ISNUMBER(RU_Raw!AF83),(AF81+RU_Raw!AF83)/2,IF(ISNUMBER(RU_Raw!AF84),AF81+(RU_Raw!AF84-AF81)/3,"")))</f>
        <v>138.6</v>
      </c>
      <c r="AG82" s="19">
        <f>IF(ISNUMBER(RU_Raw!AG82),RU_Raw!AG82,IF(ISNUMBER(RU_Raw!AG83),(AG81+RU_Raw!AG83)/2,IF(ISNUMBER(RU_Raw!AG84),AG81+(RU_Raw!AG84-AG81)/3,"")))</f>
        <v>142.9</v>
      </c>
      <c r="AH82" s="19">
        <f t="shared" si="3"/>
        <v>1671.4</v>
      </c>
    </row>
    <row r="83" spans="1:34">
      <c r="A83" s="6">
        <f>RU_Raw!A83</f>
        <v>2019</v>
      </c>
      <c r="B83" s="6">
        <f>RU_Raw!B83</f>
        <v>7</v>
      </c>
      <c r="C83" s="6" t="str">
        <f>RU_Raw!C83</f>
        <v>July</v>
      </c>
      <c r="D83" s="9">
        <f>RU_Raw!D83</f>
        <v>43647</v>
      </c>
      <c r="E83" s="6">
        <f>COUNTBLANK(RU_Raw!G83:AG83)</f>
        <v>0</v>
      </c>
      <c r="F83" s="6" t="str">
        <f t="shared" si="2"/>
        <v/>
      </c>
      <c r="G83" s="19">
        <f>IF(ISNUMBER(RU_Raw!G83),RU_Raw!G83,IF(ISNUMBER(RU_Raw!G84),(G82+RU_Raw!G84)/2,IF(ISNUMBER(RU_Raw!G85),G82+(RU_Raw!G85-G82)/3,"")))</f>
        <v>139.3</v>
      </c>
      <c r="H83" s="19">
        <f>IF(ISNUMBER(RU_Raw!H83),RU_Raw!H83,IF(ISNUMBER(RU_Raw!H84),(H82+RU_Raw!H84)/2,IF(ISNUMBER(RU_Raw!H85),H82+(RU_Raw!H85-H82)/3,"")))</f>
        <v>162.7</v>
      </c>
      <c r="I83" s="19">
        <f>IF(ISNUMBER(RU_Raw!I83),RU_Raw!I83,IF(ISNUMBER(RU_Raw!I84),(I82+RU_Raw!I84)/2,IF(ISNUMBER(RU_Raw!I85),I82+(RU_Raw!I85-I82)/3,"")))</f>
        <v>140</v>
      </c>
      <c r="J83" s="19">
        <f>IF(ISNUMBER(RU_Raw!J83),RU_Raw!J83,IF(ISNUMBER(RU_Raw!J84),(J82+RU_Raw!J84)/2,IF(ISNUMBER(RU_Raw!J85),J82+(RU_Raw!J85-J82)/3,"")))</f>
        <v>144</v>
      </c>
      <c r="K83" s="19">
        <f>IF(ISNUMBER(RU_Raw!K83),RU_Raw!K83,IF(ISNUMBER(RU_Raw!K84),(K82+RU_Raw!K84)/2,IF(ISNUMBER(RU_Raw!K85),K82+(RU_Raw!K85-K82)/3,"")))</f>
        <v>122.5</v>
      </c>
      <c r="L83" s="19">
        <f>IF(ISNUMBER(RU_Raw!L83),RU_Raw!L83,IF(ISNUMBER(RU_Raw!L84),(L82+RU_Raw!L84)/2,IF(ISNUMBER(RU_Raw!L85),L82+(RU_Raw!L85-L82)/3,"")))</f>
        <v>150.3</v>
      </c>
      <c r="M83" s="19">
        <f>IF(ISNUMBER(RU_Raw!M83),RU_Raw!M83,IF(ISNUMBER(RU_Raw!M84),(M82+RU_Raw!M84)/2,IF(ISNUMBER(RU_Raw!M85),M82+(RU_Raw!M85-M82)/3,"")))</f>
        <v>160.3</v>
      </c>
      <c r="N83" s="19">
        <f>IF(ISNUMBER(RU_Raw!N83),RU_Raw!N83,IF(ISNUMBER(RU_Raw!N84),(N82+RU_Raw!N84)/2,IF(ISNUMBER(RU_Raw!N85),N82+(RU_Raw!N85-N82)/3,"")))</f>
        <v>130</v>
      </c>
      <c r="O83" s="19">
        <f>IF(ISNUMBER(RU_Raw!O83),RU_Raw!O83,IF(ISNUMBER(RU_Raw!O84),(O82+RU_Raw!O84)/2,IF(ISNUMBER(RU_Raw!O85),O82+(RU_Raw!O85-O82)/3,"")))</f>
        <v>111.1</v>
      </c>
      <c r="P83" s="19">
        <f>IF(ISNUMBER(RU_Raw!P83),RU_Raw!P83,IF(ISNUMBER(RU_Raw!P84),(P82+RU_Raw!P84)/2,IF(ISNUMBER(RU_Raw!P85),P82+(RU_Raw!P85-P82)/3,"")))</f>
        <v>141.7</v>
      </c>
      <c r="Q83" s="19">
        <f>IF(ISNUMBER(RU_Raw!Q83),RU_Raw!Q83,IF(ISNUMBER(RU_Raw!Q84),(Q82+RU_Raw!Q84)/2,IF(ISNUMBER(RU_Raw!Q85),Q82+(RU_Raw!Q85-Q82)/3,"")))</f>
        <v>134.7</v>
      </c>
      <c r="R83" s="19">
        <f>IF(ISNUMBER(RU_Raw!R83),RU_Raw!R83,IF(ISNUMBER(RU_Raw!R84),(R82+RU_Raw!R84)/2,IF(ISNUMBER(RU_Raw!R85),R82+(RU_Raw!R85-R82)/3,"")))</f>
        <v>156.2</v>
      </c>
      <c r="S83" s="19">
        <f>IF(ISNUMBER(RU_Raw!S83),RU_Raw!S83,IF(ISNUMBER(RU_Raw!S84),(S82+RU_Raw!S84)/2,IF(ISNUMBER(RU_Raw!S85),S82+(RU_Raw!S85-S82)/3,"")))</f>
        <v>144.7</v>
      </c>
      <c r="T83" s="19">
        <f>IF(ISNUMBER(RU_Raw!T83),RU_Raw!T83,IF(ISNUMBER(RU_Raw!T84),(T82+RU_Raw!T84)/2,IF(ISNUMBER(RU_Raw!T85),T82+(RU_Raw!T85-T82)/3,"")))</f>
        <v>165.2</v>
      </c>
      <c r="U83" s="19">
        <f>IF(ISNUMBER(RU_Raw!U83),RU_Raw!U83,IF(ISNUMBER(RU_Raw!U84),(U82+RU_Raw!U84)/2,IF(ISNUMBER(RU_Raw!U85),U82+(RU_Raw!U85-U82)/3,"")))</f>
        <v>148.9</v>
      </c>
      <c r="V83" s="19">
        <f>IF(ISNUMBER(RU_Raw!V83),RU_Raw!V83,IF(ISNUMBER(RU_Raw!V84),(V82+RU_Raw!V84)/2,IF(ISNUMBER(RU_Raw!V85),V82+(RU_Raw!V85-V82)/3,"")))</f>
        <v>140.5</v>
      </c>
      <c r="W83" s="19">
        <f>IF(ISNUMBER(RU_Raw!W83),RU_Raw!W83,IF(ISNUMBER(RU_Raw!W84),(W82+RU_Raw!W84)/2,IF(ISNUMBER(RU_Raw!W85),W82+(RU_Raw!W85-W82)/3,"")))</f>
        <v>147.6</v>
      </c>
      <c r="X83" s="19">
        <f>IF(ISNUMBER(RU_Raw!X83),RU_Raw!X83,IF(ISNUMBER(RU_Raw!X84),(X82+RU_Raw!X84)/2,IF(ISNUMBER(RU_Raw!X85),X82+(RU_Raw!X85-X82)/3,"")))</f>
        <v>150.6</v>
      </c>
      <c r="Y83" s="19">
        <f>IF(ISNUMBER(RU_Raw!Y83),RU_Raw!Y83,IF(ISNUMBER(RU_Raw!Y84),(Y82+RU_Raw!Y84)/2,IF(ISNUMBER(RU_Raw!Y85),Y82+(RU_Raw!Y85-Y82)/3,"")))</f>
        <v>139.3</v>
      </c>
      <c r="Z83" s="19">
        <f>IF(ISNUMBER(RU_Raw!Z83),RU_Raw!Z83,IF(ISNUMBER(RU_Raw!Z84),(Z82+RU_Raw!Z84)/2,IF(ISNUMBER(RU_Raw!Z85),Z82+(RU_Raw!Z85-Z82)/3,"")))</f>
        <v>144.2</v>
      </c>
      <c r="AA83" s="19">
        <f>IF(ISNUMBER(RU_Raw!AA83),RU_Raw!AA83,IF(ISNUMBER(RU_Raw!AA84),(AA82+RU_Raw!AA84)/2,IF(ISNUMBER(RU_Raw!AA85),AA82+(RU_Raw!AA85-AA82)/3,"")))</f>
        <v>147.9</v>
      </c>
      <c r="AB83" s="19">
        <f>IF(ISNUMBER(RU_Raw!AB83),RU_Raw!AB83,IF(ISNUMBER(RU_Raw!AB84),(AB82+RU_Raw!AB84)/2,IF(ISNUMBER(RU_Raw!AB85),AB82+(RU_Raw!AB85-AB82)/3,"")))</f>
        <v>125.6</v>
      </c>
      <c r="AC83" s="19">
        <f>IF(ISNUMBER(RU_Raw!AC83),RU_Raw!AC83,IF(ISNUMBER(RU_Raw!AC84),(AC82+RU_Raw!AC84)/2,IF(ISNUMBER(RU_Raw!AC85),AC82+(RU_Raw!AC85-AC82)/3,"")))</f>
        <v>140.5</v>
      </c>
      <c r="AD83" s="19">
        <f>IF(ISNUMBER(RU_Raw!AD83),RU_Raw!AD83,IF(ISNUMBER(RU_Raw!AD84),(AD82+RU_Raw!AD84)/2,IF(ISNUMBER(RU_Raw!AD85),AD82+(RU_Raw!AD85-AD82)/3,"")))</f>
        <v>154</v>
      </c>
      <c r="AE83" s="19">
        <f>IF(ISNUMBER(RU_Raw!AE83),RU_Raw!AE83,IF(ISNUMBER(RU_Raw!AE84),(AE82+RU_Raw!AE84)/2,IF(ISNUMBER(RU_Raw!AE85),AE82+(RU_Raw!AE85-AE82)/3,"")))</f>
        <v>135.7</v>
      </c>
      <c r="AF83" s="19">
        <f>IF(ISNUMBER(RU_Raw!AF83),RU_Raw!AF83,IF(ISNUMBER(RU_Raw!AF84),(AF82+RU_Raw!AF84)/2,IF(ISNUMBER(RU_Raw!AF85),AF82+(RU_Raw!AF85-AF82)/3,"")))</f>
        <v>139.5</v>
      </c>
      <c r="AG83" s="19">
        <f>IF(ISNUMBER(RU_Raw!AG83),RU_Raw!AG83,IF(ISNUMBER(RU_Raw!AG84),(AG82+RU_Raw!AG84)/2,IF(ISNUMBER(RU_Raw!AG85),AG82+(RU_Raw!AG85-AG82)/3,"")))</f>
        <v>144.2</v>
      </c>
      <c r="AH83" s="19">
        <f t="shared" si="3"/>
        <v>1692.8</v>
      </c>
    </row>
    <row r="84" spans="1:34">
      <c r="A84" s="6">
        <f>RU_Raw!A84</f>
        <v>2019</v>
      </c>
      <c r="B84" s="6">
        <f>RU_Raw!B84</f>
        <v>8</v>
      </c>
      <c r="C84" s="6" t="str">
        <f>RU_Raw!C84</f>
        <v>August</v>
      </c>
      <c r="D84" s="9">
        <f>RU_Raw!D84</f>
        <v>43678</v>
      </c>
      <c r="E84" s="6">
        <f>COUNTBLANK(RU_Raw!G84:AG84)</f>
        <v>0</v>
      </c>
      <c r="F84" s="6" t="str">
        <f t="shared" si="2"/>
        <v/>
      </c>
      <c r="G84" s="19">
        <f>IF(ISNUMBER(RU_Raw!G84),RU_Raw!G84,IF(ISNUMBER(RU_Raw!G85),(G83+RU_Raw!G85)/2,IF(ISNUMBER(RU_Raw!G86),G83+(RU_Raw!G86-G83)/3,"")))</f>
        <v>140.1</v>
      </c>
      <c r="H84" s="19">
        <f>IF(ISNUMBER(RU_Raw!H84),RU_Raw!H84,IF(ISNUMBER(RU_Raw!H85),(H83+RU_Raw!H85)/2,IF(ISNUMBER(RU_Raw!H86),H83+(RU_Raw!H86-H83)/3,"")))</f>
        <v>160.6</v>
      </c>
      <c r="I84" s="19">
        <f>IF(ISNUMBER(RU_Raw!I84),RU_Raw!I84,IF(ISNUMBER(RU_Raw!I85),(I83+RU_Raw!I85)/2,IF(ISNUMBER(RU_Raw!I86),I83+(RU_Raw!I86-I83)/3,"")))</f>
        <v>138.5</v>
      </c>
      <c r="J84" s="19">
        <f>IF(ISNUMBER(RU_Raw!J84),RU_Raw!J84,IF(ISNUMBER(RU_Raw!J85),(J83+RU_Raw!J85)/2,IF(ISNUMBER(RU_Raw!J86),J83+(RU_Raw!J86-J83)/3,"")))</f>
        <v>144.7</v>
      </c>
      <c r="K84" s="19">
        <f>IF(ISNUMBER(RU_Raw!K84),RU_Raw!K84,IF(ISNUMBER(RU_Raw!K85),(K83+RU_Raw!K85)/2,IF(ISNUMBER(RU_Raw!K86),K83+(RU_Raw!K86-K83)/3,"")))</f>
        <v>122.9</v>
      </c>
      <c r="L84" s="19">
        <f>IF(ISNUMBER(RU_Raw!L84),RU_Raw!L84,IF(ISNUMBER(RU_Raw!L85),(L83+RU_Raw!L85)/2,IF(ISNUMBER(RU_Raw!L86),L83+(RU_Raw!L86-L83)/3,"")))</f>
        <v>149.4</v>
      </c>
      <c r="M84" s="19">
        <f>IF(ISNUMBER(RU_Raw!M84),RU_Raw!M84,IF(ISNUMBER(RU_Raw!M85),(M83+RU_Raw!M85)/2,IF(ISNUMBER(RU_Raw!M86),M83+(RU_Raw!M86-M83)/3,"")))</f>
        <v>167.4</v>
      </c>
      <c r="N84" s="19">
        <f>IF(ISNUMBER(RU_Raw!N84),RU_Raw!N84,IF(ISNUMBER(RU_Raw!N85),(N83+RU_Raw!N85)/2,IF(ISNUMBER(RU_Raw!N86),N83+(RU_Raw!N86-N83)/3,"")))</f>
        <v>130.9</v>
      </c>
      <c r="O84" s="19">
        <f>IF(ISNUMBER(RU_Raw!O84),RU_Raw!O84,IF(ISNUMBER(RU_Raw!O85),(O83+RU_Raw!O85)/2,IF(ISNUMBER(RU_Raw!O86),O83+(RU_Raw!O86-O83)/3,"")))</f>
        <v>112</v>
      </c>
      <c r="P84" s="19">
        <f>IF(ISNUMBER(RU_Raw!P84),RU_Raw!P84,IF(ISNUMBER(RU_Raw!P85),(P83+RU_Raw!P85)/2,IF(ISNUMBER(RU_Raw!P86),P83+(RU_Raw!P86-P83)/3,"")))</f>
        <v>142.6</v>
      </c>
      <c r="Q84" s="19">
        <f>IF(ISNUMBER(RU_Raw!Q84),RU_Raw!Q84,IF(ISNUMBER(RU_Raw!Q85),(Q83+RU_Raw!Q85)/2,IF(ISNUMBER(RU_Raw!Q86),Q83+(RU_Raw!Q86-Q83)/3,"")))</f>
        <v>134.9</v>
      </c>
      <c r="R84" s="19">
        <f>IF(ISNUMBER(RU_Raw!R84),RU_Raw!R84,IF(ISNUMBER(RU_Raw!R85),(R83+RU_Raw!R85)/2,IF(ISNUMBER(RU_Raw!R86),R83+(RU_Raw!R86-R83)/3,"")))</f>
        <v>156.6</v>
      </c>
      <c r="S84" s="19">
        <f>IF(ISNUMBER(RU_Raw!S84),RU_Raw!S84,IF(ISNUMBER(RU_Raw!S85),(S83+RU_Raw!S85)/2,IF(ISNUMBER(RU_Raw!S86),S83+(RU_Raw!S86-S83)/3,"")))</f>
        <v>145.9</v>
      </c>
      <c r="T84" s="19">
        <f>IF(ISNUMBER(RU_Raw!T84),RU_Raw!T84,IF(ISNUMBER(RU_Raw!T85),(T83+RU_Raw!T85)/2,IF(ISNUMBER(RU_Raw!T86),T83+(RU_Raw!T86-T83)/3,"")))</f>
        <v>165.8</v>
      </c>
      <c r="U84" s="19">
        <f>IF(ISNUMBER(RU_Raw!U84),RU_Raw!U84,IF(ISNUMBER(RU_Raw!U85),(U83+RU_Raw!U85)/2,IF(ISNUMBER(RU_Raw!U86),U83+(RU_Raw!U86-U83)/3,"")))</f>
        <v>149.1</v>
      </c>
      <c r="V84" s="19">
        <f>IF(ISNUMBER(RU_Raw!V84),RU_Raw!V84,IF(ISNUMBER(RU_Raw!V85),(V83+RU_Raw!V85)/2,IF(ISNUMBER(RU_Raw!V86),V83+(RU_Raw!V86-V83)/3,"")))</f>
        <v>140.6</v>
      </c>
      <c r="W84" s="19">
        <f>IF(ISNUMBER(RU_Raw!W84),RU_Raw!W84,IF(ISNUMBER(RU_Raw!W85),(W83+RU_Raw!W85)/2,IF(ISNUMBER(RU_Raw!W86),W83+(RU_Raw!W86-W83)/3,"")))</f>
        <v>147.9</v>
      </c>
      <c r="X84" s="19">
        <f>IF(ISNUMBER(RU_Raw!X84),RU_Raw!X84,IF(ISNUMBER(RU_Raw!X85),(X83+RU_Raw!X85)/2,IF(ISNUMBER(RU_Raw!X86),X83+(RU_Raw!X86-X83)/3,"")))</f>
        <v>151.6</v>
      </c>
      <c r="Y84" s="19">
        <f>IF(ISNUMBER(RU_Raw!Y84),RU_Raw!Y84,IF(ISNUMBER(RU_Raw!Y85),(Y83+RU_Raw!Y85)/2,IF(ISNUMBER(RU_Raw!Y86),Y83+(RU_Raw!Y86-Y83)/3,"")))</f>
        <v>138.5</v>
      </c>
      <c r="Z84" s="19">
        <f>IF(ISNUMBER(RU_Raw!Z84),RU_Raw!Z84,IF(ISNUMBER(RU_Raw!Z85),(Z83+RU_Raw!Z85)/2,IF(ISNUMBER(RU_Raw!Z86),Z83+(RU_Raw!Z86-Z83)/3,"")))</f>
        <v>144.5</v>
      </c>
      <c r="AA84" s="19">
        <f>IF(ISNUMBER(RU_Raw!AA84),RU_Raw!AA84,IF(ISNUMBER(RU_Raw!AA85),(AA83+RU_Raw!AA85)/2,IF(ISNUMBER(RU_Raw!AA86),AA83+(RU_Raw!AA86-AA83)/3,"")))</f>
        <v>148.5</v>
      </c>
      <c r="AB84" s="19">
        <f>IF(ISNUMBER(RU_Raw!AB84),RU_Raw!AB84,IF(ISNUMBER(RU_Raw!AB85),(AB83+RU_Raw!AB85)/2,IF(ISNUMBER(RU_Raw!AB86),AB83+(RU_Raw!AB86-AB83)/3,"")))</f>
        <v>125.8</v>
      </c>
      <c r="AC84" s="19">
        <f>IF(ISNUMBER(RU_Raw!AC84),RU_Raw!AC84,IF(ISNUMBER(RU_Raw!AC85),(AC83+RU_Raw!AC85)/2,IF(ISNUMBER(RU_Raw!AC86),AC83+(RU_Raw!AC86-AC83)/3,"")))</f>
        <v>140.9</v>
      </c>
      <c r="AD84" s="19">
        <f>IF(ISNUMBER(RU_Raw!AD84),RU_Raw!AD84,IF(ISNUMBER(RU_Raw!AD85),(AD83+RU_Raw!AD85)/2,IF(ISNUMBER(RU_Raw!AD86),AD83+(RU_Raw!AD86-AD83)/3,"")))</f>
        <v>154.9</v>
      </c>
      <c r="AE84" s="19">
        <f>IF(ISNUMBER(RU_Raw!AE84),RU_Raw!AE84,IF(ISNUMBER(RU_Raw!AE85),(AE83+RU_Raw!AE85)/2,IF(ISNUMBER(RU_Raw!AE86),AE83+(RU_Raw!AE86-AE83)/3,"")))</f>
        <v>138.4</v>
      </c>
      <c r="AF84" s="19">
        <f>IF(ISNUMBER(RU_Raw!AF84),RU_Raw!AF84,IF(ISNUMBER(RU_Raw!AF85),(AF83+RU_Raw!AF85)/2,IF(ISNUMBER(RU_Raw!AF86),AF83+(RU_Raw!AF86-AF83)/3,"")))</f>
        <v>140.2</v>
      </c>
      <c r="AG84" s="19">
        <f>IF(ISNUMBER(RU_Raw!AG84),RU_Raw!AG84,IF(ISNUMBER(RU_Raw!AG85),(AG83+RU_Raw!AG85)/2,IF(ISNUMBER(RU_Raw!AG86),AG83+(RU_Raw!AG86-AG83)/3,"")))</f>
        <v>145</v>
      </c>
      <c r="AH84" s="19">
        <f t="shared" si="3"/>
        <v>1700.6</v>
      </c>
    </row>
    <row r="85" spans="1:34">
      <c r="A85" s="6">
        <f>RU_Raw!A85</f>
        <v>2019</v>
      </c>
      <c r="B85" s="6">
        <f>RU_Raw!B85</f>
        <v>9</v>
      </c>
      <c r="C85" s="6" t="str">
        <f>RU_Raw!C85</f>
        <v>September</v>
      </c>
      <c r="D85" s="9">
        <f>RU_Raw!D85</f>
        <v>43709</v>
      </c>
      <c r="E85" s="6">
        <f>COUNTBLANK(RU_Raw!G85:AG85)</f>
        <v>0</v>
      </c>
      <c r="F85" s="6" t="str">
        <f t="shared" si="2"/>
        <v/>
      </c>
      <c r="G85" s="19">
        <f>IF(ISNUMBER(RU_Raw!G85),RU_Raw!G85,IF(ISNUMBER(RU_Raw!G86),(G84+RU_Raw!G86)/2,IF(ISNUMBER(RU_Raw!G87),G84+(RU_Raw!G87-G84)/3,"")))</f>
        <v>140.9</v>
      </c>
      <c r="H85" s="19">
        <f>IF(ISNUMBER(RU_Raw!H85),RU_Raw!H85,IF(ISNUMBER(RU_Raw!H86),(H84+RU_Raw!H86)/2,IF(ISNUMBER(RU_Raw!H87),H84+(RU_Raw!H87-H84)/3,"")))</f>
        <v>160.8</v>
      </c>
      <c r="I85" s="19">
        <f>IF(ISNUMBER(RU_Raw!I85),RU_Raw!I85,IF(ISNUMBER(RU_Raw!I86),(I84+RU_Raw!I86)/2,IF(ISNUMBER(RU_Raw!I87),I84+(RU_Raw!I87-I84)/3,"")))</f>
        <v>139.6</v>
      </c>
      <c r="J85" s="19">
        <f>IF(ISNUMBER(RU_Raw!J85),RU_Raw!J85,IF(ISNUMBER(RU_Raw!J86),(J84+RU_Raw!J86)/2,IF(ISNUMBER(RU_Raw!J87),J84+(RU_Raw!J87-J84)/3,"")))</f>
        <v>145.4</v>
      </c>
      <c r="K85" s="19">
        <f>IF(ISNUMBER(RU_Raw!K85),RU_Raw!K85,IF(ISNUMBER(RU_Raw!K86),(K84+RU_Raw!K86)/2,IF(ISNUMBER(RU_Raw!K87),K84+(RU_Raw!K87-K84)/3,"")))</f>
        <v>123.5</v>
      </c>
      <c r="L85" s="19">
        <f>IF(ISNUMBER(RU_Raw!L85),RU_Raw!L85,IF(ISNUMBER(RU_Raw!L86),(L84+RU_Raw!L86)/2,IF(ISNUMBER(RU_Raw!L87),L84+(RU_Raw!L87-L84)/3,"")))</f>
        <v>146.6</v>
      </c>
      <c r="M85" s="19">
        <f>IF(ISNUMBER(RU_Raw!M85),RU_Raw!M85,IF(ISNUMBER(RU_Raw!M86),(M84+RU_Raw!M86)/2,IF(ISNUMBER(RU_Raw!M87),M84+(RU_Raw!M87-M84)/3,"")))</f>
        <v>173.2</v>
      </c>
      <c r="N85" s="19">
        <f>IF(ISNUMBER(RU_Raw!N85),RU_Raw!N85,IF(ISNUMBER(RU_Raw!N86),(N84+RU_Raw!N86)/2,IF(ISNUMBER(RU_Raw!N87),N84+(RU_Raw!N87-N84)/3,"")))</f>
        <v>131.6</v>
      </c>
      <c r="O85" s="19">
        <f>IF(ISNUMBER(RU_Raw!O85),RU_Raw!O85,IF(ISNUMBER(RU_Raw!O86),(O84+RU_Raw!O86)/2,IF(ISNUMBER(RU_Raw!O87),O84+(RU_Raw!O87-O84)/3,"")))</f>
        <v>113.2</v>
      </c>
      <c r="P85" s="19">
        <f>IF(ISNUMBER(RU_Raw!P85),RU_Raw!P85,IF(ISNUMBER(RU_Raw!P86),(P84+RU_Raw!P86)/2,IF(ISNUMBER(RU_Raw!P87),P84+(RU_Raw!P87-P84)/3,"")))</f>
        <v>144.1</v>
      </c>
      <c r="Q85" s="19">
        <f>IF(ISNUMBER(RU_Raw!Q85),RU_Raw!Q85,IF(ISNUMBER(RU_Raw!Q86),(Q84+RU_Raw!Q86)/2,IF(ISNUMBER(RU_Raw!Q87),Q84+(RU_Raw!Q87-Q84)/3,"")))</f>
        <v>135</v>
      </c>
      <c r="R85" s="19">
        <f>IF(ISNUMBER(RU_Raw!R85),RU_Raw!R85,IF(ISNUMBER(RU_Raw!R86),(R84+RU_Raw!R86)/2,IF(ISNUMBER(RU_Raw!R87),R84+(RU_Raw!R87-R84)/3,"")))</f>
        <v>156.8</v>
      </c>
      <c r="S85" s="19">
        <f>IF(ISNUMBER(RU_Raw!S85),RU_Raw!S85,IF(ISNUMBER(RU_Raw!S86),(S84+RU_Raw!S86)/2,IF(ISNUMBER(RU_Raw!S87),S84+(RU_Raw!S87-S84)/3,"")))</f>
        <v>147</v>
      </c>
      <c r="T85" s="19">
        <f>IF(ISNUMBER(RU_Raw!T85),RU_Raw!T85,IF(ISNUMBER(RU_Raw!T86),(T84+RU_Raw!T86)/2,IF(ISNUMBER(RU_Raw!T87),T84+(RU_Raw!T87-T84)/3,"")))</f>
        <v>166.5</v>
      </c>
      <c r="U85" s="19">
        <f>IF(ISNUMBER(RU_Raw!U85),RU_Raw!U85,IF(ISNUMBER(RU_Raw!U86),(U84+RU_Raw!U86)/2,IF(ISNUMBER(RU_Raw!U87),U84+(RU_Raw!U87-U84)/3,"")))</f>
        <v>149.2</v>
      </c>
      <c r="V85" s="19">
        <f>IF(ISNUMBER(RU_Raw!V85),RU_Raw!V85,IF(ISNUMBER(RU_Raw!V86),(V84+RU_Raw!V86)/2,IF(ISNUMBER(RU_Raw!V87),V84+(RU_Raw!V87-V84)/3,"")))</f>
        <v>140.6</v>
      </c>
      <c r="W85" s="19">
        <f>IF(ISNUMBER(RU_Raw!W85),RU_Raw!W85,IF(ISNUMBER(RU_Raw!W86),(W84+RU_Raw!W86)/2,IF(ISNUMBER(RU_Raw!W87),W84+(RU_Raw!W87-W84)/3,"")))</f>
        <v>147.9</v>
      </c>
      <c r="X85" s="19">
        <f>IF(ISNUMBER(RU_Raw!X85),RU_Raw!X85,IF(ISNUMBER(RU_Raw!X86),(X84+RU_Raw!X86)/2,IF(ISNUMBER(RU_Raw!X87),X84+(RU_Raw!X87-X84)/3,"")))</f>
        <v>152.2</v>
      </c>
      <c r="Y85" s="19">
        <f>IF(ISNUMBER(RU_Raw!Y85),RU_Raw!Y85,IF(ISNUMBER(RU_Raw!Y86),(Y84+RU_Raw!Y86)/2,IF(ISNUMBER(RU_Raw!Y87),Y84+(RU_Raw!Y87-Y84)/3,"")))</f>
        <v>139.2</v>
      </c>
      <c r="Z85" s="19">
        <f>IF(ISNUMBER(RU_Raw!Z85),RU_Raw!Z85,IF(ISNUMBER(RU_Raw!Z86),(Z84+RU_Raw!Z86)/2,IF(ISNUMBER(RU_Raw!Z87),Z84+(RU_Raw!Z87-Z84)/3,"")))</f>
        <v>144.6</v>
      </c>
      <c r="AA85" s="19">
        <f>IF(ISNUMBER(RU_Raw!AA85),RU_Raw!AA85,IF(ISNUMBER(RU_Raw!AA86),(AA84+RU_Raw!AA86)/2,IF(ISNUMBER(RU_Raw!AA87),AA84+(RU_Raw!AA87-AA84)/3,"")))</f>
        <v>149</v>
      </c>
      <c r="AB85" s="19">
        <f>IF(ISNUMBER(RU_Raw!AB85),RU_Raw!AB85,IF(ISNUMBER(RU_Raw!AB86),(AB84+RU_Raw!AB86)/2,IF(ISNUMBER(RU_Raw!AB87),AB84+(RU_Raw!AB87-AB84)/3,"")))</f>
        <v>126.1</v>
      </c>
      <c r="AC85" s="19">
        <f>IF(ISNUMBER(RU_Raw!AC85),RU_Raw!AC85,IF(ISNUMBER(RU_Raw!AC86),(AC84+RU_Raw!AC86)/2,IF(ISNUMBER(RU_Raw!AC87),AC84+(RU_Raw!AC87-AC84)/3,"")))</f>
        <v>141.3</v>
      </c>
      <c r="AD85" s="19">
        <f>IF(ISNUMBER(RU_Raw!AD85),RU_Raw!AD85,IF(ISNUMBER(RU_Raw!AD86),(AD84+RU_Raw!AD86)/2,IF(ISNUMBER(RU_Raw!AD87),AD84+(RU_Raw!AD87-AD84)/3,"")))</f>
        <v>155.2</v>
      </c>
      <c r="AE85" s="19">
        <f>IF(ISNUMBER(RU_Raw!AE85),RU_Raw!AE85,IF(ISNUMBER(RU_Raw!AE86),(AE84+RU_Raw!AE86)/2,IF(ISNUMBER(RU_Raw!AE87),AE84+(RU_Raw!AE87-AE84)/3,"")))</f>
        <v>139.7</v>
      </c>
      <c r="AF85" s="19">
        <f>IF(ISNUMBER(RU_Raw!AF85),RU_Raw!AF85,IF(ISNUMBER(RU_Raw!AF86),(AF84+RU_Raw!AF86)/2,IF(ISNUMBER(RU_Raw!AF87),AF84+(RU_Raw!AF87-AF84)/3,"")))</f>
        <v>140.7</v>
      </c>
      <c r="AG85" s="19">
        <f>IF(ISNUMBER(RU_Raw!AG85),RU_Raw!AG85,IF(ISNUMBER(RU_Raw!AG86),(AG84+RU_Raw!AG86)/2,IF(ISNUMBER(RU_Raw!AG87),AG84+(RU_Raw!AG87-AG84)/3,"")))</f>
        <v>145.8</v>
      </c>
      <c r="AH85" s="19">
        <f t="shared" si="3"/>
        <v>1710.7</v>
      </c>
    </row>
    <row r="86" spans="1:34">
      <c r="A86" s="6">
        <f>RU_Raw!A86</f>
        <v>2019</v>
      </c>
      <c r="B86" s="6">
        <f>RU_Raw!B86</f>
        <v>10</v>
      </c>
      <c r="C86" s="6" t="str">
        <f>RU_Raw!C86</f>
        <v>October</v>
      </c>
      <c r="D86" s="9">
        <f>RU_Raw!D86</f>
        <v>43739</v>
      </c>
      <c r="E86" s="6">
        <f>COUNTBLANK(RU_Raw!G86:AG86)</f>
        <v>0</v>
      </c>
      <c r="F86" s="6" t="str">
        <f t="shared" si="2"/>
        <v/>
      </c>
      <c r="G86" s="19">
        <f>IF(ISNUMBER(RU_Raw!G86),RU_Raw!G86,IF(ISNUMBER(RU_Raw!G87),(G85+RU_Raw!G87)/2,IF(ISNUMBER(RU_Raw!G88),G85+(RU_Raw!G88-G85)/3,"")))</f>
        <v>141.8</v>
      </c>
      <c r="H86" s="19">
        <f>IF(ISNUMBER(RU_Raw!H86),RU_Raw!H86,IF(ISNUMBER(RU_Raw!H87),(H85+RU_Raw!H87)/2,IF(ISNUMBER(RU_Raw!H88),H85+(RU_Raw!H88-H85)/3,"")))</f>
        <v>161</v>
      </c>
      <c r="I86" s="19">
        <f>IF(ISNUMBER(RU_Raw!I86),RU_Raw!I86,IF(ISNUMBER(RU_Raw!I87),(I85+RU_Raw!I87)/2,IF(ISNUMBER(RU_Raw!I88),I85+(RU_Raw!I88-I85)/3,"")))</f>
        <v>142.6</v>
      </c>
      <c r="J86" s="19">
        <f>IF(ISNUMBER(RU_Raw!J86),RU_Raw!J86,IF(ISNUMBER(RU_Raw!J87),(J85+RU_Raw!J87)/2,IF(ISNUMBER(RU_Raw!J88),J85+(RU_Raw!J88-J85)/3,"")))</f>
        <v>146.2</v>
      </c>
      <c r="K86" s="19">
        <f>IF(ISNUMBER(RU_Raw!K86),RU_Raw!K86,IF(ISNUMBER(RU_Raw!K87),(K85+RU_Raw!K87)/2,IF(ISNUMBER(RU_Raw!K88),K85+(RU_Raw!K88-K85)/3,"")))</f>
        <v>123.9</v>
      </c>
      <c r="L86" s="19">
        <f>IF(ISNUMBER(RU_Raw!L86),RU_Raw!L86,IF(ISNUMBER(RU_Raw!L87),(L85+RU_Raw!L87)/2,IF(ISNUMBER(RU_Raw!L88),L85+(RU_Raw!L88-L85)/3,"")))</f>
        <v>148</v>
      </c>
      <c r="M86" s="19">
        <f>IF(ISNUMBER(RU_Raw!M86),RU_Raw!M86,IF(ISNUMBER(RU_Raw!M87),(M85+RU_Raw!M87)/2,IF(ISNUMBER(RU_Raw!M88),M85+(RU_Raw!M88-M85)/3,"")))</f>
        <v>188.4</v>
      </c>
      <c r="N86" s="19">
        <f>IF(ISNUMBER(RU_Raw!N86),RU_Raw!N86,IF(ISNUMBER(RU_Raw!N87),(N85+RU_Raw!N87)/2,IF(ISNUMBER(RU_Raw!N88),N85+(RU_Raw!N88-N85)/3,"")))</f>
        <v>132.5</v>
      </c>
      <c r="O86" s="19">
        <f>IF(ISNUMBER(RU_Raw!O86),RU_Raw!O86,IF(ISNUMBER(RU_Raw!O87),(O85+RU_Raw!O87)/2,IF(ISNUMBER(RU_Raw!O88),O85+(RU_Raw!O88-O85)/3,"")))</f>
        <v>114</v>
      </c>
      <c r="P86" s="19">
        <f>IF(ISNUMBER(RU_Raw!P86),RU_Raw!P86,IF(ISNUMBER(RU_Raw!P87),(P85+RU_Raw!P87)/2,IF(ISNUMBER(RU_Raw!P88),P85+(RU_Raw!P88-P85)/3,"")))</f>
        <v>145.4</v>
      </c>
      <c r="Q86" s="19">
        <f>IF(ISNUMBER(RU_Raw!Q86),RU_Raw!Q86,IF(ISNUMBER(RU_Raw!Q87),(Q85+RU_Raw!Q87)/2,IF(ISNUMBER(RU_Raw!Q88),Q85+(RU_Raw!Q88-Q85)/3,"")))</f>
        <v>135.1</v>
      </c>
      <c r="R86" s="19">
        <f>IF(ISNUMBER(RU_Raw!R86),RU_Raw!R86,IF(ISNUMBER(RU_Raw!R87),(R85+RU_Raw!R87)/2,IF(ISNUMBER(RU_Raw!R88),R85+(RU_Raw!R88-R85)/3,"")))</f>
        <v>157.1</v>
      </c>
      <c r="S86" s="19">
        <f>IF(ISNUMBER(RU_Raw!S86),RU_Raw!S86,IF(ISNUMBER(RU_Raw!S87),(S85+RU_Raw!S87)/2,IF(ISNUMBER(RU_Raw!S88),S85+(RU_Raw!S88-S85)/3,"")))</f>
        <v>149.6</v>
      </c>
      <c r="T86" s="19">
        <f>IF(ISNUMBER(RU_Raw!T86),RU_Raw!T86,IF(ISNUMBER(RU_Raw!T87),(T85+RU_Raw!T87)/2,IF(ISNUMBER(RU_Raw!T88),T85+(RU_Raw!T88-T85)/3,"")))</f>
        <v>167.1</v>
      </c>
      <c r="U86" s="19">
        <f>IF(ISNUMBER(RU_Raw!U86),RU_Raw!U86,IF(ISNUMBER(RU_Raw!U87),(U85+RU_Raw!U87)/2,IF(ISNUMBER(RU_Raw!U88),U85+(RU_Raw!U88-U85)/3,"")))</f>
        <v>149.4</v>
      </c>
      <c r="V86" s="19">
        <f>IF(ISNUMBER(RU_Raw!V86),RU_Raw!V86,IF(ISNUMBER(RU_Raw!V87),(V85+RU_Raw!V87)/2,IF(ISNUMBER(RU_Raw!V88),V85+(RU_Raw!V88-V85)/3,"")))</f>
        <v>140.8</v>
      </c>
      <c r="W86" s="19">
        <f>IF(ISNUMBER(RU_Raw!W86),RU_Raw!W86,IF(ISNUMBER(RU_Raw!W87),(W85+RU_Raw!W87)/2,IF(ISNUMBER(RU_Raw!W88),W85+(RU_Raw!W88-W85)/3,"")))</f>
        <v>148.2</v>
      </c>
      <c r="X86" s="19">
        <f>IF(ISNUMBER(RU_Raw!X86),RU_Raw!X86,IF(ISNUMBER(RU_Raw!X87),(X85+RU_Raw!X87)/2,IF(ISNUMBER(RU_Raw!X88),X85+(RU_Raw!X88-X85)/3,"")))</f>
        <v>153</v>
      </c>
      <c r="Y86" s="19">
        <f>IF(ISNUMBER(RU_Raw!Y86),RU_Raw!Y86,IF(ISNUMBER(RU_Raw!Y87),(Y85+RU_Raw!Y87)/2,IF(ISNUMBER(RU_Raw!Y88),Y85+(RU_Raw!Y88-Y85)/3,"")))</f>
        <v>140.6</v>
      </c>
      <c r="Z86" s="19">
        <f>IF(ISNUMBER(RU_Raw!Z86),RU_Raw!Z86,IF(ISNUMBER(RU_Raw!Z87),(Z85+RU_Raw!Z87)/2,IF(ISNUMBER(RU_Raw!Z88),Z85+(RU_Raw!Z88-Z85)/3,"")))</f>
        <v>145</v>
      </c>
      <c r="AA86" s="19">
        <f>IF(ISNUMBER(RU_Raw!AA86),RU_Raw!AA86,IF(ISNUMBER(RU_Raw!AA87),(AA85+RU_Raw!AA87)/2,IF(ISNUMBER(RU_Raw!AA88),AA85+(RU_Raw!AA88-AA85)/3,"")))</f>
        <v>149.4</v>
      </c>
      <c r="AB86" s="19">
        <f>IF(ISNUMBER(RU_Raw!AB86),RU_Raw!AB86,IF(ISNUMBER(RU_Raw!AB87),(AB85+RU_Raw!AB87)/2,IF(ISNUMBER(RU_Raw!AB88),AB85+(RU_Raw!AB88-AB85)/3,"")))</f>
        <v>126.3</v>
      </c>
      <c r="AC86" s="19">
        <f>IF(ISNUMBER(RU_Raw!AC86),RU_Raw!AC86,IF(ISNUMBER(RU_Raw!AC87),(AC85+RU_Raw!AC87)/2,IF(ISNUMBER(RU_Raw!AC88),AC85+(RU_Raw!AC88-AC85)/3,"")))</f>
        <v>141.7</v>
      </c>
      <c r="AD86" s="19">
        <f>IF(ISNUMBER(RU_Raw!AD86),RU_Raw!AD86,IF(ISNUMBER(RU_Raw!AD87),(AD85+RU_Raw!AD87)/2,IF(ISNUMBER(RU_Raw!AD88),AD85+(RU_Raw!AD88-AD85)/3,"")))</f>
        <v>155.4</v>
      </c>
      <c r="AE86" s="19">
        <f>IF(ISNUMBER(RU_Raw!AE86),RU_Raw!AE86,IF(ISNUMBER(RU_Raw!AE87),(AE85+RU_Raw!AE87)/2,IF(ISNUMBER(RU_Raw!AE88),AE85+(RU_Raw!AE88-AE85)/3,"")))</f>
        <v>140</v>
      </c>
      <c r="AF86" s="19">
        <f>IF(ISNUMBER(RU_Raw!AF86),RU_Raw!AF86,IF(ISNUMBER(RU_Raw!AF87),(AF85+RU_Raw!AF87)/2,IF(ISNUMBER(RU_Raw!AF88),AF85+(RU_Raw!AF88-AF85)/3,"")))</f>
        <v>141</v>
      </c>
      <c r="AG86" s="19">
        <f>IF(ISNUMBER(RU_Raw!AG86),RU_Raw!AG86,IF(ISNUMBER(RU_Raw!AG87),(AG85+RU_Raw!AG87)/2,IF(ISNUMBER(RU_Raw!AG88),AG85+(RU_Raw!AG88-AG85)/3,"")))</f>
        <v>147.2</v>
      </c>
      <c r="AH86" s="19">
        <f t="shared" si="3"/>
        <v>1736</v>
      </c>
    </row>
    <row r="87" spans="1:34">
      <c r="A87" s="6">
        <f>RU_Raw!A87</f>
        <v>2019</v>
      </c>
      <c r="B87" s="6">
        <f>RU_Raw!B87</f>
        <v>11</v>
      </c>
      <c r="C87" s="6" t="str">
        <f>RU_Raw!C87</f>
        <v>November</v>
      </c>
      <c r="D87" s="9">
        <f>RU_Raw!D87</f>
        <v>43770</v>
      </c>
      <c r="E87" s="6">
        <f>COUNTBLANK(RU_Raw!G87:AG87)</f>
        <v>0</v>
      </c>
      <c r="F87" s="6" t="str">
        <f t="shared" si="2"/>
        <v/>
      </c>
      <c r="G87" s="19">
        <f>IF(ISNUMBER(RU_Raw!G87),RU_Raw!G87,IF(ISNUMBER(RU_Raw!G88),(G86+RU_Raw!G88)/2,IF(ISNUMBER(RU_Raw!G89),G86+(RU_Raw!G89-G86)/3,"")))</f>
        <v>142.5</v>
      </c>
      <c r="H87" s="19">
        <f>IF(ISNUMBER(RU_Raw!H87),RU_Raw!H87,IF(ISNUMBER(RU_Raw!H88),(H86+RU_Raw!H88)/2,IF(ISNUMBER(RU_Raw!H89),H86+(RU_Raw!H89-H86)/3,"")))</f>
        <v>163.2</v>
      </c>
      <c r="I87" s="19">
        <f>IF(ISNUMBER(RU_Raw!I87),RU_Raw!I87,IF(ISNUMBER(RU_Raw!I88),(I86+RU_Raw!I88)/2,IF(ISNUMBER(RU_Raw!I89),I86+(RU_Raw!I89-I86)/3,"")))</f>
        <v>145.6</v>
      </c>
      <c r="J87" s="19">
        <f>IF(ISNUMBER(RU_Raw!J87),RU_Raw!J87,IF(ISNUMBER(RU_Raw!J88),(J86+RU_Raw!J88)/2,IF(ISNUMBER(RU_Raw!J89),J86+(RU_Raw!J89-J86)/3,"")))</f>
        <v>146.7</v>
      </c>
      <c r="K87" s="19">
        <f>IF(ISNUMBER(RU_Raw!K87),RU_Raw!K87,IF(ISNUMBER(RU_Raw!K88),(K86+RU_Raw!K88)/2,IF(ISNUMBER(RU_Raw!K89),K86+(RU_Raw!K89-K86)/3,"")))</f>
        <v>124.3</v>
      </c>
      <c r="L87" s="19">
        <f>IF(ISNUMBER(RU_Raw!L87),RU_Raw!L87,IF(ISNUMBER(RU_Raw!L88),(L86+RU_Raw!L88)/2,IF(ISNUMBER(RU_Raw!L89),L86+(RU_Raw!L89-L86)/3,"")))</f>
        <v>147.4</v>
      </c>
      <c r="M87" s="19">
        <f>IF(ISNUMBER(RU_Raw!M87),RU_Raw!M87,IF(ISNUMBER(RU_Raw!M88),(M86+RU_Raw!M88)/2,IF(ISNUMBER(RU_Raw!M89),M86+(RU_Raw!M89-M86)/3,"")))</f>
        <v>199.6</v>
      </c>
      <c r="N87" s="19">
        <f>IF(ISNUMBER(RU_Raw!N87),RU_Raw!N87,IF(ISNUMBER(RU_Raw!N88),(N86+RU_Raw!N88)/2,IF(ISNUMBER(RU_Raw!N89),N86+(RU_Raw!N89-N86)/3,"")))</f>
        <v>135.7</v>
      </c>
      <c r="O87" s="19">
        <f>IF(ISNUMBER(RU_Raw!O87),RU_Raw!O87,IF(ISNUMBER(RU_Raw!O88),(O86+RU_Raw!O88)/2,IF(ISNUMBER(RU_Raw!O89),O86+(RU_Raw!O89-O86)/3,"")))</f>
        <v>114.2</v>
      </c>
      <c r="P87" s="19">
        <f>IF(ISNUMBER(RU_Raw!P87),RU_Raw!P87,IF(ISNUMBER(RU_Raw!P88),(P86+RU_Raw!P88)/2,IF(ISNUMBER(RU_Raw!P89),P86+(RU_Raw!P89-P86)/3,"")))</f>
        <v>147</v>
      </c>
      <c r="Q87" s="19">
        <f>IF(ISNUMBER(RU_Raw!Q87),RU_Raw!Q87,IF(ISNUMBER(RU_Raw!Q88),(Q86+RU_Raw!Q88)/2,IF(ISNUMBER(RU_Raw!Q89),Q86+(RU_Raw!Q89-Q86)/3,"")))</f>
        <v>135.3</v>
      </c>
      <c r="R87" s="19">
        <f>IF(ISNUMBER(RU_Raw!R87),RU_Raw!R87,IF(ISNUMBER(RU_Raw!R88),(R86+RU_Raw!R88)/2,IF(ISNUMBER(RU_Raw!R89),R86+(RU_Raw!R89-R86)/3,"")))</f>
        <v>157.5</v>
      </c>
      <c r="S87" s="19">
        <f>IF(ISNUMBER(RU_Raw!S87),RU_Raw!S87,IF(ISNUMBER(RU_Raw!S88),(S86+RU_Raw!S88)/2,IF(ISNUMBER(RU_Raw!S89),S86+(RU_Raw!S89-S86)/3,"")))</f>
        <v>151.9</v>
      </c>
      <c r="T87" s="19">
        <f>IF(ISNUMBER(RU_Raw!T87),RU_Raw!T87,IF(ISNUMBER(RU_Raw!T88),(T86+RU_Raw!T88)/2,IF(ISNUMBER(RU_Raw!T89),T86+(RU_Raw!T89-T86)/3,"")))</f>
        <v>167.9</v>
      </c>
      <c r="U87" s="19">
        <f>IF(ISNUMBER(RU_Raw!U87),RU_Raw!U87,IF(ISNUMBER(RU_Raw!U88),(U86+RU_Raw!U88)/2,IF(ISNUMBER(RU_Raw!U89),U86+(RU_Raw!U89-U86)/3,"")))</f>
        <v>149.9</v>
      </c>
      <c r="V87" s="19">
        <f>IF(ISNUMBER(RU_Raw!V87),RU_Raw!V87,IF(ISNUMBER(RU_Raw!V88),(V86+RU_Raw!V88)/2,IF(ISNUMBER(RU_Raw!V89),V86+(RU_Raw!V89-V86)/3,"")))</f>
        <v>141</v>
      </c>
      <c r="W87" s="19">
        <f>IF(ISNUMBER(RU_Raw!W87),RU_Raw!W87,IF(ISNUMBER(RU_Raw!W88),(W86+RU_Raw!W88)/2,IF(ISNUMBER(RU_Raw!W89),W86+(RU_Raw!W89-W86)/3,"")))</f>
        <v>148.6</v>
      </c>
      <c r="X87" s="19">
        <f>IF(ISNUMBER(RU_Raw!X87),RU_Raw!X87,IF(ISNUMBER(RU_Raw!X88),(X86+RU_Raw!X88)/2,IF(ISNUMBER(RU_Raw!X89),X86+(RU_Raw!X89-X86)/3,"")))</f>
        <v>153.5</v>
      </c>
      <c r="Y87" s="19">
        <f>IF(ISNUMBER(RU_Raw!Y87),RU_Raw!Y87,IF(ISNUMBER(RU_Raw!Y88),(Y86+RU_Raw!Y88)/2,IF(ISNUMBER(RU_Raw!Y89),Y86+(RU_Raw!Y89-Y86)/3,"")))</f>
        <v>142.3</v>
      </c>
      <c r="Z87" s="19">
        <f>IF(ISNUMBER(RU_Raw!Z87),RU_Raw!Z87,IF(ISNUMBER(RU_Raw!Z88),(Z86+RU_Raw!Z88)/2,IF(ISNUMBER(RU_Raw!Z89),Z86+(RU_Raw!Z89-Z86)/3,"")))</f>
        <v>145.3</v>
      </c>
      <c r="AA87" s="19">
        <f>IF(ISNUMBER(RU_Raw!AA87),RU_Raw!AA87,IF(ISNUMBER(RU_Raw!AA88),(AA86+RU_Raw!AA88)/2,IF(ISNUMBER(RU_Raw!AA89),AA86+(RU_Raw!AA89-AA86)/3,"")))</f>
        <v>149.9</v>
      </c>
      <c r="AB87" s="19">
        <f>IF(ISNUMBER(RU_Raw!AB87),RU_Raw!AB87,IF(ISNUMBER(RU_Raw!AB88),(AB86+RU_Raw!AB88)/2,IF(ISNUMBER(RU_Raw!AB89),AB86+(RU_Raw!AB89-AB86)/3,"")))</f>
        <v>126.6</v>
      </c>
      <c r="AC87" s="19">
        <f>IF(ISNUMBER(RU_Raw!AC87),RU_Raw!AC87,IF(ISNUMBER(RU_Raw!AC88),(AC86+RU_Raw!AC88)/2,IF(ISNUMBER(RU_Raw!AC89),AC86+(RU_Raw!AC89-AC86)/3,"")))</f>
        <v>142.1</v>
      </c>
      <c r="AD87" s="19">
        <f>IF(ISNUMBER(RU_Raw!AD87),RU_Raw!AD87,IF(ISNUMBER(RU_Raw!AD88),(AD86+RU_Raw!AD88)/2,IF(ISNUMBER(RU_Raw!AD89),AD86+(RU_Raw!AD89-AD86)/3,"")))</f>
        <v>155.5</v>
      </c>
      <c r="AE87" s="19">
        <f>IF(ISNUMBER(RU_Raw!AE87),RU_Raw!AE87,IF(ISNUMBER(RU_Raw!AE88),(AE86+RU_Raw!AE88)/2,IF(ISNUMBER(RU_Raw!AE89),AE86+(RU_Raw!AE89-AE86)/3,"")))</f>
        <v>140.3</v>
      </c>
      <c r="AF87" s="19">
        <f>IF(ISNUMBER(RU_Raw!AF87),RU_Raw!AF87,IF(ISNUMBER(RU_Raw!AF88),(AF86+RU_Raw!AF88)/2,IF(ISNUMBER(RU_Raw!AF89),AF86+(RU_Raw!AF89-AF86)/3,"")))</f>
        <v>141.3</v>
      </c>
      <c r="AG87" s="19">
        <f>IF(ISNUMBER(RU_Raw!AG87),RU_Raw!AG87,IF(ISNUMBER(RU_Raw!AG88),(AG86+RU_Raw!AG88)/2,IF(ISNUMBER(RU_Raw!AG89),AG86+(RU_Raw!AG89-AG86)/3,"")))</f>
        <v>148.6</v>
      </c>
      <c r="AH87" s="19">
        <f t="shared" si="3"/>
        <v>1759</v>
      </c>
    </row>
    <row r="88" spans="1:34">
      <c r="A88" s="6">
        <f>RU_Raw!A88</f>
        <v>2019</v>
      </c>
      <c r="B88" s="6">
        <f>RU_Raw!B88</f>
        <v>12</v>
      </c>
      <c r="C88" s="6" t="str">
        <f>RU_Raw!C88</f>
        <v>December</v>
      </c>
      <c r="D88" s="9">
        <f>RU_Raw!D88</f>
        <v>43800</v>
      </c>
      <c r="E88" s="6">
        <f>COUNTBLANK(RU_Raw!G88:AG88)</f>
        <v>0</v>
      </c>
      <c r="F88" s="6" t="str">
        <f t="shared" si="2"/>
        <v/>
      </c>
      <c r="G88" s="19">
        <f>IF(ISNUMBER(RU_Raw!G88),RU_Raw!G88,IF(ISNUMBER(RU_Raw!G89),(G87+RU_Raw!G89)/2,IF(ISNUMBER(RU_Raw!G90),G87+(RU_Raw!G90-G87)/3,"")))</f>
        <v>143.5</v>
      </c>
      <c r="H88" s="19">
        <f>IF(ISNUMBER(RU_Raw!H88),RU_Raw!H88,IF(ISNUMBER(RU_Raw!H89),(H87+RU_Raw!H89)/2,IF(ISNUMBER(RU_Raw!H90),H87+(RU_Raw!H90-H87)/3,"")))</f>
        <v>165</v>
      </c>
      <c r="I88" s="19">
        <f>IF(ISNUMBER(RU_Raw!I88),RU_Raw!I88,IF(ISNUMBER(RU_Raw!I89),(I87+RU_Raw!I89)/2,IF(ISNUMBER(RU_Raw!I90),I87+(RU_Raw!I90-I87)/3,"")))</f>
        <v>151.1</v>
      </c>
      <c r="J88" s="19">
        <f>IF(ISNUMBER(RU_Raw!J88),RU_Raw!J88,IF(ISNUMBER(RU_Raw!J89),(J87+RU_Raw!J89)/2,IF(ISNUMBER(RU_Raw!J90),J87+(RU_Raw!J90-J87)/3,"")))</f>
        <v>148.3</v>
      </c>
      <c r="K88" s="19">
        <f>IF(ISNUMBER(RU_Raw!K88),RU_Raw!K88,IF(ISNUMBER(RU_Raw!K89),(K87+RU_Raw!K89)/2,IF(ISNUMBER(RU_Raw!K90),K87+(RU_Raw!K90-K87)/3,"")))</f>
        <v>125.7</v>
      </c>
      <c r="L88" s="19">
        <f>IF(ISNUMBER(RU_Raw!L88),RU_Raw!L88,IF(ISNUMBER(RU_Raw!L89),(L87+RU_Raw!L89)/2,IF(ISNUMBER(RU_Raw!L90),L87+(RU_Raw!L90-L87)/3,"")))</f>
        <v>145.7</v>
      </c>
      <c r="M88" s="19">
        <f>IF(ISNUMBER(RU_Raw!M88),RU_Raw!M88,IF(ISNUMBER(RU_Raw!M89),(M87+RU_Raw!M89)/2,IF(ISNUMBER(RU_Raw!M90),M87+(RU_Raw!M90-M87)/3,"")))</f>
        <v>217</v>
      </c>
      <c r="N88" s="19">
        <f>IF(ISNUMBER(RU_Raw!N88),RU_Raw!N88,IF(ISNUMBER(RU_Raw!N89),(N87+RU_Raw!N89)/2,IF(ISNUMBER(RU_Raw!N90),N87+(RU_Raw!N90-N87)/3,"")))</f>
        <v>138.3</v>
      </c>
      <c r="O88" s="19">
        <f>IF(ISNUMBER(RU_Raw!O88),RU_Raw!O88,IF(ISNUMBER(RU_Raw!O89),(O87+RU_Raw!O89)/2,IF(ISNUMBER(RU_Raw!O90),O87+(RU_Raw!O90-O87)/3,"")))</f>
        <v>114</v>
      </c>
      <c r="P88" s="19">
        <f>IF(ISNUMBER(RU_Raw!P88),RU_Raw!P88,IF(ISNUMBER(RU_Raw!P89),(P87+RU_Raw!P89)/2,IF(ISNUMBER(RU_Raw!P90),P87+(RU_Raw!P90-P87)/3,"")))</f>
        <v>148.7</v>
      </c>
      <c r="Q88" s="19">
        <f>IF(ISNUMBER(RU_Raw!Q88),RU_Raw!Q88,IF(ISNUMBER(RU_Raw!Q89),(Q87+RU_Raw!Q89)/2,IF(ISNUMBER(RU_Raw!Q90),Q87+(RU_Raw!Q90-Q87)/3,"")))</f>
        <v>135.8</v>
      </c>
      <c r="R88" s="19">
        <f>IF(ISNUMBER(RU_Raw!R88),RU_Raw!R88,IF(ISNUMBER(RU_Raw!R89),(R87+RU_Raw!R89)/2,IF(ISNUMBER(RU_Raw!R90),R87+(RU_Raw!R90-R87)/3,"")))</f>
        <v>158</v>
      </c>
      <c r="S88" s="19">
        <f>IF(ISNUMBER(RU_Raw!S88),RU_Raw!S88,IF(ISNUMBER(RU_Raw!S89),(S87+RU_Raw!S89)/2,IF(ISNUMBER(RU_Raw!S90),S87+(RU_Raw!S90-S87)/3,"")))</f>
        <v>155</v>
      </c>
      <c r="T88" s="19">
        <f>IF(ISNUMBER(RU_Raw!T88),RU_Raw!T88,IF(ISNUMBER(RU_Raw!T89),(T87+RU_Raw!T89)/2,IF(ISNUMBER(RU_Raw!T90),T87+(RU_Raw!T90-T87)/3,"")))</f>
        <v>168.5</v>
      </c>
      <c r="U88" s="19">
        <f>IF(ISNUMBER(RU_Raw!U88),RU_Raw!U88,IF(ISNUMBER(RU_Raw!U89),(U87+RU_Raw!U89)/2,IF(ISNUMBER(RU_Raw!U90),U87+(RU_Raw!U90-U87)/3,"")))</f>
        <v>150.3</v>
      </c>
      <c r="V88" s="19">
        <f>IF(ISNUMBER(RU_Raw!V88),RU_Raw!V88,IF(ISNUMBER(RU_Raw!V89),(V87+RU_Raw!V89)/2,IF(ISNUMBER(RU_Raw!V90),V87+(RU_Raw!V90-V87)/3,"")))</f>
        <v>141.3</v>
      </c>
      <c r="W88" s="19">
        <f>IF(ISNUMBER(RU_Raw!W88),RU_Raw!W88,IF(ISNUMBER(RU_Raw!W89),(W87+RU_Raw!W89)/2,IF(ISNUMBER(RU_Raw!W90),W87+(RU_Raw!W90-W87)/3,"")))</f>
        <v>149</v>
      </c>
      <c r="X88" s="19">
        <f>IF(ISNUMBER(RU_Raw!X88),RU_Raw!X88,IF(ISNUMBER(RU_Raw!X89),(X87+RU_Raw!X89)/2,IF(ISNUMBER(RU_Raw!X90),X87+(RU_Raw!X90-X87)/3,"")))</f>
        <v>152.8</v>
      </c>
      <c r="Y88" s="19">
        <f>IF(ISNUMBER(RU_Raw!Y88),RU_Raw!Y88,IF(ISNUMBER(RU_Raw!Y89),(Y87+RU_Raw!Y89)/2,IF(ISNUMBER(RU_Raw!Y90),Y87+(RU_Raw!Y90-Y87)/3,"")))</f>
        <v>143.7</v>
      </c>
      <c r="Z88" s="19">
        <f>IF(ISNUMBER(RU_Raw!Z88),RU_Raw!Z88,IF(ISNUMBER(RU_Raw!Z89),(Z87+RU_Raw!Z89)/2,IF(ISNUMBER(RU_Raw!Z90),Z87+(RU_Raw!Z90-Z87)/3,"")))</f>
        <v>145.8</v>
      </c>
      <c r="AA88" s="19">
        <f>IF(ISNUMBER(RU_Raw!AA88),RU_Raw!AA88,IF(ISNUMBER(RU_Raw!AA89),(AA87+RU_Raw!AA89)/2,IF(ISNUMBER(RU_Raw!AA90),AA87+(RU_Raw!AA90-AA87)/3,"")))</f>
        <v>150.4</v>
      </c>
      <c r="AB88" s="19">
        <f>IF(ISNUMBER(RU_Raw!AB88),RU_Raw!AB88,IF(ISNUMBER(RU_Raw!AB89),(AB87+RU_Raw!AB89)/2,IF(ISNUMBER(RU_Raw!AB90),AB87+(RU_Raw!AB90-AB87)/3,"")))</f>
        <v>129.8</v>
      </c>
      <c r="AC88" s="19">
        <f>IF(ISNUMBER(RU_Raw!AC88),RU_Raw!AC88,IF(ISNUMBER(RU_Raw!AC89),(AC87+RU_Raw!AC89)/2,IF(ISNUMBER(RU_Raw!AC90),AC87+(RU_Raw!AC90-AC87)/3,"")))</f>
        <v>142.3</v>
      </c>
      <c r="AD88" s="19">
        <f>IF(ISNUMBER(RU_Raw!AD88),RU_Raw!AD88,IF(ISNUMBER(RU_Raw!AD89),(AD87+RU_Raw!AD89)/2,IF(ISNUMBER(RU_Raw!AD90),AD87+(RU_Raw!AD90-AD87)/3,"")))</f>
        <v>155.7</v>
      </c>
      <c r="AE88" s="19">
        <f>IF(ISNUMBER(RU_Raw!AE88),RU_Raw!AE88,IF(ISNUMBER(RU_Raw!AE89),(AE87+RU_Raw!AE89)/2,IF(ISNUMBER(RU_Raw!AE90),AE87+(RU_Raw!AE90-AE87)/3,"")))</f>
        <v>140.4</v>
      </c>
      <c r="AF88" s="19">
        <f>IF(ISNUMBER(RU_Raw!AF88),RU_Raw!AF88,IF(ISNUMBER(RU_Raw!AF89),(AF87+RU_Raw!AF89)/2,IF(ISNUMBER(RU_Raw!AF90),AF87+(RU_Raw!AF90-AF87)/3,"")))</f>
        <v>142.5</v>
      </c>
      <c r="AG88" s="19">
        <f>IF(ISNUMBER(RU_Raw!AG88),RU_Raw!AG88,IF(ISNUMBER(RU_Raw!AG89),(AG87+RU_Raw!AG89)/2,IF(ISNUMBER(RU_Raw!AG90),AG87+(RU_Raw!AG90-AG87)/3,"")))</f>
        <v>150.4</v>
      </c>
      <c r="AH88" s="19">
        <f t="shared" si="3"/>
        <v>1791.1</v>
      </c>
    </row>
    <row r="89" spans="1:34">
      <c r="A89" s="6">
        <f>RU_Raw!A89</f>
        <v>2020</v>
      </c>
      <c r="B89" s="6">
        <f>RU_Raw!B89</f>
        <v>1</v>
      </c>
      <c r="C89" s="6" t="str">
        <f>RU_Raw!C89</f>
        <v>January</v>
      </c>
      <c r="D89" s="9">
        <f>RU_Raw!D89</f>
        <v>43831</v>
      </c>
      <c r="E89" s="6">
        <f>COUNTBLANK(RU_Raw!G89:AG89)</f>
        <v>0</v>
      </c>
      <c r="F89" s="6" t="str">
        <f t="shared" si="2"/>
        <v/>
      </c>
      <c r="G89" s="19">
        <f>IF(ISNUMBER(RU_Raw!G89),RU_Raw!G89,IF(ISNUMBER(RU_Raw!G90),(G88+RU_Raw!G90)/2,IF(ISNUMBER(RU_Raw!G91),G88+(RU_Raw!G91-G88)/3,"")))</f>
        <v>144.3</v>
      </c>
      <c r="H89" s="19">
        <f>IF(ISNUMBER(RU_Raw!H89),RU_Raw!H89,IF(ISNUMBER(RU_Raw!H90),(H88+RU_Raw!H90)/2,IF(ISNUMBER(RU_Raw!H91),H88+(RU_Raw!H91-H88)/3,"")))</f>
        <v>167.4</v>
      </c>
      <c r="I89" s="19">
        <f>IF(ISNUMBER(RU_Raw!I89),RU_Raw!I89,IF(ISNUMBER(RU_Raw!I90),(I88+RU_Raw!I90)/2,IF(ISNUMBER(RU_Raw!I91),I88+(RU_Raw!I91-I88)/3,"")))</f>
        <v>154.9</v>
      </c>
      <c r="J89" s="19">
        <f>IF(ISNUMBER(RU_Raw!J89),RU_Raw!J89,IF(ISNUMBER(RU_Raw!J90),(J88+RU_Raw!J90)/2,IF(ISNUMBER(RU_Raw!J91),J88+(RU_Raw!J91-J88)/3,"")))</f>
        <v>150.1</v>
      </c>
      <c r="K89" s="19">
        <f>IF(ISNUMBER(RU_Raw!K89),RU_Raw!K89,IF(ISNUMBER(RU_Raw!K90),(K88+RU_Raw!K90)/2,IF(ISNUMBER(RU_Raw!K91),K88+(RU_Raw!K91-K88)/3,"")))</f>
        <v>129.9</v>
      </c>
      <c r="L89" s="19">
        <f>IF(ISNUMBER(RU_Raw!L89),RU_Raw!L89,IF(ISNUMBER(RU_Raw!L90),(L88+RU_Raw!L90)/2,IF(ISNUMBER(RU_Raw!L91),L88+(RU_Raw!L91-L88)/3,"")))</f>
        <v>143.2</v>
      </c>
      <c r="M89" s="19">
        <f>IF(ISNUMBER(RU_Raw!M89),RU_Raw!M89,IF(ISNUMBER(RU_Raw!M90),(M88+RU_Raw!M90)/2,IF(ISNUMBER(RU_Raw!M91),M88+(RU_Raw!M91-M88)/3,"")))</f>
        <v>197</v>
      </c>
      <c r="N89" s="19">
        <f>IF(ISNUMBER(RU_Raw!N89),RU_Raw!N89,IF(ISNUMBER(RU_Raw!N90),(N88+RU_Raw!N90)/2,IF(ISNUMBER(RU_Raw!N91),N88+(RU_Raw!N91-N88)/3,"")))</f>
        <v>140.4</v>
      </c>
      <c r="O89" s="19">
        <f>IF(ISNUMBER(RU_Raw!O89),RU_Raw!O89,IF(ISNUMBER(RU_Raw!O90),(O88+RU_Raw!O90)/2,IF(ISNUMBER(RU_Raw!O91),O88+(RU_Raw!O91-O88)/3,"")))</f>
        <v>114.1</v>
      </c>
      <c r="P89" s="19">
        <f>IF(ISNUMBER(RU_Raw!P89),RU_Raw!P89,IF(ISNUMBER(RU_Raw!P90),(P88+RU_Raw!P90)/2,IF(ISNUMBER(RU_Raw!P91),P88+(RU_Raw!P91-P88)/3,"")))</f>
        <v>150.9</v>
      </c>
      <c r="Q89" s="19">
        <f>IF(ISNUMBER(RU_Raw!Q89),RU_Raw!Q89,IF(ISNUMBER(RU_Raw!Q90),(Q88+RU_Raw!Q90)/2,IF(ISNUMBER(RU_Raw!Q91),Q88+(RU_Raw!Q91-Q88)/3,"")))</f>
        <v>136.1</v>
      </c>
      <c r="R89" s="19">
        <f>IF(ISNUMBER(RU_Raw!R89),RU_Raw!R89,IF(ISNUMBER(RU_Raw!R90),(R88+RU_Raw!R90)/2,IF(ISNUMBER(RU_Raw!R91),R88+(RU_Raw!R91-R88)/3,"")))</f>
        <v>158.6</v>
      </c>
      <c r="S89" s="19">
        <f>IF(ISNUMBER(RU_Raw!S89),RU_Raw!S89,IF(ISNUMBER(RU_Raw!S90),(S88+RU_Raw!S90)/2,IF(ISNUMBER(RU_Raw!S91),S88+(RU_Raw!S91-S88)/3,"")))</f>
        <v>153.5</v>
      </c>
      <c r="T89" s="19">
        <f>IF(ISNUMBER(RU_Raw!T89),RU_Raw!T89,IF(ISNUMBER(RU_Raw!T90),(T88+RU_Raw!T90)/2,IF(ISNUMBER(RU_Raw!T91),T88+(RU_Raw!T91-T88)/3,"")))</f>
        <v>169.2</v>
      </c>
      <c r="U89" s="19">
        <f>IF(ISNUMBER(RU_Raw!U89),RU_Raw!U89,IF(ISNUMBER(RU_Raw!U90),(U88+RU_Raw!U90)/2,IF(ISNUMBER(RU_Raw!U91),U88+(RU_Raw!U91-U88)/3,"")))</f>
        <v>150.5</v>
      </c>
      <c r="V89" s="19">
        <f>IF(ISNUMBER(RU_Raw!V89),RU_Raw!V89,IF(ISNUMBER(RU_Raw!V90),(V88+RU_Raw!V90)/2,IF(ISNUMBER(RU_Raw!V91),V88+(RU_Raw!V91-V88)/3,"")))</f>
        <v>141.5</v>
      </c>
      <c r="W89" s="19">
        <f>IF(ISNUMBER(RU_Raw!W89),RU_Raw!W89,IF(ISNUMBER(RU_Raw!W90),(W88+RU_Raw!W90)/2,IF(ISNUMBER(RU_Raw!W91),W88+(RU_Raw!W91-W88)/3,"")))</f>
        <v>149.2</v>
      </c>
      <c r="X89" s="19">
        <f>IF(ISNUMBER(RU_Raw!X89),RU_Raw!X89,IF(ISNUMBER(RU_Raw!X90),(X88+RU_Raw!X90)/2,IF(ISNUMBER(RU_Raw!X91),X88+(RU_Raw!X91-X88)/3,"")))</f>
        <v>153.9</v>
      </c>
      <c r="Y89" s="19">
        <f>IF(ISNUMBER(RU_Raw!Y89),RU_Raw!Y89,IF(ISNUMBER(RU_Raw!Y90),(Y88+RU_Raw!Y90)/2,IF(ISNUMBER(RU_Raw!Y91),Y88+(RU_Raw!Y91-Y88)/3,"")))</f>
        <v>144.6</v>
      </c>
      <c r="Z89" s="19">
        <f>IF(ISNUMBER(RU_Raw!Z89),RU_Raw!Z89,IF(ISNUMBER(RU_Raw!Z90),(Z88+RU_Raw!Z90)/2,IF(ISNUMBER(RU_Raw!Z91),Z88+(RU_Raw!Z91-Z88)/3,"")))</f>
        <v>146.2</v>
      </c>
      <c r="AA89" s="19">
        <f>IF(ISNUMBER(RU_Raw!AA89),RU_Raw!AA89,IF(ISNUMBER(RU_Raw!AA90),(AA88+RU_Raw!AA90)/2,IF(ISNUMBER(RU_Raw!AA91),AA88+(RU_Raw!AA91-AA88)/3,"")))</f>
        <v>151.2</v>
      </c>
      <c r="AB89" s="19">
        <f>IF(ISNUMBER(RU_Raw!AB89),RU_Raw!AB89,IF(ISNUMBER(RU_Raw!AB90),(AB88+RU_Raw!AB90)/2,IF(ISNUMBER(RU_Raw!AB91),AB88+(RU_Raw!AB91-AB88)/3,"")))</f>
        <v>130.9</v>
      </c>
      <c r="AC89" s="19">
        <f>IF(ISNUMBER(RU_Raw!AC89),RU_Raw!AC89,IF(ISNUMBER(RU_Raw!AC90),(AC88+RU_Raw!AC90)/2,IF(ISNUMBER(RU_Raw!AC91),AC88+(RU_Raw!AC91-AC88)/3,"")))</f>
        <v>142.8</v>
      </c>
      <c r="AD89" s="19">
        <f>IF(ISNUMBER(RU_Raw!AD89),RU_Raw!AD89,IF(ISNUMBER(RU_Raw!AD90),(AD88+RU_Raw!AD90)/2,IF(ISNUMBER(RU_Raw!AD91),AD88+(RU_Raw!AD91-AD88)/3,"")))</f>
        <v>156.1</v>
      </c>
      <c r="AE89" s="19">
        <f>IF(ISNUMBER(RU_Raw!AE89),RU_Raw!AE89,IF(ISNUMBER(RU_Raw!AE90),(AE88+RU_Raw!AE90)/2,IF(ISNUMBER(RU_Raw!AE91),AE88+(RU_Raw!AE91-AE88)/3,"")))</f>
        <v>142.3</v>
      </c>
      <c r="AF89" s="19">
        <f>IF(ISNUMBER(RU_Raw!AF89),RU_Raw!AF89,IF(ISNUMBER(RU_Raw!AF90),(AF88+RU_Raw!AF90)/2,IF(ISNUMBER(RU_Raw!AF91),AF88+(RU_Raw!AF91-AF88)/3,"")))</f>
        <v>143.4</v>
      </c>
      <c r="AG89" s="19">
        <f>IF(ISNUMBER(RU_Raw!AG89),RU_Raw!AG89,IF(ISNUMBER(RU_Raw!AG90),(AG88+RU_Raw!AG90)/2,IF(ISNUMBER(RU_Raw!AG91),AG88+(RU_Raw!AG91-AG88)/3,"")))</f>
        <v>150.2</v>
      </c>
      <c r="AH89" s="19">
        <f t="shared" si="3"/>
        <v>1786.9</v>
      </c>
    </row>
    <row r="90" spans="1:34">
      <c r="A90" s="6">
        <f>RU_Raw!A90</f>
        <v>2020</v>
      </c>
      <c r="B90" s="6">
        <f>RU_Raw!B90</f>
        <v>2</v>
      </c>
      <c r="C90" s="6" t="str">
        <f>RU_Raw!C90</f>
        <v>February</v>
      </c>
      <c r="D90" s="9">
        <f>RU_Raw!D90</f>
        <v>43862</v>
      </c>
      <c r="E90" s="6">
        <f>COUNTBLANK(RU_Raw!G90:AG90)</f>
        <v>0</v>
      </c>
      <c r="F90" s="6" t="str">
        <f t="shared" si="2"/>
        <v/>
      </c>
      <c r="G90" s="19">
        <f>IF(ISNUMBER(RU_Raw!G90),RU_Raw!G90,IF(ISNUMBER(RU_Raw!G91),(G89+RU_Raw!G91)/2,IF(ISNUMBER(RU_Raw!G92),G89+(RU_Raw!G92-G89)/3,"")))</f>
        <v>144.8</v>
      </c>
      <c r="H90" s="19">
        <f>IF(ISNUMBER(RU_Raw!H90),RU_Raw!H90,IF(ISNUMBER(RU_Raw!H91),(H89+RU_Raw!H91)/2,IF(ISNUMBER(RU_Raw!H92),H89+(RU_Raw!H92-H89)/3,"")))</f>
        <v>167.5</v>
      </c>
      <c r="I90" s="19">
        <f>IF(ISNUMBER(RU_Raw!I90),RU_Raw!I90,IF(ISNUMBER(RU_Raw!I91),(I89+RU_Raw!I91)/2,IF(ISNUMBER(RU_Raw!I92),I89+(RU_Raw!I92-I89)/3,"")))</f>
        <v>151.8</v>
      </c>
      <c r="J90" s="19">
        <f>IF(ISNUMBER(RU_Raw!J90),RU_Raw!J90,IF(ISNUMBER(RU_Raw!J91),(J89+RU_Raw!J91)/2,IF(ISNUMBER(RU_Raw!J92),J89+(RU_Raw!J92-J89)/3,"")))</f>
        <v>150.8</v>
      </c>
      <c r="K90" s="19">
        <f>IF(ISNUMBER(RU_Raw!K90),RU_Raw!K90,IF(ISNUMBER(RU_Raw!K91),(K89+RU_Raw!K91)/2,IF(ISNUMBER(RU_Raw!K92),K89+(RU_Raw!K92-K89)/3,"")))</f>
        <v>131.4</v>
      </c>
      <c r="L90" s="19">
        <f>IF(ISNUMBER(RU_Raw!L90),RU_Raw!L90,IF(ISNUMBER(RU_Raw!L91),(L89+RU_Raw!L91)/2,IF(ISNUMBER(RU_Raw!L92),L89+(RU_Raw!L92-L89)/3,"")))</f>
        <v>141.8</v>
      </c>
      <c r="M90" s="19">
        <f>IF(ISNUMBER(RU_Raw!M90),RU_Raw!M90,IF(ISNUMBER(RU_Raw!M91),(M89+RU_Raw!M91)/2,IF(ISNUMBER(RU_Raw!M92),M89+(RU_Raw!M92-M89)/3,"")))</f>
        <v>170.7</v>
      </c>
      <c r="N90" s="19">
        <f>IF(ISNUMBER(RU_Raw!N90),RU_Raw!N90,IF(ISNUMBER(RU_Raw!N91),(N89+RU_Raw!N91)/2,IF(ISNUMBER(RU_Raw!N92),N89+(RU_Raw!N92-N89)/3,"")))</f>
        <v>141.1</v>
      </c>
      <c r="O90" s="19">
        <f>IF(ISNUMBER(RU_Raw!O90),RU_Raw!O90,IF(ISNUMBER(RU_Raw!O91),(O89+RU_Raw!O91)/2,IF(ISNUMBER(RU_Raw!O92),O89+(RU_Raw!O92-O89)/3,"")))</f>
        <v>113.6</v>
      </c>
      <c r="P90" s="19">
        <f>IF(ISNUMBER(RU_Raw!P90),RU_Raw!P90,IF(ISNUMBER(RU_Raw!P91),(P89+RU_Raw!P91)/2,IF(ISNUMBER(RU_Raw!P92),P89+(RU_Raw!P92-P89)/3,"")))</f>
        <v>152</v>
      </c>
      <c r="Q90" s="19">
        <f>IF(ISNUMBER(RU_Raw!Q90),RU_Raw!Q90,IF(ISNUMBER(RU_Raw!Q91),(Q89+RU_Raw!Q91)/2,IF(ISNUMBER(RU_Raw!Q92),Q89+(RU_Raw!Q92-Q89)/3,"")))</f>
        <v>136.5</v>
      </c>
      <c r="R90" s="19">
        <f>IF(ISNUMBER(RU_Raw!R90),RU_Raw!R90,IF(ISNUMBER(RU_Raw!R91),(R89+RU_Raw!R91)/2,IF(ISNUMBER(RU_Raw!R92),R89+(RU_Raw!R92-R89)/3,"")))</f>
        <v>159.1</v>
      </c>
      <c r="S90" s="19">
        <f>IF(ISNUMBER(RU_Raw!S90),RU_Raw!S90,IF(ISNUMBER(RU_Raw!S91),(S89+RU_Raw!S91)/2,IF(ISNUMBER(RU_Raw!S92),S89+(RU_Raw!S92-S89)/3,"")))</f>
        <v>150.5</v>
      </c>
      <c r="T90" s="19">
        <f>IF(ISNUMBER(RU_Raw!T90),RU_Raw!T90,IF(ISNUMBER(RU_Raw!T91),(T89+RU_Raw!T91)/2,IF(ISNUMBER(RU_Raw!T92),T89+(RU_Raw!T92-T89)/3,"")))</f>
        <v>170.1</v>
      </c>
      <c r="U90" s="19">
        <f>IF(ISNUMBER(RU_Raw!U90),RU_Raw!U90,IF(ISNUMBER(RU_Raw!U91),(U89+RU_Raw!U91)/2,IF(ISNUMBER(RU_Raw!U92),U89+(RU_Raw!U92-U89)/3,"")))</f>
        <v>150.8</v>
      </c>
      <c r="V90" s="19">
        <f>IF(ISNUMBER(RU_Raw!V90),RU_Raw!V90,IF(ISNUMBER(RU_Raw!V91),(V89+RU_Raw!V91)/2,IF(ISNUMBER(RU_Raw!V92),V89+(RU_Raw!V92-V89)/3,"")))</f>
        <v>141.7</v>
      </c>
      <c r="W90" s="19">
        <f>IF(ISNUMBER(RU_Raw!W90),RU_Raw!W90,IF(ISNUMBER(RU_Raw!W91),(W89+RU_Raw!W91)/2,IF(ISNUMBER(RU_Raw!W92),W89+(RU_Raw!W92-W89)/3,"")))</f>
        <v>149.5</v>
      </c>
      <c r="X90" s="19">
        <f>IF(ISNUMBER(RU_Raw!X90),RU_Raw!X90,IF(ISNUMBER(RU_Raw!X91),(X89+RU_Raw!X91)/2,IF(ISNUMBER(RU_Raw!X92),X89+(RU_Raw!X92-X89)/3,"")))</f>
        <v>154.8</v>
      </c>
      <c r="Y90" s="19">
        <f>IF(ISNUMBER(RU_Raw!Y90),RU_Raw!Y90,IF(ISNUMBER(RU_Raw!Y91),(Y89+RU_Raw!Y91)/2,IF(ISNUMBER(RU_Raw!Y92),Y89+(RU_Raw!Y92-Y89)/3,"")))</f>
        <v>147.2</v>
      </c>
      <c r="Z90" s="19">
        <f>IF(ISNUMBER(RU_Raw!Z90),RU_Raw!Z90,IF(ISNUMBER(RU_Raw!Z91),(Z89+RU_Raw!Z91)/2,IF(ISNUMBER(RU_Raw!Z92),Z89+(RU_Raw!Z92-Z89)/3,"")))</f>
        <v>146.4</v>
      </c>
      <c r="AA90" s="19">
        <f>IF(ISNUMBER(RU_Raw!AA90),RU_Raw!AA90,IF(ISNUMBER(RU_Raw!AA91),(AA89+RU_Raw!AA91)/2,IF(ISNUMBER(RU_Raw!AA92),AA89+(RU_Raw!AA92-AA89)/3,"")))</f>
        <v>151.7</v>
      </c>
      <c r="AB90" s="19">
        <f>IF(ISNUMBER(RU_Raw!AB90),RU_Raw!AB90,IF(ISNUMBER(RU_Raw!AB91),(AB89+RU_Raw!AB91)/2,IF(ISNUMBER(RU_Raw!AB92),AB89+(RU_Raw!AB92-AB89)/3,"")))</f>
        <v>130.3</v>
      </c>
      <c r="AC90" s="19">
        <f>IF(ISNUMBER(RU_Raw!AC90),RU_Raw!AC90,IF(ISNUMBER(RU_Raw!AC91),(AC89+RU_Raw!AC91)/2,IF(ISNUMBER(RU_Raw!AC92),AC89+(RU_Raw!AC92-AC89)/3,"")))</f>
        <v>143.2</v>
      </c>
      <c r="AD90" s="19">
        <f>IF(ISNUMBER(RU_Raw!AD90),RU_Raw!AD90,IF(ISNUMBER(RU_Raw!AD91),(AD89+RU_Raw!AD91)/2,IF(ISNUMBER(RU_Raw!AD92),AD89+(RU_Raw!AD92-AD89)/3,"")))</f>
        <v>156.2</v>
      </c>
      <c r="AE90" s="19">
        <f>IF(ISNUMBER(RU_Raw!AE90),RU_Raw!AE90,IF(ISNUMBER(RU_Raw!AE91),(AE89+RU_Raw!AE91)/2,IF(ISNUMBER(RU_Raw!AE92),AE89+(RU_Raw!AE92-AE89)/3,"")))</f>
        <v>143.4</v>
      </c>
      <c r="AF90" s="19">
        <f>IF(ISNUMBER(RU_Raw!AF90),RU_Raw!AF90,IF(ISNUMBER(RU_Raw!AF91),(AF89+RU_Raw!AF91)/2,IF(ISNUMBER(RU_Raw!AF92),AF89+(RU_Raw!AF92-AF89)/3,"")))</f>
        <v>143.6</v>
      </c>
      <c r="AG90" s="19">
        <f>IF(ISNUMBER(RU_Raw!AG90),RU_Raw!AG90,IF(ISNUMBER(RU_Raw!AG91),(AG89+RU_Raw!AG91)/2,IF(ISNUMBER(RU_Raw!AG92),AG89+(RU_Raw!AG92-AG89)/3,"")))</f>
        <v>149.1</v>
      </c>
      <c r="AH90" s="19">
        <f t="shared" si="3"/>
        <v>1761.1</v>
      </c>
    </row>
    <row r="91" spans="1:34">
      <c r="A91" s="6">
        <f>RU_Raw!A91</f>
        <v>2020</v>
      </c>
      <c r="B91" s="6">
        <f>RU_Raw!B91</f>
        <v>3</v>
      </c>
      <c r="C91" s="6" t="str">
        <f>RU_Raw!C91</f>
        <v>March</v>
      </c>
      <c r="D91" s="9">
        <f>RU_Raw!D91</f>
        <v>43891</v>
      </c>
      <c r="E91" s="6">
        <f>COUNTBLANK(RU_Raw!G91:AG91)</f>
        <v>0</v>
      </c>
      <c r="F91" s="6" t="str">
        <f t="shared" si="2"/>
        <v/>
      </c>
      <c r="G91" s="19">
        <f>IF(ISNUMBER(RU_Raw!G91),RU_Raw!G91,IF(ISNUMBER(RU_Raw!G92),(G90+RU_Raw!G92)/2,IF(ISNUMBER(RU_Raw!G93),G90+(RU_Raw!G93-G90)/3,"")))</f>
        <v>145.1</v>
      </c>
      <c r="H91" s="19">
        <f>IF(ISNUMBER(RU_Raw!H91),RU_Raw!H91,IF(ISNUMBER(RU_Raw!H92),(H90+RU_Raw!H92)/2,IF(ISNUMBER(RU_Raw!H93),H90+(RU_Raw!H93-H90)/3,"")))</f>
        <v>167</v>
      </c>
      <c r="I91" s="19">
        <f>IF(ISNUMBER(RU_Raw!I91),RU_Raw!I91,IF(ISNUMBER(RU_Raw!I92),(I90+RU_Raw!I92)/2,IF(ISNUMBER(RU_Raw!I93),I90+(RU_Raw!I93-I90)/3,"")))</f>
        <v>148.1</v>
      </c>
      <c r="J91" s="19">
        <f>IF(ISNUMBER(RU_Raw!J91),RU_Raw!J91,IF(ISNUMBER(RU_Raw!J92),(J90+RU_Raw!J92)/2,IF(ISNUMBER(RU_Raw!J93),J90+(RU_Raw!J93-J90)/3,"")))</f>
        <v>151.5</v>
      </c>
      <c r="K91" s="19">
        <f>IF(ISNUMBER(RU_Raw!K91),RU_Raw!K91,IF(ISNUMBER(RU_Raw!K92),(K90+RU_Raw!K92)/2,IF(ISNUMBER(RU_Raw!K93),K90+(RU_Raw!K93-K90)/3,"")))</f>
        <v>131.2</v>
      </c>
      <c r="L91" s="19">
        <f>IF(ISNUMBER(RU_Raw!L91),RU_Raw!L91,IF(ISNUMBER(RU_Raw!L92),(L90+RU_Raw!L92)/2,IF(ISNUMBER(RU_Raw!L93),L90+(RU_Raw!L93-L90)/3,"")))</f>
        <v>142.5</v>
      </c>
      <c r="M91" s="19">
        <f>IF(ISNUMBER(RU_Raw!M91),RU_Raw!M91,IF(ISNUMBER(RU_Raw!M92),(M90+RU_Raw!M92)/2,IF(ISNUMBER(RU_Raw!M93),M90+(RU_Raw!M93-M90)/3,"")))</f>
        <v>157.3</v>
      </c>
      <c r="N91" s="19">
        <f>IF(ISNUMBER(RU_Raw!N91),RU_Raw!N91,IF(ISNUMBER(RU_Raw!N92),(N90+RU_Raw!N92)/2,IF(ISNUMBER(RU_Raw!N93),N90+(RU_Raw!N93-N90)/3,"")))</f>
        <v>141.1</v>
      </c>
      <c r="O91" s="19">
        <f>IF(ISNUMBER(RU_Raw!O91),RU_Raw!O91,IF(ISNUMBER(RU_Raw!O92),(O90+RU_Raw!O92)/2,IF(ISNUMBER(RU_Raw!O93),O90+(RU_Raw!O93-O90)/3,"")))</f>
        <v>113.2</v>
      </c>
      <c r="P91" s="19">
        <f>IF(ISNUMBER(RU_Raw!P91),RU_Raw!P91,IF(ISNUMBER(RU_Raw!P92),(P90+RU_Raw!P92)/2,IF(ISNUMBER(RU_Raw!P93),P90+(RU_Raw!P93-P90)/3,"")))</f>
        <v>153.2</v>
      </c>
      <c r="Q91" s="19">
        <f>IF(ISNUMBER(RU_Raw!Q91),RU_Raw!Q91,IF(ISNUMBER(RU_Raw!Q92),(Q90+RU_Raw!Q92)/2,IF(ISNUMBER(RU_Raw!Q93),Q90+(RU_Raw!Q93-Q90)/3,"")))</f>
        <v>136.7</v>
      </c>
      <c r="R91" s="19">
        <f>IF(ISNUMBER(RU_Raw!R91),RU_Raw!R91,IF(ISNUMBER(RU_Raw!R92),(R90+RU_Raw!R92)/2,IF(ISNUMBER(RU_Raw!R93),R90+(RU_Raw!R93-R90)/3,"")))</f>
        <v>159.6</v>
      </c>
      <c r="S91" s="19">
        <f>IF(ISNUMBER(RU_Raw!S91),RU_Raw!S91,IF(ISNUMBER(RU_Raw!S92),(S90+RU_Raw!S92)/2,IF(ISNUMBER(RU_Raw!S93),S90+(RU_Raw!S93-S90)/3,"")))</f>
        <v>148.9</v>
      </c>
      <c r="T91" s="19">
        <f>IF(ISNUMBER(RU_Raw!T91),RU_Raw!T91,IF(ISNUMBER(RU_Raw!T92),(T90+RU_Raw!T92)/2,IF(ISNUMBER(RU_Raw!T93),T90+(RU_Raw!T93-T90)/3,"")))</f>
        <v>171.2</v>
      </c>
      <c r="U91" s="19">
        <f>IF(ISNUMBER(RU_Raw!U91),RU_Raw!U91,IF(ISNUMBER(RU_Raw!U92),(U90+RU_Raw!U92)/2,IF(ISNUMBER(RU_Raw!U93),U90+(RU_Raw!U93-U90)/3,"")))</f>
        <v>151.2</v>
      </c>
      <c r="V91" s="19">
        <f>IF(ISNUMBER(RU_Raw!V91),RU_Raw!V91,IF(ISNUMBER(RU_Raw!V92),(V90+RU_Raw!V92)/2,IF(ISNUMBER(RU_Raw!V93),V90+(RU_Raw!V93-V90)/3,"")))</f>
        <v>141.9</v>
      </c>
      <c r="W91" s="19">
        <f>IF(ISNUMBER(RU_Raw!W91),RU_Raw!W91,IF(ISNUMBER(RU_Raw!W92),(W90+RU_Raw!W92)/2,IF(ISNUMBER(RU_Raw!W93),W90+(RU_Raw!W93-W90)/3,"")))</f>
        <v>149.8</v>
      </c>
      <c r="X91" s="19">
        <f>IF(ISNUMBER(RU_Raw!X91),RU_Raw!X91,IF(ISNUMBER(RU_Raw!X92),(X90+RU_Raw!X92)/2,IF(ISNUMBER(RU_Raw!X93),X90+(RU_Raw!X93-X90)/3,"")))</f>
        <v>154.5</v>
      </c>
      <c r="Y91" s="19">
        <f>IF(ISNUMBER(RU_Raw!Y91),RU_Raw!Y91,IF(ISNUMBER(RU_Raw!Y92),(Y90+RU_Raw!Y92)/2,IF(ISNUMBER(RU_Raw!Y93),Y90+(RU_Raw!Y93-Y90)/3,"")))</f>
        <v>148.9</v>
      </c>
      <c r="Z91" s="19">
        <f>IF(ISNUMBER(RU_Raw!Z91),RU_Raw!Z91,IF(ISNUMBER(RU_Raw!Z92),(Z90+RU_Raw!Z92)/2,IF(ISNUMBER(RU_Raw!Z93),Z90+(RU_Raw!Z93-Z90)/3,"")))</f>
        <v>146.4</v>
      </c>
      <c r="AA91" s="19">
        <f>IF(ISNUMBER(RU_Raw!AA91),RU_Raw!AA91,IF(ISNUMBER(RU_Raw!AA92),(AA90+RU_Raw!AA92)/2,IF(ISNUMBER(RU_Raw!AA93),AA90+(RU_Raw!AA93-AA90)/3,"")))</f>
        <v>152.3</v>
      </c>
      <c r="AB91" s="19">
        <f>IF(ISNUMBER(RU_Raw!AB91),RU_Raw!AB91,IF(ISNUMBER(RU_Raw!AB92),(AB90+RU_Raw!AB92)/2,IF(ISNUMBER(RU_Raw!AB93),AB90+(RU_Raw!AB93-AB90)/3,"")))</f>
        <v>129.9</v>
      </c>
      <c r="AC91" s="19">
        <f>IF(ISNUMBER(RU_Raw!AC91),RU_Raw!AC91,IF(ISNUMBER(RU_Raw!AC92),(AC90+RU_Raw!AC92)/2,IF(ISNUMBER(RU_Raw!AC93),AC90+(RU_Raw!AC93-AC90)/3,"")))</f>
        <v>143.7</v>
      </c>
      <c r="AD91" s="19">
        <f>IF(ISNUMBER(RU_Raw!AD91),RU_Raw!AD91,IF(ISNUMBER(RU_Raw!AD92),(AD90+RU_Raw!AD92)/2,IF(ISNUMBER(RU_Raw!AD93),AD90+(RU_Raw!AD93-AD90)/3,"")))</f>
        <v>156.1</v>
      </c>
      <c r="AE91" s="19">
        <f>IF(ISNUMBER(RU_Raw!AE91),RU_Raw!AE91,IF(ISNUMBER(RU_Raw!AE92),(AE90+RU_Raw!AE92)/2,IF(ISNUMBER(RU_Raw!AE93),AE90+(RU_Raw!AE93-AE90)/3,"")))</f>
        <v>145.2</v>
      </c>
      <c r="AF91" s="19">
        <f>IF(ISNUMBER(RU_Raw!AF91),RU_Raw!AF91,IF(ISNUMBER(RU_Raw!AF92),(AF90+RU_Raw!AF92)/2,IF(ISNUMBER(RU_Raw!AF93),AF90+(RU_Raw!AF93-AF90)/3,"")))</f>
        <v>143.8</v>
      </c>
      <c r="AG91" s="19">
        <f>IF(ISNUMBER(RU_Raw!AG91),RU_Raw!AG91,IF(ISNUMBER(RU_Raw!AG92),(AG90+RU_Raw!AG92)/2,IF(ISNUMBER(RU_Raw!AG93),AG90+(RU_Raw!AG93-AG90)/3,"")))</f>
        <v>148.6</v>
      </c>
      <c r="AH91" s="19">
        <f t="shared" si="3"/>
        <v>1746.5</v>
      </c>
    </row>
    <row r="92" spans="1:34">
      <c r="A92" s="6">
        <f>RU_Raw!A92</f>
        <v>2020</v>
      </c>
      <c r="B92" s="6">
        <f>RU_Raw!B92</f>
        <v>4</v>
      </c>
      <c r="C92" s="6" t="str">
        <f>RU_Raw!C92</f>
        <v>April</v>
      </c>
      <c r="D92" s="9">
        <f>RU_Raw!D92</f>
        <v>43922</v>
      </c>
      <c r="E92" s="6">
        <f>COUNTBLANK(RU_Raw!G92:AG92)</f>
        <v>13</v>
      </c>
      <c r="F92" s="6" t="str">
        <f t="shared" si="2"/>
        <v>Imputed</v>
      </c>
      <c r="G92" s="19">
        <f>IF(ISNUMBER(RU_Raw!G92),RU_Raw!G92,IF(ISNUMBER(RU_Raw!G93),(G91+RU_Raw!G93)/2,IF(ISNUMBER(RU_Raw!G94),G91+(RU_Raw!G94-G91)/3,"")))</f>
        <v>148.7</v>
      </c>
      <c r="H92" s="19">
        <f>IF(ISNUMBER(RU_Raw!H92),RU_Raw!H92,IF(ISNUMBER(RU_Raw!H93),(H91+RU_Raw!H93)/2,IF(ISNUMBER(RU_Raw!H94),H91+(RU_Raw!H94-H91)/3,"")))</f>
        <v>175.566666666667</v>
      </c>
      <c r="I92" s="19">
        <f>IF(ISNUMBER(RU_Raw!I92),RU_Raw!I92,IF(ISNUMBER(RU_Raw!I93),(I91+RU_Raw!I93)/2,IF(ISNUMBER(RU_Raw!I94),I91+(RU_Raw!I94-I91)/3,"")))</f>
        <v>148.8</v>
      </c>
      <c r="J92" s="19">
        <f>IF(ISNUMBER(RU_Raw!J92),RU_Raw!J92,IF(ISNUMBER(RU_Raw!J93),(J91+RU_Raw!J93)/2,IF(ISNUMBER(RU_Raw!J94),J91+(RU_Raw!J94-J91)/3,"")))</f>
        <v>155.6</v>
      </c>
      <c r="K92" s="19">
        <f>IF(ISNUMBER(RU_Raw!K92),RU_Raw!K92,IF(ISNUMBER(RU_Raw!K93),(K91+RU_Raw!K93)/2,IF(ISNUMBER(RU_Raw!K94),K91+(RU_Raw!K94-K91)/3,"")))</f>
        <v>135.1</v>
      </c>
      <c r="L92" s="19">
        <f>IF(ISNUMBER(RU_Raw!L92),RU_Raw!L92,IF(ISNUMBER(RU_Raw!L93),(L91+RU_Raw!L93)/2,IF(ISNUMBER(RU_Raw!L94),L91+(RU_Raw!L94-L91)/3,"")))</f>
        <v>149.9</v>
      </c>
      <c r="M92" s="19">
        <f>IF(ISNUMBER(RU_Raw!M92),RU_Raw!M92,IF(ISNUMBER(RU_Raw!M93),(M91+RU_Raw!M93)/2,IF(ISNUMBER(RU_Raw!M94),M91+(RU_Raw!M94-M91)/3,"")))</f>
        <v>168.6</v>
      </c>
      <c r="N92" s="19">
        <f>IF(ISNUMBER(RU_Raw!N92),RU_Raw!N92,IF(ISNUMBER(RU_Raw!N93),(N91+RU_Raw!N93)/2,IF(ISNUMBER(RU_Raw!N94),N91+(RU_Raw!N94-N91)/3,"")))</f>
        <v>150.4</v>
      </c>
      <c r="O92" s="19">
        <f>IF(ISNUMBER(RU_Raw!O92),RU_Raw!O92,IF(ISNUMBER(RU_Raw!O93),(O91+RU_Raw!O93)/2,IF(ISNUMBER(RU_Raw!O94),O91+(RU_Raw!O94-O91)/3,"")))</f>
        <v>120.3</v>
      </c>
      <c r="P92" s="19">
        <f>IF(ISNUMBER(RU_Raw!P92),RU_Raw!P92,IF(ISNUMBER(RU_Raw!P93),(P91+RU_Raw!P93)/2,IF(ISNUMBER(RU_Raw!P94),P91+(RU_Raw!P94-P91)/3,"")))</f>
        <v>157.1</v>
      </c>
      <c r="Q92" s="19">
        <f>IF(ISNUMBER(RU_Raw!Q92),RU_Raw!Q92,IF(ISNUMBER(RU_Raw!Q93),(Q91+RU_Raw!Q93)/2,IF(ISNUMBER(RU_Raw!Q94),Q91+(RU_Raw!Q94-Q91)/3,"")))</f>
        <v>136.8</v>
      </c>
      <c r="R92" s="19">
        <f>IF(ISNUMBER(RU_Raw!R92),RU_Raw!R92,IF(ISNUMBER(RU_Raw!R93),(R91+RU_Raw!R93)/2,IF(ISNUMBER(RU_Raw!R94),R91+(RU_Raw!R94-R91)/3,"")))</f>
        <v>160.333333333333</v>
      </c>
      <c r="S92" s="19">
        <f>IF(ISNUMBER(RU_Raw!S92),RU_Raw!S92,IF(ISNUMBER(RU_Raw!S93),(S91+RU_Raw!S93)/2,IF(ISNUMBER(RU_Raw!S94),S91+(RU_Raw!S94-S91)/3,"")))</f>
        <v>151.4</v>
      </c>
      <c r="T92" s="19">
        <f>IF(ISNUMBER(RU_Raw!T92),RU_Raw!T92,IF(ISNUMBER(RU_Raw!T93),(T91+RU_Raw!T93)/2,IF(ISNUMBER(RU_Raw!T94),T91+(RU_Raw!T94-T91)/3,"")))</f>
        <v>175.3</v>
      </c>
      <c r="U92" s="19">
        <f>IF(ISNUMBER(RU_Raw!U92),RU_Raw!U92,IF(ISNUMBER(RU_Raw!U93),(U91+RU_Raw!U93)/2,IF(ISNUMBER(RU_Raw!U94),U91+(RU_Raw!U94-U91)/3,"")))</f>
        <v>151.633333333333</v>
      </c>
      <c r="V92" s="19">
        <f>IF(ISNUMBER(RU_Raw!V92),RU_Raw!V92,IF(ISNUMBER(RU_Raw!V93),(V91+RU_Raw!V93)/2,IF(ISNUMBER(RU_Raw!V94),V91+(RU_Raw!V94-V91)/3,"")))</f>
        <v>142.733333333333</v>
      </c>
      <c r="W92" s="19">
        <f>IF(ISNUMBER(RU_Raw!W92),RU_Raw!W92,IF(ISNUMBER(RU_Raw!W93),(W91+RU_Raw!W93)/2,IF(ISNUMBER(RU_Raw!W94),W91+(RU_Raw!W94-W91)/3,"")))</f>
        <v>150.333333333333</v>
      </c>
      <c r="X92" s="19">
        <f>IF(ISNUMBER(RU_Raw!X92),RU_Raw!X92,IF(ISNUMBER(RU_Raw!X93),(X91+RU_Raw!X93)/2,IF(ISNUMBER(RU_Raw!X94),X91+(RU_Raw!X94-X91)/3,"")))</f>
        <v>155.6</v>
      </c>
      <c r="Y92" s="19">
        <f>IF(ISNUMBER(RU_Raw!Y92),RU_Raw!Y92,IF(ISNUMBER(RU_Raw!Y93),(Y91+RU_Raw!Y93)/2,IF(ISNUMBER(RU_Raw!Y94),Y91+(RU_Raw!Y94-Y91)/3,"")))</f>
        <v>144.1</v>
      </c>
      <c r="Z92" s="19">
        <f>IF(ISNUMBER(RU_Raw!Z92),RU_Raw!Z92,IF(ISNUMBER(RU_Raw!Z93),(Z91+RU_Raw!Z93)/2,IF(ISNUMBER(RU_Raw!Z94),Z91+(RU_Raw!Z94-Z91)/3,"")))</f>
        <v>146.4</v>
      </c>
      <c r="AA92" s="19">
        <f>IF(ISNUMBER(RU_Raw!AA92),RU_Raw!AA92,IF(ISNUMBER(RU_Raw!AA93),(AA91+RU_Raw!AA93)/2,IF(ISNUMBER(RU_Raw!AA94),AA91+(RU_Raw!AA94-AA91)/3,"")))</f>
        <v>150.7</v>
      </c>
      <c r="AB92" s="19">
        <f>IF(ISNUMBER(RU_Raw!AB92),RU_Raw!AB92,IF(ISNUMBER(RU_Raw!AB93),(AB91+RU_Raw!AB93)/2,IF(ISNUMBER(RU_Raw!AB94),AB91+(RU_Raw!AB94-AB91)/3,"")))</f>
        <v>131.6</v>
      </c>
      <c r="AC92" s="19">
        <f>IF(ISNUMBER(RU_Raw!AC92),RU_Raw!AC92,IF(ISNUMBER(RU_Raw!AC93),(AC91+RU_Raw!AC93)/2,IF(ISNUMBER(RU_Raw!AC94),AC91+(RU_Raw!AC94-AC91)/3,"")))</f>
        <v>145.233333333333</v>
      </c>
      <c r="AD92" s="19">
        <f>IF(ISNUMBER(RU_Raw!AD92),RU_Raw!AD92,IF(ISNUMBER(RU_Raw!AD93),(AD91+RU_Raw!AD93)/2,IF(ISNUMBER(RU_Raw!AD94),AD91+(RU_Raw!AD94-AD91)/3,"")))</f>
        <v>156.2</v>
      </c>
      <c r="AE92" s="19">
        <f>IF(ISNUMBER(RU_Raw!AE92),RU_Raw!AE92,IF(ISNUMBER(RU_Raw!AE93),(AE91+RU_Raw!AE93)/2,IF(ISNUMBER(RU_Raw!AE94),AE91+(RU_Raw!AE94-AE91)/3,"")))</f>
        <v>147.333333333333</v>
      </c>
      <c r="AF92" s="19">
        <f>IF(ISNUMBER(RU_Raw!AF92),RU_Raw!AF92,IF(ISNUMBER(RU_Raw!AF93),(AF91+RU_Raw!AF93)/2,IF(ISNUMBER(RU_Raw!AF94),AF91+(RU_Raw!AF94-AF91)/3,"")))</f>
        <v>144.866666666667</v>
      </c>
      <c r="AG92" s="19">
        <f>IF(ISNUMBER(RU_Raw!AG92),RU_Raw!AG92,IF(ISNUMBER(RU_Raw!AG93),(AG91+RU_Raw!AG93)/2,IF(ISNUMBER(RU_Raw!AG94),AG91+(RU_Raw!AG94-AG91)/3,"")))</f>
        <v>149.666666666667</v>
      </c>
      <c r="AH92" s="19">
        <f t="shared" si="3"/>
        <v>1807.2</v>
      </c>
    </row>
    <row r="93" spans="1:34">
      <c r="A93" s="6">
        <f>RU_Raw!A93</f>
        <v>2020</v>
      </c>
      <c r="B93" s="6">
        <f>RU_Raw!B93</f>
        <v>5</v>
      </c>
      <c r="C93" s="6" t="str">
        <f>RU_Raw!C93</f>
        <v>May</v>
      </c>
      <c r="D93" s="9">
        <f>RU_Raw!D93</f>
        <v>43952</v>
      </c>
      <c r="E93" s="6">
        <f>COUNTBLANK(RU_Raw!G93:AG93)</f>
        <v>27</v>
      </c>
      <c r="F93" s="6" t="str">
        <f t="shared" si="2"/>
        <v>Imputed</v>
      </c>
      <c r="G93" s="19">
        <f>IF(ISNUMBER(RU_Raw!G93),RU_Raw!G93,IF(ISNUMBER(RU_Raw!G94),(G92+RU_Raw!G94)/2,IF(ISNUMBER(RU_Raw!G95),G92+(RU_Raw!G95-G92)/3,"")))</f>
        <v>149.15</v>
      </c>
      <c r="H93" s="19">
        <f>IF(ISNUMBER(RU_Raw!H93),RU_Raw!H93,IF(ISNUMBER(RU_Raw!H94),(H92+RU_Raw!H94)/2,IF(ISNUMBER(RU_Raw!H95),H92+(RU_Raw!H95-H92)/3,"")))</f>
        <v>184.133333333333</v>
      </c>
      <c r="I93" s="19">
        <f>IF(ISNUMBER(RU_Raw!I93),RU_Raw!I93,IF(ISNUMBER(RU_Raw!I94),(I92+RU_Raw!I94)/2,IF(ISNUMBER(RU_Raw!I95),I92+(RU_Raw!I95-I92)/3,"")))</f>
        <v>150.1</v>
      </c>
      <c r="J93" s="19">
        <f>IF(ISNUMBER(RU_Raw!J93),RU_Raw!J93,IF(ISNUMBER(RU_Raw!J94),(J92+RU_Raw!J94)/2,IF(ISNUMBER(RU_Raw!J95),J92+(RU_Raw!J95-J92)/3,"")))</f>
        <v>154.45</v>
      </c>
      <c r="K93" s="19">
        <f>IF(ISNUMBER(RU_Raw!K93),RU_Raw!K93,IF(ISNUMBER(RU_Raw!K94),(K92+RU_Raw!K94)/2,IF(ISNUMBER(RU_Raw!K95),K92+(RU_Raw!K95-K92)/3,"")))</f>
        <v>135.7</v>
      </c>
      <c r="L93" s="19">
        <f>IF(ISNUMBER(RU_Raw!L93),RU_Raw!L93,IF(ISNUMBER(RU_Raw!L94),(L92+RU_Raw!L94)/2,IF(ISNUMBER(RU_Raw!L95),L92+(RU_Raw!L95-L92)/3,"")))</f>
        <v>148.55</v>
      </c>
      <c r="M93" s="19">
        <f>IF(ISNUMBER(RU_Raw!M93),RU_Raw!M93,IF(ISNUMBER(RU_Raw!M94),(M92+RU_Raw!M94)/2,IF(ISNUMBER(RU_Raw!M95),M92+(RU_Raw!M95-M92)/3,"")))</f>
        <v>162.55</v>
      </c>
      <c r="N93" s="19">
        <f>IF(ISNUMBER(RU_Raw!N93),RU_Raw!N93,IF(ISNUMBER(RU_Raw!N94),(N92+RU_Raw!N94)/2,IF(ISNUMBER(RU_Raw!N95),N92+(RU_Raw!N95-N92)/3,"")))</f>
        <v>150.65</v>
      </c>
      <c r="O93" s="19">
        <f>IF(ISNUMBER(RU_Raw!O93),RU_Raw!O93,IF(ISNUMBER(RU_Raw!O94),(O92+RU_Raw!O94)/2,IF(ISNUMBER(RU_Raw!O95),O92+(RU_Raw!O95-O92)/3,"")))</f>
        <v>117.25</v>
      </c>
      <c r="P93" s="19">
        <f>IF(ISNUMBER(RU_Raw!P93),RU_Raw!P93,IF(ISNUMBER(RU_Raw!P94),(P92+RU_Raw!P94)/2,IF(ISNUMBER(RU_Raw!P95),P92+(RU_Raw!P95-P92)/3,"")))</f>
        <v>158.3</v>
      </c>
      <c r="Q93" s="19">
        <f>IF(ISNUMBER(RU_Raw!Q93),RU_Raw!Q93,IF(ISNUMBER(RU_Raw!Q94),(Q92+RU_Raw!Q94)/2,IF(ISNUMBER(RU_Raw!Q95),Q92+(RU_Raw!Q95-Q92)/3,"")))</f>
        <v>138.1</v>
      </c>
      <c r="R93" s="19">
        <f>IF(ISNUMBER(RU_Raw!R93),RU_Raw!R93,IF(ISNUMBER(RU_Raw!R94),(R92+RU_Raw!R94)/2,IF(ISNUMBER(RU_Raw!R95),R92+(RU_Raw!R95-R92)/3,"")))</f>
        <v>161.066666666667</v>
      </c>
      <c r="S93" s="19">
        <f>IF(ISNUMBER(RU_Raw!S93),RU_Raw!S93,IF(ISNUMBER(RU_Raw!S94),(S92+RU_Raw!S94)/2,IF(ISNUMBER(RU_Raw!S95),S92+(RU_Raw!S95-S92)/3,"")))</f>
        <v>152.7</v>
      </c>
      <c r="T93" s="19">
        <f>IF(ISNUMBER(RU_Raw!T93),RU_Raw!T93,IF(ISNUMBER(RU_Raw!T94),(T92+RU_Raw!T94)/2,IF(ISNUMBER(RU_Raw!T95),T92+(RU_Raw!T95-T92)/3,"")))</f>
        <v>179.4</v>
      </c>
      <c r="U93" s="19">
        <f>IF(ISNUMBER(RU_Raw!U93),RU_Raw!U93,IF(ISNUMBER(RU_Raw!U94),(U92+RU_Raw!U94)/2,IF(ISNUMBER(RU_Raw!U95),U92+(RU_Raw!U95-U92)/3,"")))</f>
        <v>152.066666666667</v>
      </c>
      <c r="V93" s="19">
        <f>IF(ISNUMBER(RU_Raw!V93),RU_Raw!V93,IF(ISNUMBER(RU_Raw!V94),(V92+RU_Raw!V94)/2,IF(ISNUMBER(RU_Raw!V95),V92+(RU_Raw!V95-V92)/3,"")))</f>
        <v>143.566666666667</v>
      </c>
      <c r="W93" s="19">
        <f>IF(ISNUMBER(RU_Raw!W93),RU_Raw!W93,IF(ISNUMBER(RU_Raw!W94),(W92+RU_Raw!W94)/2,IF(ISNUMBER(RU_Raw!W95),W92+(RU_Raw!W95-W92)/3,"")))</f>
        <v>150.866666666667</v>
      </c>
      <c r="X93" s="19">
        <f>IF(ISNUMBER(RU_Raw!X93),RU_Raw!X93,IF(ISNUMBER(RU_Raw!X94),(X92+RU_Raw!X94)/2,IF(ISNUMBER(RU_Raw!X95),X92+(RU_Raw!X95-X92)/3,"")))</f>
        <v>155.15</v>
      </c>
      <c r="Y93" s="19">
        <f>IF(ISNUMBER(RU_Raw!Y93),RU_Raw!Y93,IF(ISNUMBER(RU_Raw!Y94),(Y92+RU_Raw!Y94)/2,IF(ISNUMBER(RU_Raw!Y95),Y92+(RU_Raw!Y95-Y92)/3,"")))</f>
        <v>143</v>
      </c>
      <c r="Z93" s="19">
        <f>IF(ISNUMBER(RU_Raw!Z93),RU_Raw!Z93,IF(ISNUMBER(RU_Raw!Z94),(Z92+RU_Raw!Z94)/2,IF(ISNUMBER(RU_Raw!Z95),Z92+(RU_Raw!Z95-Z92)/3,"")))</f>
        <v>146.4</v>
      </c>
      <c r="AA93" s="19">
        <f>IF(ISNUMBER(RU_Raw!AA93),RU_Raw!AA93,IF(ISNUMBER(RU_Raw!AA94),(AA92+RU_Raw!AA94)/2,IF(ISNUMBER(RU_Raw!AA95),AA92+(RU_Raw!AA95-AA92)/3,"")))</f>
        <v>152.55</v>
      </c>
      <c r="AB93" s="19">
        <f>IF(ISNUMBER(RU_Raw!AB93),RU_Raw!AB93,IF(ISNUMBER(RU_Raw!AB94),(AB92+RU_Raw!AB94)/2,IF(ISNUMBER(RU_Raw!AB95),AB92+(RU_Raw!AB95-AB92)/3,"")))</f>
        <v>133.3</v>
      </c>
      <c r="AC93" s="19">
        <f>IF(ISNUMBER(RU_Raw!AC93),RU_Raw!AC93,IF(ISNUMBER(RU_Raw!AC94),(AC92+RU_Raw!AC94)/2,IF(ISNUMBER(RU_Raw!AC95),AC92+(RU_Raw!AC95-AC92)/3,"")))</f>
        <v>146.766666666667</v>
      </c>
      <c r="AD93" s="19">
        <f>IF(ISNUMBER(RU_Raw!AD93),RU_Raw!AD93,IF(ISNUMBER(RU_Raw!AD94),(AD92+RU_Raw!AD94)/2,IF(ISNUMBER(RU_Raw!AD95),AD92+(RU_Raw!AD95-AD92)/3,"")))</f>
        <v>156.3</v>
      </c>
      <c r="AE93" s="19">
        <f>IF(ISNUMBER(RU_Raw!AE93),RU_Raw!AE93,IF(ISNUMBER(RU_Raw!AE94),(AE92+RU_Raw!AE94)/2,IF(ISNUMBER(RU_Raw!AE95),AE92+(RU_Raw!AE95-AE92)/3,"")))</f>
        <v>149.466666666667</v>
      </c>
      <c r="AF93" s="19">
        <f>IF(ISNUMBER(RU_Raw!AF93),RU_Raw!AF93,IF(ISNUMBER(RU_Raw!AF94),(AF92+RU_Raw!AF94)/2,IF(ISNUMBER(RU_Raw!AF95),AF92+(RU_Raw!AF95-AF92)/3,"")))</f>
        <v>145.933333333333</v>
      </c>
      <c r="AG93" s="19">
        <f>IF(ISNUMBER(RU_Raw!AG93),RU_Raw!AG93,IF(ISNUMBER(RU_Raw!AG94),(AG92+RU_Raw!AG94)/2,IF(ISNUMBER(RU_Raw!AG95),AG92+(RU_Raw!AG95-AG92)/3,"")))</f>
        <v>150.733333333333</v>
      </c>
      <c r="AH93" s="19">
        <f t="shared" si="3"/>
        <v>1810</v>
      </c>
    </row>
    <row r="94" spans="1:34">
      <c r="A94" s="6">
        <f>RU_Raw!A94</f>
        <v>2020</v>
      </c>
      <c r="B94" s="6">
        <f>RU_Raw!B94</f>
        <v>6</v>
      </c>
      <c r="C94" s="6" t="str">
        <f>RU_Raw!C94</f>
        <v>June</v>
      </c>
      <c r="D94" s="9">
        <f>RU_Raw!D94</f>
        <v>43983</v>
      </c>
      <c r="E94" s="6">
        <f>COUNTBLANK(RU_Raw!G94:AG94)</f>
        <v>0</v>
      </c>
      <c r="F94" s="6" t="str">
        <f t="shared" si="2"/>
        <v/>
      </c>
      <c r="G94" s="19">
        <f>IF(ISNUMBER(RU_Raw!G94),RU_Raw!G94,IF(ISNUMBER(RU_Raw!G95),(G93+RU_Raw!G95)/2,IF(ISNUMBER(RU_Raw!G96),G93+(RU_Raw!G96-G93)/3,"")))</f>
        <v>149.6</v>
      </c>
      <c r="H94" s="19">
        <f>IF(ISNUMBER(RU_Raw!H94),RU_Raw!H94,IF(ISNUMBER(RU_Raw!H95),(H93+RU_Raw!H95)/2,IF(ISNUMBER(RU_Raw!H96),H93+(RU_Raw!H96-H93)/3,"")))</f>
        <v>192.7</v>
      </c>
      <c r="I94" s="19">
        <f>IF(ISNUMBER(RU_Raw!I94),RU_Raw!I94,IF(ISNUMBER(RU_Raw!I95),(I93+RU_Raw!I95)/2,IF(ISNUMBER(RU_Raw!I96),I93+(RU_Raw!I96-I93)/3,"")))</f>
        <v>151.4</v>
      </c>
      <c r="J94" s="19">
        <f>IF(ISNUMBER(RU_Raw!J94),RU_Raw!J94,IF(ISNUMBER(RU_Raw!J95),(J93+RU_Raw!J95)/2,IF(ISNUMBER(RU_Raw!J96),J93+(RU_Raw!J96-J93)/3,"")))</f>
        <v>153.3</v>
      </c>
      <c r="K94" s="19">
        <f>IF(ISNUMBER(RU_Raw!K94),RU_Raw!K94,IF(ISNUMBER(RU_Raw!K95),(K93+RU_Raw!K95)/2,IF(ISNUMBER(RU_Raw!K96),K93+(RU_Raw!K96-K93)/3,"")))</f>
        <v>136.3</v>
      </c>
      <c r="L94" s="19">
        <f>IF(ISNUMBER(RU_Raw!L94),RU_Raw!L94,IF(ISNUMBER(RU_Raw!L95),(L93+RU_Raw!L95)/2,IF(ISNUMBER(RU_Raw!L96),L93+(RU_Raw!L96-L93)/3,"")))</f>
        <v>147.2</v>
      </c>
      <c r="M94" s="19">
        <f>IF(ISNUMBER(RU_Raw!M94),RU_Raw!M94,IF(ISNUMBER(RU_Raw!M95),(M93+RU_Raw!M95)/2,IF(ISNUMBER(RU_Raw!M96),M93+(RU_Raw!M96-M93)/3,"")))</f>
        <v>156.5</v>
      </c>
      <c r="N94" s="19">
        <f>IF(ISNUMBER(RU_Raw!N94),RU_Raw!N94,IF(ISNUMBER(RU_Raw!N95),(N93+RU_Raw!N95)/2,IF(ISNUMBER(RU_Raw!N96),N93+(RU_Raw!N96-N93)/3,"")))</f>
        <v>150.9</v>
      </c>
      <c r="O94" s="19">
        <f>IF(ISNUMBER(RU_Raw!O94),RU_Raw!O94,IF(ISNUMBER(RU_Raw!O95),(O93+RU_Raw!O95)/2,IF(ISNUMBER(RU_Raw!O96),O93+(RU_Raw!O96-O93)/3,"")))</f>
        <v>114.2</v>
      </c>
      <c r="P94" s="19">
        <f>IF(ISNUMBER(RU_Raw!P94),RU_Raw!P94,IF(ISNUMBER(RU_Raw!P95),(P93+RU_Raw!P95)/2,IF(ISNUMBER(RU_Raw!P96),P93+(RU_Raw!P96-P93)/3,"")))</f>
        <v>159.5</v>
      </c>
      <c r="Q94" s="19">
        <f>IF(ISNUMBER(RU_Raw!Q94),RU_Raw!Q94,IF(ISNUMBER(RU_Raw!Q95),(Q93+RU_Raw!Q95)/2,IF(ISNUMBER(RU_Raw!Q96),Q93+(RU_Raw!Q96-Q93)/3,"")))</f>
        <v>139.4</v>
      </c>
      <c r="R94" s="19">
        <f>IF(ISNUMBER(RU_Raw!R94),RU_Raw!R94,IF(ISNUMBER(RU_Raw!R95),(R93+RU_Raw!R95)/2,IF(ISNUMBER(RU_Raw!R96),R93+(RU_Raw!R96-R93)/3,"")))</f>
        <v>161.8</v>
      </c>
      <c r="S94" s="19">
        <f>IF(ISNUMBER(RU_Raw!S94),RU_Raw!S94,IF(ISNUMBER(RU_Raw!S95),(S93+RU_Raw!S95)/2,IF(ISNUMBER(RU_Raw!S96),S93+(RU_Raw!S96-S93)/3,"")))</f>
        <v>154</v>
      </c>
      <c r="T94" s="19">
        <f>IF(ISNUMBER(RU_Raw!T94),RU_Raw!T94,IF(ISNUMBER(RU_Raw!T95),(T93+RU_Raw!T95)/2,IF(ISNUMBER(RU_Raw!T96),T93+(RU_Raw!T96-T93)/3,"")))</f>
        <v>183.5</v>
      </c>
      <c r="U94" s="19">
        <f>IF(ISNUMBER(RU_Raw!U94),RU_Raw!U94,IF(ISNUMBER(RU_Raw!U95),(U93+RU_Raw!U95)/2,IF(ISNUMBER(RU_Raw!U96),U93+(RU_Raw!U96-U93)/3,"")))</f>
        <v>152.5</v>
      </c>
      <c r="V94" s="19">
        <f>IF(ISNUMBER(RU_Raw!V94),RU_Raw!V94,IF(ISNUMBER(RU_Raw!V95),(V93+RU_Raw!V95)/2,IF(ISNUMBER(RU_Raw!V96),V93+(RU_Raw!V96-V93)/3,"")))</f>
        <v>144.4</v>
      </c>
      <c r="W94" s="19">
        <f>IF(ISNUMBER(RU_Raw!W94),RU_Raw!W94,IF(ISNUMBER(RU_Raw!W95),(W93+RU_Raw!W95)/2,IF(ISNUMBER(RU_Raw!W96),W93+(RU_Raw!W96-W93)/3,"")))</f>
        <v>151.4</v>
      </c>
      <c r="X94" s="19">
        <f>IF(ISNUMBER(RU_Raw!X94),RU_Raw!X94,IF(ISNUMBER(RU_Raw!X95),(X93+RU_Raw!X95)/2,IF(ISNUMBER(RU_Raw!X96),X93+(RU_Raw!X96-X93)/3,"")))</f>
        <v>154.7</v>
      </c>
      <c r="Y94" s="19">
        <f>IF(ISNUMBER(RU_Raw!Y94),RU_Raw!Y94,IF(ISNUMBER(RU_Raw!Y95),(Y93+RU_Raw!Y95)/2,IF(ISNUMBER(RU_Raw!Y96),Y93+(RU_Raw!Y96-Y93)/3,"")))</f>
        <v>141.9</v>
      </c>
      <c r="Z94" s="19">
        <f>IF(ISNUMBER(RU_Raw!Z94),RU_Raw!Z94,IF(ISNUMBER(RU_Raw!Z95),(Z93+RU_Raw!Z95)/2,IF(ISNUMBER(RU_Raw!Z96),Z93+(RU_Raw!Z96-Z93)/3,"")))</f>
        <v>146.4</v>
      </c>
      <c r="AA94" s="19">
        <f>IF(ISNUMBER(RU_Raw!AA94),RU_Raw!AA94,IF(ISNUMBER(RU_Raw!AA95),(AA93+RU_Raw!AA95)/2,IF(ISNUMBER(RU_Raw!AA96),AA93+(RU_Raw!AA96-AA93)/3,"")))</f>
        <v>154.4</v>
      </c>
      <c r="AB94" s="19">
        <f>IF(ISNUMBER(RU_Raw!AB94),RU_Raw!AB94,IF(ISNUMBER(RU_Raw!AB95),(AB93+RU_Raw!AB95)/2,IF(ISNUMBER(RU_Raw!AB96),AB93+(RU_Raw!AB96-AB93)/3,"")))</f>
        <v>135</v>
      </c>
      <c r="AC94" s="19">
        <f>IF(ISNUMBER(RU_Raw!AC94),RU_Raw!AC94,IF(ISNUMBER(RU_Raw!AC95),(AC93+RU_Raw!AC95)/2,IF(ISNUMBER(RU_Raw!AC96),AC93+(RU_Raw!AC96-AC93)/3,"")))</f>
        <v>148.3</v>
      </c>
      <c r="AD94" s="19">
        <f>IF(ISNUMBER(RU_Raw!AD94),RU_Raw!AD94,IF(ISNUMBER(RU_Raw!AD95),(AD93+RU_Raw!AD95)/2,IF(ISNUMBER(RU_Raw!AD96),AD93+(RU_Raw!AD96-AD93)/3,"")))</f>
        <v>156.4</v>
      </c>
      <c r="AE94" s="19">
        <f>IF(ISNUMBER(RU_Raw!AE94),RU_Raw!AE94,IF(ISNUMBER(RU_Raw!AE95),(AE93+RU_Raw!AE95)/2,IF(ISNUMBER(RU_Raw!AE96),AE93+(RU_Raw!AE96-AE93)/3,"")))</f>
        <v>151.6</v>
      </c>
      <c r="AF94" s="19">
        <f>IF(ISNUMBER(RU_Raw!AF94),RU_Raw!AF94,IF(ISNUMBER(RU_Raw!AF95),(AF93+RU_Raw!AF95)/2,IF(ISNUMBER(RU_Raw!AF96),AF93+(RU_Raw!AF96-AF93)/3,"")))</f>
        <v>147</v>
      </c>
      <c r="AG94" s="19">
        <f>IF(ISNUMBER(RU_Raw!AG94),RU_Raw!AG94,IF(ISNUMBER(RU_Raw!AG95),(AG93+RU_Raw!AG95)/2,IF(ISNUMBER(RU_Raw!AG96),AG93+(RU_Raw!AG96-AG93)/3,"")))</f>
        <v>151.8</v>
      </c>
      <c r="AH94" s="19">
        <f t="shared" si="3"/>
        <v>1812.8</v>
      </c>
    </row>
    <row r="95" spans="1:34">
      <c r="A95" s="6">
        <f>RU_Raw!A95</f>
        <v>2020</v>
      </c>
      <c r="B95" s="6">
        <f>RU_Raw!B95</f>
        <v>7</v>
      </c>
      <c r="C95" s="6" t="str">
        <f>RU_Raw!C95</f>
        <v>July</v>
      </c>
      <c r="D95" s="9">
        <f>RU_Raw!D95</f>
        <v>44013</v>
      </c>
      <c r="E95" s="6">
        <f>COUNTBLANK(RU_Raw!G95:AG95)</f>
        <v>0</v>
      </c>
      <c r="F95" s="6" t="str">
        <f t="shared" si="2"/>
        <v/>
      </c>
      <c r="G95" s="19">
        <f>IF(ISNUMBER(RU_Raw!G95),RU_Raw!G95,IF(ISNUMBER(RU_Raw!G96),(G94+RU_Raw!G96)/2,IF(ISNUMBER(RU_Raw!G97),G94+(RU_Raw!G97-G94)/3,"")))</f>
        <v>149.6</v>
      </c>
      <c r="H95" s="19">
        <f>IF(ISNUMBER(RU_Raw!H95),RU_Raw!H95,IF(ISNUMBER(RU_Raw!H96),(H94+RU_Raw!H96)/2,IF(ISNUMBER(RU_Raw!H97),H94+(RU_Raw!H97-H94)/3,"")))</f>
        <v>192.7</v>
      </c>
      <c r="I95" s="19">
        <f>IF(ISNUMBER(RU_Raw!I95),RU_Raw!I95,IF(ISNUMBER(RU_Raw!I96),(I94+RU_Raw!I96)/2,IF(ISNUMBER(RU_Raw!I97),I94+(RU_Raw!I97-I94)/3,"")))</f>
        <v>151.4</v>
      </c>
      <c r="J95" s="19">
        <f>IF(ISNUMBER(RU_Raw!J95),RU_Raw!J95,IF(ISNUMBER(RU_Raw!J96),(J94+RU_Raw!J96)/2,IF(ISNUMBER(RU_Raw!J97),J94+(RU_Raw!J97-J94)/3,"")))</f>
        <v>153.3</v>
      </c>
      <c r="K95" s="19">
        <f>IF(ISNUMBER(RU_Raw!K95),RU_Raw!K95,IF(ISNUMBER(RU_Raw!K96),(K94+RU_Raw!K96)/2,IF(ISNUMBER(RU_Raw!K97),K94+(RU_Raw!K97-K94)/3,"")))</f>
        <v>136.3</v>
      </c>
      <c r="L95" s="19">
        <f>IF(ISNUMBER(RU_Raw!L95),RU_Raw!L95,IF(ISNUMBER(RU_Raw!L96),(L94+RU_Raw!L96)/2,IF(ISNUMBER(RU_Raw!L97),L94+(RU_Raw!L97-L94)/3,"")))</f>
        <v>147.2</v>
      </c>
      <c r="M95" s="19">
        <f>IF(ISNUMBER(RU_Raw!M95),RU_Raw!M95,IF(ISNUMBER(RU_Raw!M96),(M94+RU_Raw!M96)/2,IF(ISNUMBER(RU_Raw!M97),M94+(RU_Raw!M97-M94)/3,"")))</f>
        <v>156.5</v>
      </c>
      <c r="N95" s="19">
        <f>IF(ISNUMBER(RU_Raw!N95),RU_Raw!N95,IF(ISNUMBER(RU_Raw!N96),(N94+RU_Raw!N96)/2,IF(ISNUMBER(RU_Raw!N97),N94+(RU_Raw!N97-N94)/3,"")))</f>
        <v>150.9</v>
      </c>
      <c r="O95" s="19">
        <f>IF(ISNUMBER(RU_Raw!O95),RU_Raw!O95,IF(ISNUMBER(RU_Raw!O96),(O94+RU_Raw!O96)/2,IF(ISNUMBER(RU_Raw!O97),O94+(RU_Raw!O97-O94)/3,"")))</f>
        <v>114.2</v>
      </c>
      <c r="P95" s="19">
        <f>IF(ISNUMBER(RU_Raw!P95),RU_Raw!P95,IF(ISNUMBER(RU_Raw!P96),(P94+RU_Raw!P96)/2,IF(ISNUMBER(RU_Raw!P97),P94+(RU_Raw!P97-P94)/3,"")))</f>
        <v>159.5</v>
      </c>
      <c r="Q95" s="19">
        <f>IF(ISNUMBER(RU_Raw!Q95),RU_Raw!Q95,IF(ISNUMBER(RU_Raw!Q96),(Q94+RU_Raw!Q96)/2,IF(ISNUMBER(RU_Raw!Q97),Q94+(RU_Raw!Q97-Q94)/3,"")))</f>
        <v>139.4</v>
      </c>
      <c r="R95" s="19">
        <f>IF(ISNUMBER(RU_Raw!R95),RU_Raw!R95,IF(ISNUMBER(RU_Raw!R96),(R94+RU_Raw!R96)/2,IF(ISNUMBER(RU_Raw!R97),R94+(RU_Raw!R97-R94)/3,"")))</f>
        <v>161.8</v>
      </c>
      <c r="S95" s="19">
        <f>IF(ISNUMBER(RU_Raw!S95),RU_Raw!S95,IF(ISNUMBER(RU_Raw!S96),(S94+RU_Raw!S96)/2,IF(ISNUMBER(RU_Raw!S97),S94+(RU_Raw!S97-S94)/3,"")))</f>
        <v>154</v>
      </c>
      <c r="T95" s="19">
        <f>IF(ISNUMBER(RU_Raw!T95),RU_Raw!T95,IF(ISNUMBER(RU_Raw!T96),(T94+RU_Raw!T96)/2,IF(ISNUMBER(RU_Raw!T97),T94+(RU_Raw!T97-T94)/3,"")))</f>
        <v>183.5</v>
      </c>
      <c r="U95" s="19">
        <f>IF(ISNUMBER(RU_Raw!U95),RU_Raw!U95,IF(ISNUMBER(RU_Raw!U96),(U94+RU_Raw!U96)/2,IF(ISNUMBER(RU_Raw!U97),U94+(RU_Raw!U97-U94)/3,"")))</f>
        <v>152.5</v>
      </c>
      <c r="V95" s="19">
        <f>IF(ISNUMBER(RU_Raw!V95),RU_Raw!V95,IF(ISNUMBER(RU_Raw!V96),(V94+RU_Raw!V96)/2,IF(ISNUMBER(RU_Raw!V97),V94+(RU_Raw!V97-V94)/3,"")))</f>
        <v>144.4</v>
      </c>
      <c r="W95" s="19">
        <f>IF(ISNUMBER(RU_Raw!W95),RU_Raw!W95,IF(ISNUMBER(RU_Raw!W96),(W94+RU_Raw!W96)/2,IF(ISNUMBER(RU_Raw!W97),W94+(RU_Raw!W97-W94)/3,"")))</f>
        <v>151.4</v>
      </c>
      <c r="X95" s="19">
        <f>IF(ISNUMBER(RU_Raw!X95),RU_Raw!X95,IF(ISNUMBER(RU_Raw!X96),(X94+RU_Raw!X96)/2,IF(ISNUMBER(RU_Raw!X97),X94+(RU_Raw!X97-X94)/3,"")))</f>
        <v>154.7</v>
      </c>
      <c r="Y95" s="19">
        <f>IF(ISNUMBER(RU_Raw!Y95),RU_Raw!Y95,IF(ISNUMBER(RU_Raw!Y96),(Y94+RU_Raw!Y96)/2,IF(ISNUMBER(RU_Raw!Y97),Y94+(RU_Raw!Y97-Y94)/3,"")))</f>
        <v>141.9</v>
      </c>
      <c r="Z95" s="19">
        <f>IF(ISNUMBER(RU_Raw!Z95),RU_Raw!Z95,IF(ISNUMBER(RU_Raw!Z96),(Z94+RU_Raw!Z96)/2,IF(ISNUMBER(RU_Raw!Z97),Z94+(RU_Raw!Z97-Z94)/3,"")))</f>
        <v>146.4</v>
      </c>
      <c r="AA95" s="19">
        <f>IF(ISNUMBER(RU_Raw!AA95),RU_Raw!AA95,IF(ISNUMBER(RU_Raw!AA96),(AA94+RU_Raw!AA96)/2,IF(ISNUMBER(RU_Raw!AA97),AA94+(RU_Raw!AA97-AA94)/3,"")))</f>
        <v>154.4</v>
      </c>
      <c r="AB95" s="19">
        <f>IF(ISNUMBER(RU_Raw!AB95),RU_Raw!AB95,IF(ISNUMBER(RU_Raw!AB96),(AB94+RU_Raw!AB96)/2,IF(ISNUMBER(RU_Raw!AB97),AB94+(RU_Raw!AB97-AB94)/3,"")))</f>
        <v>135</v>
      </c>
      <c r="AC95" s="19">
        <f>IF(ISNUMBER(RU_Raw!AC95),RU_Raw!AC95,IF(ISNUMBER(RU_Raw!AC96),(AC94+RU_Raw!AC96)/2,IF(ISNUMBER(RU_Raw!AC97),AC94+(RU_Raw!AC97-AC94)/3,"")))</f>
        <v>148.3</v>
      </c>
      <c r="AD95" s="19">
        <f>IF(ISNUMBER(RU_Raw!AD95),RU_Raw!AD95,IF(ISNUMBER(RU_Raw!AD96),(AD94+RU_Raw!AD96)/2,IF(ISNUMBER(RU_Raw!AD97),AD94+(RU_Raw!AD97-AD94)/3,"")))</f>
        <v>156.4</v>
      </c>
      <c r="AE95" s="19">
        <f>IF(ISNUMBER(RU_Raw!AE95),RU_Raw!AE95,IF(ISNUMBER(RU_Raw!AE96),(AE94+RU_Raw!AE96)/2,IF(ISNUMBER(RU_Raw!AE97),AE94+(RU_Raw!AE97-AE94)/3,"")))</f>
        <v>151.6</v>
      </c>
      <c r="AF95" s="19">
        <f>IF(ISNUMBER(RU_Raw!AF95),RU_Raw!AF95,IF(ISNUMBER(RU_Raw!AF96),(AF94+RU_Raw!AF96)/2,IF(ISNUMBER(RU_Raw!AF97),AF94+(RU_Raw!AF97-AF94)/3,"")))</f>
        <v>147</v>
      </c>
      <c r="AG95" s="19">
        <f>IF(ISNUMBER(RU_Raw!AG95),RU_Raw!AG95,IF(ISNUMBER(RU_Raw!AG96),(AG94+RU_Raw!AG96)/2,IF(ISNUMBER(RU_Raw!AG97),AG94+(RU_Raw!AG97-AG94)/3,"")))</f>
        <v>151.8</v>
      </c>
      <c r="AH95" s="19">
        <f t="shared" si="3"/>
        <v>1812.8</v>
      </c>
    </row>
    <row r="96" spans="1:34">
      <c r="A96" s="6">
        <f>RU_Raw!A96</f>
        <v>2020</v>
      </c>
      <c r="B96" s="6">
        <f>RU_Raw!B96</f>
        <v>8</v>
      </c>
      <c r="C96" s="6" t="str">
        <f>RU_Raw!C96</f>
        <v>August</v>
      </c>
      <c r="D96" s="9">
        <f>RU_Raw!D96</f>
        <v>44044</v>
      </c>
      <c r="E96" s="6">
        <f>COUNTBLANK(RU_Raw!G96:AG96)</f>
        <v>0</v>
      </c>
      <c r="F96" s="6" t="str">
        <f t="shared" si="2"/>
        <v/>
      </c>
      <c r="G96" s="19">
        <f>IF(ISNUMBER(RU_Raw!G96),RU_Raw!G96,IF(ISNUMBER(RU_Raw!G97),(G95+RU_Raw!G97)/2,IF(ISNUMBER(RU_Raw!G98),G95+(RU_Raw!G98-G95)/3,"")))</f>
        <v>148.9</v>
      </c>
      <c r="H96" s="19">
        <f>IF(ISNUMBER(RU_Raw!H96),RU_Raw!H96,IF(ISNUMBER(RU_Raw!H97),(H95+RU_Raw!H97)/2,IF(ISNUMBER(RU_Raw!H98),H95+(RU_Raw!H98-H95)/3,"")))</f>
        <v>190.9</v>
      </c>
      <c r="I96" s="19">
        <f>IF(ISNUMBER(RU_Raw!I96),RU_Raw!I96,IF(ISNUMBER(RU_Raw!I97),(I95+RU_Raw!I97)/2,IF(ISNUMBER(RU_Raw!I98),I95+(RU_Raw!I98-I95)/3,"")))</f>
        <v>150.8</v>
      </c>
      <c r="J96" s="19">
        <f>IF(ISNUMBER(RU_Raw!J96),RU_Raw!J96,IF(ISNUMBER(RU_Raw!J97),(J95+RU_Raw!J97)/2,IF(ISNUMBER(RU_Raw!J98),J95+(RU_Raw!J98-J95)/3,"")))</f>
        <v>153.3</v>
      </c>
      <c r="K96" s="19">
        <f>IF(ISNUMBER(RU_Raw!K96),RU_Raw!K96,IF(ISNUMBER(RU_Raw!K97),(K95+RU_Raw!K97)/2,IF(ISNUMBER(RU_Raw!K98),K95+(RU_Raw!K98-K95)/3,"")))</f>
        <v>137.4</v>
      </c>
      <c r="L96" s="19">
        <f>IF(ISNUMBER(RU_Raw!L96),RU_Raw!L96,IF(ISNUMBER(RU_Raw!L97),(L95+RU_Raw!L97)/2,IF(ISNUMBER(RU_Raw!L98),L95+(RU_Raw!L98-L95)/3,"")))</f>
        <v>150.4</v>
      </c>
      <c r="M96" s="19">
        <f>IF(ISNUMBER(RU_Raw!M96),RU_Raw!M96,IF(ISNUMBER(RU_Raw!M97),(M95+RU_Raw!M97)/2,IF(ISNUMBER(RU_Raw!M98),M95+(RU_Raw!M98-M95)/3,"")))</f>
        <v>178.1</v>
      </c>
      <c r="N96" s="19">
        <f>IF(ISNUMBER(RU_Raw!N96),RU_Raw!N96,IF(ISNUMBER(RU_Raw!N97),(N95+RU_Raw!N97)/2,IF(ISNUMBER(RU_Raw!N98),N95+(RU_Raw!N98-N95)/3,"")))</f>
        <v>150.4</v>
      </c>
      <c r="O96" s="19">
        <f>IF(ISNUMBER(RU_Raw!O96),RU_Raw!O96,IF(ISNUMBER(RU_Raw!O97),(O95+RU_Raw!O97)/2,IF(ISNUMBER(RU_Raw!O98),O95+(RU_Raw!O98-O95)/3,"")))</f>
        <v>115.1</v>
      </c>
      <c r="P96" s="19">
        <f>IF(ISNUMBER(RU_Raw!P96),RU_Raw!P96,IF(ISNUMBER(RU_Raw!P97),(P95+RU_Raw!P97)/2,IF(ISNUMBER(RU_Raw!P98),P95+(RU_Raw!P98-P95)/3,"")))</f>
        <v>160</v>
      </c>
      <c r="Q96" s="19">
        <f>IF(ISNUMBER(RU_Raw!Q96),RU_Raw!Q96,IF(ISNUMBER(RU_Raw!Q97),(Q95+RU_Raw!Q97)/2,IF(ISNUMBER(RU_Raw!Q98),Q95+(RU_Raw!Q98-Q95)/3,"")))</f>
        <v>140.6</v>
      </c>
      <c r="R96" s="19">
        <f>IF(ISNUMBER(RU_Raw!R96),RU_Raw!R96,IF(ISNUMBER(RU_Raw!R97),(R95+RU_Raw!R97)/2,IF(ISNUMBER(RU_Raw!R98),R95+(RU_Raw!R98-R95)/3,"")))</f>
        <v>162.3</v>
      </c>
      <c r="S96" s="19">
        <f>IF(ISNUMBER(RU_Raw!S96),RU_Raw!S96,IF(ISNUMBER(RU_Raw!S97),(S95+RU_Raw!S97)/2,IF(ISNUMBER(RU_Raw!S98),S95+(RU_Raw!S98-S95)/3,"")))</f>
        <v>157</v>
      </c>
      <c r="T96" s="19">
        <f>IF(ISNUMBER(RU_Raw!T96),RU_Raw!T96,IF(ISNUMBER(RU_Raw!T97),(T95+RU_Raw!T97)/2,IF(ISNUMBER(RU_Raw!T98),T95+(RU_Raw!T98-T95)/3,"")))</f>
        <v>182.6</v>
      </c>
      <c r="U96" s="19">
        <f>IF(ISNUMBER(RU_Raw!U96),RU_Raw!U96,IF(ISNUMBER(RU_Raw!U97),(U95+RU_Raw!U97)/2,IF(ISNUMBER(RU_Raw!U98),U95+(RU_Raw!U98-U95)/3,"")))</f>
        <v>153.1</v>
      </c>
      <c r="V96" s="19">
        <f>IF(ISNUMBER(RU_Raw!V96),RU_Raw!V96,IF(ISNUMBER(RU_Raw!V97),(V95+RU_Raw!V97)/2,IF(ISNUMBER(RU_Raw!V98),V95+(RU_Raw!V98-V95)/3,"")))</f>
        <v>143.4</v>
      </c>
      <c r="W96" s="19">
        <f>IF(ISNUMBER(RU_Raw!W96),RU_Raw!W96,IF(ISNUMBER(RU_Raw!W97),(W95+RU_Raw!W97)/2,IF(ISNUMBER(RU_Raw!W98),W95+(RU_Raw!W98-W95)/3,"")))</f>
        <v>151.7</v>
      </c>
      <c r="X96" s="19">
        <f>IF(ISNUMBER(RU_Raw!X96),RU_Raw!X96,IF(ISNUMBER(RU_Raw!X97),(X95+RU_Raw!X97)/2,IF(ISNUMBER(RU_Raw!X98),X95+(RU_Raw!X98-X95)/3,"")))</f>
        <v>155.5</v>
      </c>
      <c r="Y96" s="19">
        <f>IF(ISNUMBER(RU_Raw!Y96),RU_Raw!Y96,IF(ISNUMBER(RU_Raw!Y97),(Y95+RU_Raw!Y97)/2,IF(ISNUMBER(RU_Raw!Y98),Y95+(RU_Raw!Y98-Y95)/3,"")))</f>
        <v>143</v>
      </c>
      <c r="Z96" s="19">
        <f>IF(ISNUMBER(RU_Raw!Z96),RU_Raw!Z96,IF(ISNUMBER(RU_Raw!Z97),(Z95+RU_Raw!Z97)/2,IF(ISNUMBER(RU_Raw!Z98),Z95+(RU_Raw!Z98-Z95)/3,"")))</f>
        <v>148.4</v>
      </c>
      <c r="AA96" s="19">
        <f>IF(ISNUMBER(RU_Raw!AA96),RU_Raw!AA96,IF(ISNUMBER(RU_Raw!AA97),(AA95+RU_Raw!AA97)/2,IF(ISNUMBER(RU_Raw!AA98),AA95+(RU_Raw!AA98-AA95)/3,"")))</f>
        <v>155</v>
      </c>
      <c r="AB96" s="19">
        <f>IF(ISNUMBER(RU_Raw!AB96),RU_Raw!AB96,IF(ISNUMBER(RU_Raw!AB97),(AB95+RU_Raw!AB97)/2,IF(ISNUMBER(RU_Raw!AB98),AB95+(RU_Raw!AB98-AB95)/3,"")))</f>
        <v>138.5</v>
      </c>
      <c r="AC96" s="19">
        <f>IF(ISNUMBER(RU_Raw!AC96),RU_Raw!AC96,IF(ISNUMBER(RU_Raw!AC97),(AC95+RU_Raw!AC97)/2,IF(ISNUMBER(RU_Raw!AC98),AC95+(RU_Raw!AC98-AC95)/3,"")))</f>
        <v>146</v>
      </c>
      <c r="AD96" s="19">
        <f>IF(ISNUMBER(RU_Raw!AD96),RU_Raw!AD96,IF(ISNUMBER(RU_Raw!AD97),(AD95+RU_Raw!AD97)/2,IF(ISNUMBER(RU_Raw!AD98),AD95+(RU_Raw!AD98-AD95)/3,"")))</f>
        <v>158.5</v>
      </c>
      <c r="AE96" s="19">
        <f>IF(ISNUMBER(RU_Raw!AE96),RU_Raw!AE96,IF(ISNUMBER(RU_Raw!AE97),(AE95+RU_Raw!AE97)/2,IF(ISNUMBER(RU_Raw!AE98),AE95+(RU_Raw!AE98-AE95)/3,"")))</f>
        <v>154.3</v>
      </c>
      <c r="AF96" s="19">
        <f>IF(ISNUMBER(RU_Raw!AF96),RU_Raw!AF96,IF(ISNUMBER(RU_Raw!AF97),(AF95+RU_Raw!AF97)/2,IF(ISNUMBER(RU_Raw!AF98),AF95+(RU_Raw!AF98-AF95)/3,"")))</f>
        <v>149</v>
      </c>
      <c r="AG96" s="19">
        <f>IF(ISNUMBER(RU_Raw!AG96),RU_Raw!AG96,IF(ISNUMBER(RU_Raw!AG97),(AG95+RU_Raw!AG97)/2,IF(ISNUMBER(RU_Raw!AG98),AG95+(RU_Raw!AG98-AG95)/3,"")))</f>
        <v>153.9</v>
      </c>
      <c r="AH96" s="19">
        <f t="shared" si="3"/>
        <v>1838.2</v>
      </c>
    </row>
    <row r="97" spans="1:34">
      <c r="A97" s="6">
        <f>RU_Raw!A97</f>
        <v>2020</v>
      </c>
      <c r="B97" s="6">
        <f>RU_Raw!B97</f>
        <v>9</v>
      </c>
      <c r="C97" s="6" t="str">
        <f>RU_Raw!C97</f>
        <v>September</v>
      </c>
      <c r="D97" s="9">
        <f>RU_Raw!D97</f>
        <v>44075</v>
      </c>
      <c r="E97" s="6">
        <f>COUNTBLANK(RU_Raw!G97:AG97)</f>
        <v>0</v>
      </c>
      <c r="F97" s="6" t="str">
        <f t="shared" si="2"/>
        <v/>
      </c>
      <c r="G97" s="19">
        <f>IF(ISNUMBER(RU_Raw!G97),RU_Raw!G97,IF(ISNUMBER(RU_Raw!G98),(G96+RU_Raw!G98)/2,IF(ISNUMBER(RU_Raw!G99),G96+(RU_Raw!G99-G96)/3,"")))</f>
        <v>148.4</v>
      </c>
      <c r="H97" s="19">
        <f>IF(ISNUMBER(RU_Raw!H97),RU_Raw!H97,IF(ISNUMBER(RU_Raw!H98),(H96+RU_Raw!H98)/2,IF(ISNUMBER(RU_Raw!H99),H96+(RU_Raw!H99-H96)/3,"")))</f>
        <v>187.1</v>
      </c>
      <c r="I97" s="19">
        <f>IF(ISNUMBER(RU_Raw!I97),RU_Raw!I97,IF(ISNUMBER(RU_Raw!I98),(I96+RU_Raw!I98)/2,IF(ISNUMBER(RU_Raw!I99),I96+(RU_Raw!I99-I96)/3,"")))</f>
        <v>152.5</v>
      </c>
      <c r="J97" s="19">
        <f>IF(ISNUMBER(RU_Raw!J97),RU_Raw!J97,IF(ISNUMBER(RU_Raw!J98),(J96+RU_Raw!J98)/2,IF(ISNUMBER(RU_Raw!J99),J96+(RU_Raw!J99-J96)/3,"")))</f>
        <v>153.6</v>
      </c>
      <c r="K97" s="19">
        <f>IF(ISNUMBER(RU_Raw!K97),RU_Raw!K97,IF(ISNUMBER(RU_Raw!K98),(K96+RU_Raw!K98)/2,IF(ISNUMBER(RU_Raw!K99),K96+(RU_Raw!K99-K96)/3,"")))</f>
        <v>138.2</v>
      </c>
      <c r="L97" s="19">
        <f>IF(ISNUMBER(RU_Raw!L97),RU_Raw!L97,IF(ISNUMBER(RU_Raw!L98),(L96+RU_Raw!L98)/2,IF(ISNUMBER(RU_Raw!L99),L96+(RU_Raw!L99-L96)/3,"")))</f>
        <v>150.9</v>
      </c>
      <c r="M97" s="19">
        <f>IF(ISNUMBER(RU_Raw!M97),RU_Raw!M97,IF(ISNUMBER(RU_Raw!M98),(M96+RU_Raw!M98)/2,IF(ISNUMBER(RU_Raw!M99),M96+(RU_Raw!M99-M96)/3,"")))</f>
        <v>186.7</v>
      </c>
      <c r="N97" s="19">
        <f>IF(ISNUMBER(RU_Raw!N97),RU_Raw!N97,IF(ISNUMBER(RU_Raw!N98),(N96+RU_Raw!N98)/2,IF(ISNUMBER(RU_Raw!N99),N96+(RU_Raw!N99-N96)/3,"")))</f>
        <v>149.8</v>
      </c>
      <c r="O97" s="19">
        <f>IF(ISNUMBER(RU_Raw!O97),RU_Raw!O97,IF(ISNUMBER(RU_Raw!O98),(O96+RU_Raw!O98)/2,IF(ISNUMBER(RU_Raw!O99),O96+(RU_Raw!O99-O96)/3,"")))</f>
        <v>116.4</v>
      </c>
      <c r="P97" s="19">
        <f>IF(ISNUMBER(RU_Raw!P97),RU_Raw!P97,IF(ISNUMBER(RU_Raw!P98),(P96+RU_Raw!P98)/2,IF(ISNUMBER(RU_Raw!P99),P96+(RU_Raw!P99-P96)/3,"")))</f>
        <v>160.3</v>
      </c>
      <c r="Q97" s="19">
        <f>IF(ISNUMBER(RU_Raw!Q97),RU_Raw!Q97,IF(ISNUMBER(RU_Raw!Q98),(Q96+RU_Raw!Q98)/2,IF(ISNUMBER(RU_Raw!Q99),Q96+(RU_Raw!Q99-Q96)/3,"")))</f>
        <v>142.2</v>
      </c>
      <c r="R97" s="19">
        <f>IF(ISNUMBER(RU_Raw!R97),RU_Raw!R97,IF(ISNUMBER(RU_Raw!R98),(R96+RU_Raw!R98)/2,IF(ISNUMBER(RU_Raw!R99),R96+(RU_Raw!R99-R96)/3,"")))</f>
        <v>162.9</v>
      </c>
      <c r="S97" s="19">
        <f>IF(ISNUMBER(RU_Raw!S97),RU_Raw!S97,IF(ISNUMBER(RU_Raw!S98),(S96+RU_Raw!S98)/2,IF(ISNUMBER(RU_Raw!S99),S96+(RU_Raw!S99-S96)/3,"")))</f>
        <v>158</v>
      </c>
      <c r="T97" s="19">
        <f>IF(ISNUMBER(RU_Raw!T97),RU_Raw!T97,IF(ISNUMBER(RU_Raw!T98),(T96+RU_Raw!T98)/2,IF(ISNUMBER(RU_Raw!T99),T96+(RU_Raw!T99-T96)/3,"")))</f>
        <v>184.4</v>
      </c>
      <c r="U97" s="19">
        <f>IF(ISNUMBER(RU_Raw!U97),RU_Raw!U97,IF(ISNUMBER(RU_Raw!U98),(U96+RU_Raw!U98)/2,IF(ISNUMBER(RU_Raw!U99),U96+(RU_Raw!U99-U96)/3,"")))</f>
        <v>153.4</v>
      </c>
      <c r="V97" s="19">
        <f>IF(ISNUMBER(RU_Raw!V97),RU_Raw!V97,IF(ISNUMBER(RU_Raw!V98),(V96+RU_Raw!V98)/2,IF(ISNUMBER(RU_Raw!V99),V96+(RU_Raw!V99-V96)/3,"")))</f>
        <v>144.3</v>
      </c>
      <c r="W97" s="19">
        <f>IF(ISNUMBER(RU_Raw!W97),RU_Raw!W97,IF(ISNUMBER(RU_Raw!W98),(W96+RU_Raw!W98)/2,IF(ISNUMBER(RU_Raw!W99),W96+(RU_Raw!W99-W96)/3,"")))</f>
        <v>152</v>
      </c>
      <c r="X97" s="19">
        <f>IF(ISNUMBER(RU_Raw!X97),RU_Raw!X97,IF(ISNUMBER(RU_Raw!X98),(X96+RU_Raw!X98)/2,IF(ISNUMBER(RU_Raw!X99),X96+(RU_Raw!X99-X96)/3,"")))</f>
        <v>156.3</v>
      </c>
      <c r="Y97" s="19">
        <f>IF(ISNUMBER(RU_Raw!Y97),RU_Raw!Y97,IF(ISNUMBER(RU_Raw!Y98),(Y96+RU_Raw!Y98)/2,IF(ISNUMBER(RU_Raw!Y99),Y96+(RU_Raw!Y99-Y96)/3,"")))</f>
        <v>142.9</v>
      </c>
      <c r="Z97" s="19">
        <f>IF(ISNUMBER(RU_Raw!Z97),RU_Raw!Z97,IF(ISNUMBER(RU_Raw!Z98),(Z96+RU_Raw!Z98)/2,IF(ISNUMBER(RU_Raw!Z99),Z96+(RU_Raw!Z99-Z96)/3,"")))</f>
        <v>148.7</v>
      </c>
      <c r="AA97" s="19">
        <f>IF(ISNUMBER(RU_Raw!AA97),RU_Raw!AA97,IF(ISNUMBER(RU_Raw!AA98),(AA96+RU_Raw!AA98)/2,IF(ISNUMBER(RU_Raw!AA99),AA96+(RU_Raw!AA99-AA96)/3,"")))</f>
        <v>155.6</v>
      </c>
      <c r="AB97" s="19">
        <f>IF(ISNUMBER(RU_Raw!AB97),RU_Raw!AB97,IF(ISNUMBER(RU_Raw!AB98),(AB96+RU_Raw!AB98)/2,IF(ISNUMBER(RU_Raw!AB99),AB96+(RU_Raw!AB99-AB96)/3,"")))</f>
        <v>139.6</v>
      </c>
      <c r="AC97" s="19">
        <f>IF(ISNUMBER(RU_Raw!AC97),RU_Raw!AC97,IF(ISNUMBER(RU_Raw!AC98),(AC96+RU_Raw!AC98)/2,IF(ISNUMBER(RU_Raw!AC99),AC96+(RU_Raw!AC99-AC96)/3,"")))</f>
        <v>146.6</v>
      </c>
      <c r="AD97" s="19">
        <f>IF(ISNUMBER(RU_Raw!AD97),RU_Raw!AD97,IF(ISNUMBER(RU_Raw!AD98),(AD96+RU_Raw!AD98)/2,IF(ISNUMBER(RU_Raw!AD99),AD96+(RU_Raw!AD99-AD96)/3,"")))</f>
        <v>157.5</v>
      </c>
      <c r="AE97" s="19">
        <f>IF(ISNUMBER(RU_Raw!AE97),RU_Raw!AE97,IF(ISNUMBER(RU_Raw!AE98),(AE96+RU_Raw!AE98)/2,IF(ISNUMBER(RU_Raw!AE99),AE96+(RU_Raw!AE99-AE96)/3,"")))</f>
        <v>158.4</v>
      </c>
      <c r="AF97" s="19">
        <f>IF(ISNUMBER(RU_Raw!AF97),RU_Raw!AF97,IF(ISNUMBER(RU_Raw!AF98),(AF96+RU_Raw!AF98)/2,IF(ISNUMBER(RU_Raw!AF99),AF96+(RU_Raw!AF99-AF96)/3,"")))</f>
        <v>150</v>
      </c>
      <c r="AG97" s="19">
        <f>IF(ISNUMBER(RU_Raw!AG97),RU_Raw!AG97,IF(ISNUMBER(RU_Raw!AG98),(AG96+RU_Raw!AG98)/2,IF(ISNUMBER(RU_Raw!AG99),AG96+(RU_Raw!AG99-AG96)/3,"")))</f>
        <v>154.7</v>
      </c>
      <c r="AH97" s="19">
        <f t="shared" si="3"/>
        <v>1849</v>
      </c>
    </row>
    <row r="98" spans="1:34">
      <c r="A98" s="6">
        <f>RU_Raw!A98</f>
        <v>2020</v>
      </c>
      <c r="B98" s="6">
        <f>RU_Raw!B98</f>
        <v>10</v>
      </c>
      <c r="C98" s="6" t="str">
        <f>RU_Raw!C98</f>
        <v>October</v>
      </c>
      <c r="D98" s="9">
        <f>RU_Raw!D98</f>
        <v>44105</v>
      </c>
      <c r="E98" s="6">
        <f>COUNTBLANK(RU_Raw!G98:AG98)</f>
        <v>0</v>
      </c>
      <c r="F98" s="6" t="str">
        <f t="shared" si="2"/>
        <v/>
      </c>
      <c r="G98" s="19">
        <f>IF(ISNUMBER(RU_Raw!G98),RU_Raw!G98,IF(ISNUMBER(RU_Raw!G99),(G97+RU_Raw!G99)/2,IF(ISNUMBER(RU_Raw!G100),G97+(RU_Raw!G100-G97)/3,"")))</f>
        <v>147.5</v>
      </c>
      <c r="H98" s="19">
        <f>IF(ISNUMBER(RU_Raw!H98),RU_Raw!H98,IF(ISNUMBER(RU_Raw!H99),(H97+RU_Raw!H99)/2,IF(ISNUMBER(RU_Raw!H100),H97+(RU_Raw!H100-H97)/3,"")))</f>
        <v>188.9</v>
      </c>
      <c r="I98" s="19">
        <f>IF(ISNUMBER(RU_Raw!I98),RU_Raw!I98,IF(ISNUMBER(RU_Raw!I99),(I97+RU_Raw!I99)/2,IF(ISNUMBER(RU_Raw!I100),I97+(RU_Raw!I100-I97)/3,"")))</f>
        <v>161.4</v>
      </c>
      <c r="J98" s="19">
        <f>IF(ISNUMBER(RU_Raw!J98),RU_Raw!J98,IF(ISNUMBER(RU_Raw!J99),(J97+RU_Raw!J99)/2,IF(ISNUMBER(RU_Raw!J100),J97+(RU_Raw!J100-J97)/3,"")))</f>
        <v>153.6</v>
      </c>
      <c r="K98" s="19">
        <f>IF(ISNUMBER(RU_Raw!K98),RU_Raw!K98,IF(ISNUMBER(RU_Raw!K99),(K97+RU_Raw!K99)/2,IF(ISNUMBER(RU_Raw!K100),K97+(RU_Raw!K100-K97)/3,"")))</f>
        <v>140.1</v>
      </c>
      <c r="L98" s="19">
        <f>IF(ISNUMBER(RU_Raw!L98),RU_Raw!L98,IF(ISNUMBER(RU_Raw!L99),(L97+RU_Raw!L99)/2,IF(ISNUMBER(RU_Raw!L100),L97+(RU_Raw!L100-L97)/3,"")))</f>
        <v>151.2</v>
      </c>
      <c r="M98" s="19">
        <f>IF(ISNUMBER(RU_Raw!M98),RU_Raw!M98,IF(ISNUMBER(RU_Raw!M99),(M97+RU_Raw!M99)/2,IF(ISNUMBER(RU_Raw!M100),M97+(RU_Raw!M100-M97)/3,"")))</f>
        <v>209.2</v>
      </c>
      <c r="N98" s="19">
        <f>IF(ISNUMBER(RU_Raw!N98),RU_Raw!N98,IF(ISNUMBER(RU_Raw!N99),(N97+RU_Raw!N99)/2,IF(ISNUMBER(RU_Raw!N100),N97+(RU_Raw!N100-N97)/3,"")))</f>
        <v>150.9</v>
      </c>
      <c r="O98" s="19">
        <f>IF(ISNUMBER(RU_Raw!O98),RU_Raw!O98,IF(ISNUMBER(RU_Raw!O99),(O97+RU_Raw!O99)/2,IF(ISNUMBER(RU_Raw!O100),O97+(RU_Raw!O100-O97)/3,"")))</f>
        <v>116.2</v>
      </c>
      <c r="P98" s="19">
        <f>IF(ISNUMBER(RU_Raw!P98),RU_Raw!P98,IF(ISNUMBER(RU_Raw!P99),(P97+RU_Raw!P99)/2,IF(ISNUMBER(RU_Raw!P100),P97+(RU_Raw!P100-P97)/3,"")))</f>
        <v>161</v>
      </c>
      <c r="Q98" s="19">
        <f>IF(ISNUMBER(RU_Raw!Q98),RU_Raw!Q98,IF(ISNUMBER(RU_Raw!Q99),(Q97+RU_Raw!Q99)/2,IF(ISNUMBER(RU_Raw!Q100),Q97+(RU_Raw!Q100-Q97)/3,"")))</f>
        <v>144</v>
      </c>
      <c r="R98" s="19">
        <f>IF(ISNUMBER(RU_Raw!R98),RU_Raw!R98,IF(ISNUMBER(RU_Raw!R99),(R97+RU_Raw!R99)/2,IF(ISNUMBER(RU_Raw!R100),R97+(RU_Raw!R100-R97)/3,"")))</f>
        <v>163.2</v>
      </c>
      <c r="S98" s="19">
        <f>IF(ISNUMBER(RU_Raw!S98),RU_Raw!S98,IF(ISNUMBER(RU_Raw!S99),(S97+RU_Raw!S99)/2,IF(ISNUMBER(RU_Raw!S100),S97+(RU_Raw!S100-S97)/3,"")))</f>
        <v>161.4</v>
      </c>
      <c r="T98" s="19">
        <f>IF(ISNUMBER(RU_Raw!T98),RU_Raw!T98,IF(ISNUMBER(RU_Raw!T99),(T97+RU_Raw!T99)/2,IF(ISNUMBER(RU_Raw!T100),T97+(RU_Raw!T100-T97)/3,"")))</f>
        <v>184.3</v>
      </c>
      <c r="U98" s="19">
        <f>IF(ISNUMBER(RU_Raw!U98),RU_Raw!U98,IF(ISNUMBER(RU_Raw!U99),(U97+RU_Raw!U99)/2,IF(ISNUMBER(RU_Raw!U100),U97+(RU_Raw!U100-U97)/3,"")))</f>
        <v>153.7</v>
      </c>
      <c r="V98" s="19">
        <f>IF(ISNUMBER(RU_Raw!V98),RU_Raw!V98,IF(ISNUMBER(RU_Raw!V99),(V97+RU_Raw!V99)/2,IF(ISNUMBER(RU_Raw!V100),V97+(RU_Raw!V100-V97)/3,"")))</f>
        <v>144.6</v>
      </c>
      <c r="W98" s="19">
        <f>IF(ISNUMBER(RU_Raw!W98),RU_Raw!W98,IF(ISNUMBER(RU_Raw!W99),(W97+RU_Raw!W99)/2,IF(ISNUMBER(RU_Raw!W100),W97+(RU_Raw!W100-W97)/3,"")))</f>
        <v>152.3</v>
      </c>
      <c r="X98" s="19">
        <f>IF(ISNUMBER(RU_Raw!X98),RU_Raw!X98,IF(ISNUMBER(RU_Raw!X99),(X97+RU_Raw!X99)/2,IF(ISNUMBER(RU_Raw!X100),X97+(RU_Raw!X100-X97)/3,"")))</f>
        <v>156.5</v>
      </c>
      <c r="Y98" s="19">
        <f>IF(ISNUMBER(RU_Raw!Y98),RU_Raw!Y98,IF(ISNUMBER(RU_Raw!Y99),(Y97+RU_Raw!Y99)/2,IF(ISNUMBER(RU_Raw!Y100),Y97+(RU_Raw!Y100-Y97)/3,"")))</f>
        <v>143.1</v>
      </c>
      <c r="Z98" s="19">
        <f>IF(ISNUMBER(RU_Raw!Z98),RU_Raw!Z98,IF(ISNUMBER(RU_Raw!Z99),(Z97+RU_Raw!Z99)/2,IF(ISNUMBER(RU_Raw!Z100),Z97+(RU_Raw!Z100-Z97)/3,"")))</f>
        <v>148.7</v>
      </c>
      <c r="AA98" s="19">
        <f>IF(ISNUMBER(RU_Raw!AA98),RU_Raw!AA98,IF(ISNUMBER(RU_Raw!AA99),(AA97+RU_Raw!AA99)/2,IF(ISNUMBER(RU_Raw!AA100),AA97+(RU_Raw!AA100-AA97)/3,"")))</f>
        <v>156.3</v>
      </c>
      <c r="AB98" s="19">
        <f>IF(ISNUMBER(RU_Raw!AB98),RU_Raw!AB98,IF(ISNUMBER(RU_Raw!AB99),(AB97+RU_Raw!AB99)/2,IF(ISNUMBER(RU_Raw!AB100),AB97+(RU_Raw!AB100-AB97)/3,"")))</f>
        <v>140.6</v>
      </c>
      <c r="AC98" s="19">
        <f>IF(ISNUMBER(RU_Raw!AC98),RU_Raw!AC98,IF(ISNUMBER(RU_Raw!AC99),(AC97+RU_Raw!AC99)/2,IF(ISNUMBER(RU_Raw!AC100),AC97+(RU_Raw!AC100-AC97)/3,"")))</f>
        <v>146.5</v>
      </c>
      <c r="AD98" s="19">
        <f>IF(ISNUMBER(RU_Raw!AD98),RU_Raw!AD98,IF(ISNUMBER(RU_Raw!AD99),(AD97+RU_Raw!AD99)/2,IF(ISNUMBER(RU_Raw!AD100),AD97+(RU_Raw!AD100-AD97)/3,"")))</f>
        <v>158.5</v>
      </c>
      <c r="AE98" s="19">
        <f>IF(ISNUMBER(RU_Raw!AE98),RU_Raw!AE98,IF(ISNUMBER(RU_Raw!AE99),(AE97+RU_Raw!AE99)/2,IF(ISNUMBER(RU_Raw!AE100),AE97+(RU_Raw!AE100-AE97)/3,"")))</f>
        <v>157</v>
      </c>
      <c r="AF98" s="19">
        <f>IF(ISNUMBER(RU_Raw!AF98),RU_Raw!AF98,IF(ISNUMBER(RU_Raw!AF99),(AF97+RU_Raw!AF99)/2,IF(ISNUMBER(RU_Raw!AF100),AF97+(RU_Raw!AF100-AF97)/3,"")))</f>
        <v>150.4</v>
      </c>
      <c r="AG98" s="19">
        <f>IF(ISNUMBER(RU_Raw!AG98),RU_Raw!AG98,IF(ISNUMBER(RU_Raw!AG99),(AG97+RU_Raw!AG99)/2,IF(ISNUMBER(RU_Raw!AG100),AG97+(RU_Raw!AG100-AG97)/3,"")))</f>
        <v>156.4</v>
      </c>
      <c r="AH98" s="19">
        <f t="shared" si="3"/>
        <v>1887.2</v>
      </c>
    </row>
    <row r="99" spans="1:34">
      <c r="A99" s="6">
        <f>RU_Raw!A99</f>
        <v>2020</v>
      </c>
      <c r="B99" s="6">
        <f>RU_Raw!B99</f>
        <v>11</v>
      </c>
      <c r="C99" s="6" t="str">
        <f>RU_Raw!C99</f>
        <v>November</v>
      </c>
      <c r="D99" s="9">
        <f>RU_Raw!D99</f>
        <v>44136</v>
      </c>
      <c r="E99" s="6">
        <f>COUNTBLANK(RU_Raw!G99:AG99)</f>
        <v>0</v>
      </c>
      <c r="F99" s="6" t="str">
        <f t="shared" si="2"/>
        <v/>
      </c>
      <c r="G99" s="19">
        <f>IF(ISNUMBER(RU_Raw!G99),RU_Raw!G99,IF(ISNUMBER(RU_Raw!G100),(G98+RU_Raw!G100)/2,IF(ISNUMBER(RU_Raw!G101),G98+(RU_Raw!G101-G98)/3,"")))</f>
        <v>146.8</v>
      </c>
      <c r="H99" s="19">
        <f>IF(ISNUMBER(RU_Raw!H99),RU_Raw!H99,IF(ISNUMBER(RU_Raw!H100),(H98+RU_Raw!H100)/2,IF(ISNUMBER(RU_Raw!H101),H98+(RU_Raw!H101-H98)/3,"")))</f>
        <v>191</v>
      </c>
      <c r="I99" s="19">
        <f>IF(ISNUMBER(RU_Raw!I99),RU_Raw!I99,IF(ISNUMBER(RU_Raw!I100),(I98+RU_Raw!I100)/2,IF(ISNUMBER(RU_Raw!I101),I98+(RU_Raw!I101-I98)/3,"")))</f>
        <v>173.6</v>
      </c>
      <c r="J99" s="19">
        <f>IF(ISNUMBER(RU_Raw!J99),RU_Raw!J99,IF(ISNUMBER(RU_Raw!J100),(J98+RU_Raw!J100)/2,IF(ISNUMBER(RU_Raw!J101),J98+(RU_Raw!J101-J98)/3,"")))</f>
        <v>153.8</v>
      </c>
      <c r="K99" s="19">
        <f>IF(ISNUMBER(RU_Raw!K99),RU_Raw!K99,IF(ISNUMBER(RU_Raw!K100),(K98+RU_Raw!K100)/2,IF(ISNUMBER(RU_Raw!K101),K98+(RU_Raw!K101-K98)/3,"")))</f>
        <v>142.7</v>
      </c>
      <c r="L99" s="19">
        <f>IF(ISNUMBER(RU_Raw!L99),RU_Raw!L99,IF(ISNUMBER(RU_Raw!L100),(L98+RU_Raw!L100)/2,IF(ISNUMBER(RU_Raw!L101),L98+(RU_Raw!L101-L98)/3,"")))</f>
        <v>148.4</v>
      </c>
      <c r="M99" s="19">
        <f>IF(ISNUMBER(RU_Raw!M99),RU_Raw!M99,IF(ISNUMBER(RU_Raw!M100),(M98+RU_Raw!M100)/2,IF(ISNUMBER(RU_Raw!M101),M98+(RU_Raw!M101-M98)/3,"")))</f>
        <v>230</v>
      </c>
      <c r="N99" s="19">
        <f>IF(ISNUMBER(RU_Raw!N99),RU_Raw!N99,IF(ISNUMBER(RU_Raw!N100),(N98+RU_Raw!N100)/2,IF(ISNUMBER(RU_Raw!N101),N98+(RU_Raw!N101-N98)/3,"")))</f>
        <v>156.8</v>
      </c>
      <c r="O99" s="19">
        <f>IF(ISNUMBER(RU_Raw!O99),RU_Raw!O99,IF(ISNUMBER(RU_Raw!O100),(O98+RU_Raw!O100)/2,IF(ISNUMBER(RU_Raw!O101),O98+(RU_Raw!O101-O98)/3,"")))</f>
        <v>115.7</v>
      </c>
      <c r="P99" s="19">
        <f>IF(ISNUMBER(RU_Raw!P99),RU_Raw!P99,IF(ISNUMBER(RU_Raw!P100),(P98+RU_Raw!P100)/2,IF(ISNUMBER(RU_Raw!P101),P98+(RU_Raw!P101-P98)/3,"")))</f>
        <v>161.8</v>
      </c>
      <c r="Q99" s="19">
        <f>IF(ISNUMBER(RU_Raw!Q99),RU_Raw!Q99,IF(ISNUMBER(RU_Raw!Q100),(Q98+RU_Raw!Q100)/2,IF(ISNUMBER(RU_Raw!Q101),Q98+(RU_Raw!Q101-Q98)/3,"")))</f>
        <v>146.5</v>
      </c>
      <c r="R99" s="19">
        <f>IF(ISNUMBER(RU_Raw!R99),RU_Raw!R99,IF(ISNUMBER(RU_Raw!R100),(R98+RU_Raw!R100)/2,IF(ISNUMBER(RU_Raw!R101),R98+(RU_Raw!R101-R98)/3,"")))</f>
        <v>163.8</v>
      </c>
      <c r="S99" s="19">
        <f>IF(ISNUMBER(RU_Raw!S99),RU_Raw!S99,IF(ISNUMBER(RU_Raw!S100),(S98+RU_Raw!S100)/2,IF(ISNUMBER(RU_Raw!S101),S98+(RU_Raw!S101-S98)/3,"")))</f>
        <v>164.7</v>
      </c>
      <c r="T99" s="19">
        <f>IF(ISNUMBER(RU_Raw!T99),RU_Raw!T99,IF(ISNUMBER(RU_Raw!T100),(T98+RU_Raw!T100)/2,IF(ISNUMBER(RU_Raw!T101),T98+(RU_Raw!T101-T98)/3,"")))</f>
        <v>184.8</v>
      </c>
      <c r="U99" s="19">
        <f>IF(ISNUMBER(RU_Raw!U99),RU_Raw!U99,IF(ISNUMBER(RU_Raw!U100),(U98+RU_Raw!U100)/2,IF(ISNUMBER(RU_Raw!U101),U98+(RU_Raw!U101-U98)/3,"")))</f>
        <v>154.3</v>
      </c>
      <c r="V99" s="19">
        <f>IF(ISNUMBER(RU_Raw!V99),RU_Raw!V99,IF(ISNUMBER(RU_Raw!V100),(V98+RU_Raw!V100)/2,IF(ISNUMBER(RU_Raw!V101),V98+(RU_Raw!V101-V98)/3,"")))</f>
        <v>144.9</v>
      </c>
      <c r="W99" s="19">
        <f>IF(ISNUMBER(RU_Raw!W99),RU_Raw!W99,IF(ISNUMBER(RU_Raw!W100),(W98+RU_Raw!W100)/2,IF(ISNUMBER(RU_Raw!W101),W98+(RU_Raw!W101-W98)/3,"")))</f>
        <v>152.8</v>
      </c>
      <c r="X99" s="19">
        <f>IF(ISNUMBER(RU_Raw!X99),RU_Raw!X99,IF(ISNUMBER(RU_Raw!X100),(X98+RU_Raw!X100)/2,IF(ISNUMBER(RU_Raw!X101),X98+(RU_Raw!X101-X98)/3,"")))</f>
        <v>158</v>
      </c>
      <c r="Y99" s="19">
        <f>IF(ISNUMBER(RU_Raw!Y99),RU_Raw!Y99,IF(ISNUMBER(RU_Raw!Y100),(Y98+RU_Raw!Y100)/2,IF(ISNUMBER(RU_Raw!Y101),Y98+(RU_Raw!Y101-Y98)/3,"")))</f>
        <v>143.6</v>
      </c>
      <c r="Z99" s="19">
        <f>IF(ISNUMBER(RU_Raw!Z99),RU_Raw!Z99,IF(ISNUMBER(RU_Raw!Z100),(Z98+RU_Raw!Z100)/2,IF(ISNUMBER(RU_Raw!Z101),Z98+(RU_Raw!Z101-Z98)/3,"")))</f>
        <v>149.2</v>
      </c>
      <c r="AA99" s="19">
        <f>IF(ISNUMBER(RU_Raw!AA99),RU_Raw!AA99,IF(ISNUMBER(RU_Raw!AA100),(AA98+RU_Raw!AA100)/2,IF(ISNUMBER(RU_Raw!AA101),AA98+(RU_Raw!AA101-AA98)/3,"")))</f>
        <v>157.2</v>
      </c>
      <c r="AB99" s="19">
        <f>IF(ISNUMBER(RU_Raw!AB99),RU_Raw!AB99,IF(ISNUMBER(RU_Raw!AB100),(AB98+RU_Raw!AB100)/2,IF(ISNUMBER(RU_Raw!AB101),AB98+(RU_Raw!AB101-AB98)/3,"")))</f>
        <v>140.4</v>
      </c>
      <c r="AC99" s="19">
        <f>IF(ISNUMBER(RU_Raw!AC99),RU_Raw!AC99,IF(ISNUMBER(RU_Raw!AC100),(AC98+RU_Raw!AC100)/2,IF(ISNUMBER(RU_Raw!AC101),AC98+(RU_Raw!AC101-AC98)/3,"")))</f>
        <v>148.4</v>
      </c>
      <c r="AD99" s="19">
        <f>IF(ISNUMBER(RU_Raw!AD99),RU_Raw!AD99,IF(ISNUMBER(RU_Raw!AD100),(AD98+RU_Raw!AD100)/2,IF(ISNUMBER(RU_Raw!AD101),AD98+(RU_Raw!AD101-AD98)/3,"")))</f>
        <v>158.6</v>
      </c>
      <c r="AE99" s="19">
        <f>IF(ISNUMBER(RU_Raw!AE99),RU_Raw!AE99,IF(ISNUMBER(RU_Raw!AE100),(AE98+RU_Raw!AE100)/2,IF(ISNUMBER(RU_Raw!AE101),AE98+(RU_Raw!AE101-AE98)/3,"")))</f>
        <v>156.9</v>
      </c>
      <c r="AF99" s="19">
        <f>IF(ISNUMBER(RU_Raw!AF99),RU_Raw!AF99,IF(ISNUMBER(RU_Raw!AF100),(AF98+RU_Raw!AF100)/2,IF(ISNUMBER(RU_Raw!AF101),AF98+(RU_Raw!AF101-AF98)/3,"")))</f>
        <v>150.7</v>
      </c>
      <c r="AG99" s="19">
        <f>IF(ISNUMBER(RU_Raw!AG99),RU_Raw!AG99,IF(ISNUMBER(RU_Raw!AG100),(AG98+RU_Raw!AG100)/2,IF(ISNUMBER(RU_Raw!AG101),AG98+(RU_Raw!AG101-AG98)/3,"")))</f>
        <v>158.4</v>
      </c>
      <c r="AH99" s="19">
        <f t="shared" si="3"/>
        <v>1930.9</v>
      </c>
    </row>
    <row r="100" spans="1:34">
      <c r="A100" s="6">
        <f>RU_Raw!A100</f>
        <v>2020</v>
      </c>
      <c r="B100" s="6">
        <f>RU_Raw!B100</f>
        <v>12</v>
      </c>
      <c r="C100" s="6" t="str">
        <f>RU_Raw!C100</f>
        <v>December</v>
      </c>
      <c r="D100" s="9">
        <f>RU_Raw!D100</f>
        <v>44166</v>
      </c>
      <c r="E100" s="6">
        <f>COUNTBLANK(RU_Raw!G100:AG100)</f>
        <v>0</v>
      </c>
      <c r="F100" s="6" t="str">
        <f t="shared" si="2"/>
        <v/>
      </c>
      <c r="G100" s="19">
        <f>IF(ISNUMBER(RU_Raw!G100),RU_Raw!G100,IF(ISNUMBER(RU_Raw!G101),(G99+RU_Raw!G101)/2,IF(ISNUMBER(RU_Raw!G102),G99+(RU_Raw!G102-G99)/3,"")))</f>
        <v>146</v>
      </c>
      <c r="H100" s="19">
        <f>IF(ISNUMBER(RU_Raw!H100),RU_Raw!H100,IF(ISNUMBER(RU_Raw!H101),(H99+RU_Raw!H101)/2,IF(ISNUMBER(RU_Raw!H102),H99+(RU_Raw!H102-H99)/3,"")))</f>
        <v>191</v>
      </c>
      <c r="I100" s="19">
        <f>IF(ISNUMBER(RU_Raw!I100),RU_Raw!I100,IF(ISNUMBER(RU_Raw!I101),(I99+RU_Raw!I101)/2,IF(ISNUMBER(RU_Raw!I102),I99+(RU_Raw!I102-I99)/3,"")))</f>
        <v>175.3</v>
      </c>
      <c r="J100" s="19">
        <f>IF(ISNUMBER(RU_Raw!J100),RU_Raw!J100,IF(ISNUMBER(RU_Raw!J101),(J99+RU_Raw!J101)/2,IF(ISNUMBER(RU_Raw!J102),J99+(RU_Raw!J102-J99)/3,"")))</f>
        <v>154.1</v>
      </c>
      <c r="K100" s="19">
        <f>IF(ISNUMBER(RU_Raw!K100),RU_Raw!K100,IF(ISNUMBER(RU_Raw!K101),(K99+RU_Raw!K101)/2,IF(ISNUMBER(RU_Raw!K102),K99+(RU_Raw!K102-K99)/3,"")))</f>
        <v>146.6</v>
      </c>
      <c r="L100" s="19">
        <f>IF(ISNUMBER(RU_Raw!L100),RU_Raw!L100,IF(ISNUMBER(RU_Raw!L101),(L99+RU_Raw!L101)/2,IF(ISNUMBER(RU_Raw!L102),L99+(RU_Raw!L102-L99)/3,"")))</f>
        <v>147.7</v>
      </c>
      <c r="M100" s="19">
        <f>IF(ISNUMBER(RU_Raw!M100),RU_Raw!M100,IF(ISNUMBER(RU_Raw!M101),(M99+RU_Raw!M101)/2,IF(ISNUMBER(RU_Raw!M102),M99+(RU_Raw!M102-M99)/3,"")))</f>
        <v>230.5</v>
      </c>
      <c r="N100" s="19">
        <f>IF(ISNUMBER(RU_Raw!N100),RU_Raw!N100,IF(ISNUMBER(RU_Raw!N101),(N99+RU_Raw!N101)/2,IF(ISNUMBER(RU_Raw!N102),N99+(RU_Raw!N102-N99)/3,"")))</f>
        <v>160.2</v>
      </c>
      <c r="O100" s="19">
        <f>IF(ISNUMBER(RU_Raw!O100),RU_Raw!O100,IF(ISNUMBER(RU_Raw!O101),(O99+RU_Raw!O101)/2,IF(ISNUMBER(RU_Raw!O102),O99+(RU_Raw!O102-O99)/3,"")))</f>
        <v>115.3</v>
      </c>
      <c r="P100" s="19">
        <f>IF(ISNUMBER(RU_Raw!P100),RU_Raw!P100,IF(ISNUMBER(RU_Raw!P101),(P99+RU_Raw!P101)/2,IF(ISNUMBER(RU_Raw!P102),P99+(RU_Raw!P102-P99)/3,"")))</f>
        <v>163</v>
      </c>
      <c r="Q100" s="19">
        <f>IF(ISNUMBER(RU_Raw!Q100),RU_Raw!Q100,IF(ISNUMBER(RU_Raw!Q101),(Q99+RU_Raw!Q101)/2,IF(ISNUMBER(RU_Raw!Q102),Q99+(RU_Raw!Q102-Q99)/3,"")))</f>
        <v>149.2</v>
      </c>
      <c r="R100" s="19">
        <f>IF(ISNUMBER(RU_Raw!R100),RU_Raw!R100,IF(ISNUMBER(RU_Raw!R101),(R99+RU_Raw!R101)/2,IF(ISNUMBER(RU_Raw!R102),R99+(RU_Raw!R102-R99)/3,"")))</f>
        <v>164.8</v>
      </c>
      <c r="S100" s="19">
        <f>IF(ISNUMBER(RU_Raw!S100),RU_Raw!S100,IF(ISNUMBER(RU_Raw!S101),(S99+RU_Raw!S101)/2,IF(ISNUMBER(RU_Raw!S102),S99+(RU_Raw!S102-S99)/3,"")))</f>
        <v>165.4</v>
      </c>
      <c r="T100" s="19">
        <f>IF(ISNUMBER(RU_Raw!T100),RU_Raw!T100,IF(ISNUMBER(RU_Raw!T101),(T99+RU_Raw!T101)/2,IF(ISNUMBER(RU_Raw!T102),T99+(RU_Raw!T102-T99)/3,"")))</f>
        <v>185.4</v>
      </c>
      <c r="U100" s="19">
        <f>IF(ISNUMBER(RU_Raw!U100),RU_Raw!U100,IF(ISNUMBER(RU_Raw!U101),(U99+RU_Raw!U101)/2,IF(ISNUMBER(RU_Raw!U102),U99+(RU_Raw!U102-U99)/3,"")))</f>
        <v>155</v>
      </c>
      <c r="V100" s="19">
        <f>IF(ISNUMBER(RU_Raw!V100),RU_Raw!V100,IF(ISNUMBER(RU_Raw!V101),(V99+RU_Raw!V101)/2,IF(ISNUMBER(RU_Raw!V102),V99+(RU_Raw!V102-V99)/3,"")))</f>
        <v>145.4</v>
      </c>
      <c r="W100" s="19">
        <f>IF(ISNUMBER(RU_Raw!W100),RU_Raw!W100,IF(ISNUMBER(RU_Raw!W101),(W99+RU_Raw!W101)/2,IF(ISNUMBER(RU_Raw!W102),W99+(RU_Raw!W102-W99)/3,"")))</f>
        <v>153.6</v>
      </c>
      <c r="X100" s="19">
        <f>IF(ISNUMBER(RU_Raw!X100),RU_Raw!X100,IF(ISNUMBER(RU_Raw!X101),(X99+RU_Raw!X101)/2,IF(ISNUMBER(RU_Raw!X102),X99+(RU_Raw!X102-X99)/3,"")))</f>
        <v>158.4</v>
      </c>
      <c r="Y100" s="19">
        <f>IF(ISNUMBER(RU_Raw!Y100),RU_Raw!Y100,IF(ISNUMBER(RU_Raw!Y101),(Y99+RU_Raw!Y101)/2,IF(ISNUMBER(RU_Raw!Y102),Y99+(RU_Raw!Y102-Y99)/3,"")))</f>
        <v>144.6</v>
      </c>
      <c r="Z100" s="19">
        <f>IF(ISNUMBER(RU_Raw!Z100),RU_Raw!Z100,IF(ISNUMBER(RU_Raw!Z101),(Z99+RU_Raw!Z101)/2,IF(ISNUMBER(RU_Raw!Z102),Z99+(RU_Raw!Z102-Z99)/3,"")))</f>
        <v>149.7</v>
      </c>
      <c r="AA100" s="19">
        <f>IF(ISNUMBER(RU_Raw!AA100),RU_Raw!AA100,IF(ISNUMBER(RU_Raw!AA101),(AA99+RU_Raw!AA101)/2,IF(ISNUMBER(RU_Raw!AA102),AA99+(RU_Raw!AA102-AA99)/3,"")))</f>
        <v>158.3</v>
      </c>
      <c r="AB100" s="19">
        <f>IF(ISNUMBER(RU_Raw!AB100),RU_Raw!AB100,IF(ISNUMBER(RU_Raw!AB101),(AB99+RU_Raw!AB101)/2,IF(ISNUMBER(RU_Raw!AB102),AB99+(RU_Raw!AB102-AB99)/3,"")))</f>
        <v>140.7</v>
      </c>
      <c r="AC100" s="19">
        <f>IF(ISNUMBER(RU_Raw!AC100),RU_Raw!AC100,IF(ISNUMBER(RU_Raw!AC101),(AC99+RU_Raw!AC101)/2,IF(ISNUMBER(RU_Raw!AC102),AC99+(RU_Raw!AC102-AC99)/3,"")))</f>
        <v>148.5</v>
      </c>
      <c r="AD100" s="19">
        <f>IF(ISNUMBER(RU_Raw!AD100),RU_Raw!AD100,IF(ISNUMBER(RU_Raw!AD101),(AD99+RU_Raw!AD101)/2,IF(ISNUMBER(RU_Raw!AD102),AD99+(RU_Raw!AD102-AD99)/3,"")))</f>
        <v>159.4</v>
      </c>
      <c r="AE100" s="19">
        <f>IF(ISNUMBER(RU_Raw!AE100),RU_Raw!AE100,IF(ISNUMBER(RU_Raw!AE101),(AE99+RU_Raw!AE101)/2,IF(ISNUMBER(RU_Raw!AE102),AE99+(RU_Raw!AE102-AE99)/3,"")))</f>
        <v>157.1</v>
      </c>
      <c r="AF100" s="19">
        <f>IF(ISNUMBER(RU_Raw!AF100),RU_Raw!AF100,IF(ISNUMBER(RU_Raw!AF101),(AF99+RU_Raw!AF101)/2,IF(ISNUMBER(RU_Raw!AF102),AF99+(RU_Raw!AF102-AF99)/3,"")))</f>
        <v>151.2</v>
      </c>
      <c r="AG100" s="19">
        <f>IF(ISNUMBER(RU_Raw!AG100),RU_Raw!AG100,IF(ISNUMBER(RU_Raw!AG101),(AG99+RU_Raw!AG101)/2,IF(ISNUMBER(RU_Raw!AG102),AG99+(RU_Raw!AG102-AG99)/3,"")))</f>
        <v>158.9</v>
      </c>
      <c r="AH100" s="19">
        <f t="shared" si="3"/>
        <v>1943.7</v>
      </c>
    </row>
    <row r="101" spans="1:34">
      <c r="A101" s="6">
        <f>RU_Raw!A101</f>
        <v>2021</v>
      </c>
      <c r="B101" s="6">
        <f>RU_Raw!B101</f>
        <v>1</v>
      </c>
      <c r="C101" s="6" t="str">
        <f>RU_Raw!C101</f>
        <v>January</v>
      </c>
      <c r="D101" s="9">
        <f>RU_Raw!D101</f>
        <v>44197</v>
      </c>
      <c r="E101" s="6">
        <f>COUNTBLANK(RU_Raw!G101:AG101)</f>
        <v>0</v>
      </c>
      <c r="F101" s="6" t="str">
        <f t="shared" si="2"/>
        <v/>
      </c>
      <c r="G101" s="19">
        <f>IF(ISNUMBER(RU_Raw!G101),RU_Raw!G101,IF(ISNUMBER(RU_Raw!G102),(G100+RU_Raw!G102)/2,IF(ISNUMBER(RU_Raw!G103),G100+(RU_Raw!G103-G100)/3,"")))</f>
        <v>144.9</v>
      </c>
      <c r="H101" s="19">
        <f>IF(ISNUMBER(RU_Raw!H101),RU_Raw!H101,IF(ISNUMBER(RU_Raw!H102),(H100+RU_Raw!H102)/2,IF(ISNUMBER(RU_Raw!H103),H100+(RU_Raw!H103-H100)/3,"")))</f>
        <v>190.1</v>
      </c>
      <c r="I101" s="19">
        <f>IF(ISNUMBER(RU_Raw!I101),RU_Raw!I101,IF(ISNUMBER(RU_Raw!I102),(I100+RU_Raw!I102)/2,IF(ISNUMBER(RU_Raw!I103),I100+(RU_Raw!I103-I100)/3,"")))</f>
        <v>175.3</v>
      </c>
      <c r="J101" s="19">
        <f>IF(ISNUMBER(RU_Raw!J101),RU_Raw!J101,IF(ISNUMBER(RU_Raw!J102),(J100+RU_Raw!J102)/2,IF(ISNUMBER(RU_Raw!J103),J100+(RU_Raw!J103-J100)/3,"")))</f>
        <v>154.1</v>
      </c>
      <c r="K101" s="19">
        <f>IF(ISNUMBER(RU_Raw!K101),RU_Raw!K101,IF(ISNUMBER(RU_Raw!K102),(K100+RU_Raw!K102)/2,IF(ISNUMBER(RU_Raw!K103),K100+(RU_Raw!K103-K100)/3,"")))</f>
        <v>150.9</v>
      </c>
      <c r="L101" s="19">
        <f>IF(ISNUMBER(RU_Raw!L101),RU_Raw!L101,IF(ISNUMBER(RU_Raw!L102),(L100+RU_Raw!L102)/2,IF(ISNUMBER(RU_Raw!L103),L100+(RU_Raw!L103-L100)/3,"")))</f>
        <v>149.6</v>
      </c>
      <c r="M101" s="19">
        <f>IF(ISNUMBER(RU_Raw!M101),RU_Raw!M101,IF(ISNUMBER(RU_Raw!M102),(M100+RU_Raw!M102)/2,IF(ISNUMBER(RU_Raw!M103),M100+(RU_Raw!M103-M100)/3,"")))</f>
        <v>194.2</v>
      </c>
      <c r="N101" s="19">
        <f>IF(ISNUMBER(RU_Raw!N101),RU_Raw!N101,IF(ISNUMBER(RU_Raw!N102),(N100+RU_Raw!N102)/2,IF(ISNUMBER(RU_Raw!N103),N100+(RU_Raw!N103-N100)/3,"")))</f>
        <v>160.4</v>
      </c>
      <c r="O101" s="19">
        <f>IF(ISNUMBER(RU_Raw!O101),RU_Raw!O101,IF(ISNUMBER(RU_Raw!O102),(O100+RU_Raw!O102)/2,IF(ISNUMBER(RU_Raw!O103),O100+(RU_Raw!O103-O100)/3,"")))</f>
        <v>114.6</v>
      </c>
      <c r="P101" s="19">
        <f>IF(ISNUMBER(RU_Raw!P101),RU_Raw!P101,IF(ISNUMBER(RU_Raw!P102),(P100+RU_Raw!P102)/2,IF(ISNUMBER(RU_Raw!P103),P100+(RU_Raw!P103-P100)/3,"")))</f>
        <v>164</v>
      </c>
      <c r="Q101" s="19">
        <f>IF(ISNUMBER(RU_Raw!Q101),RU_Raw!Q101,IF(ISNUMBER(RU_Raw!Q102),(Q100+RU_Raw!Q102)/2,IF(ISNUMBER(RU_Raw!Q103),Q100+(RU_Raw!Q103-Q100)/3,"")))</f>
        <v>151.8</v>
      </c>
      <c r="R101" s="19">
        <f>IF(ISNUMBER(RU_Raw!R101),RU_Raw!R101,IF(ISNUMBER(RU_Raw!R102),(R100+RU_Raw!R102)/2,IF(ISNUMBER(RU_Raw!R103),R100+(RU_Raw!R103-R100)/3,"")))</f>
        <v>165.6</v>
      </c>
      <c r="S101" s="19">
        <f>IF(ISNUMBER(RU_Raw!S101),RU_Raw!S101,IF(ISNUMBER(RU_Raw!S102),(S100+RU_Raw!S102)/2,IF(ISNUMBER(RU_Raw!S103),S100+(RU_Raw!S103-S100)/3,"")))</f>
        <v>161</v>
      </c>
      <c r="T101" s="19">
        <f>IF(ISNUMBER(RU_Raw!T101),RU_Raw!T101,IF(ISNUMBER(RU_Raw!T102),(T100+RU_Raw!T102)/2,IF(ISNUMBER(RU_Raw!T103),T100+(RU_Raw!T103-T100)/3,"")))</f>
        <v>186.5</v>
      </c>
      <c r="U101" s="19">
        <f>IF(ISNUMBER(RU_Raw!U101),RU_Raw!U101,IF(ISNUMBER(RU_Raw!U102),(U100+RU_Raw!U102)/2,IF(ISNUMBER(RU_Raw!U103),U100+(RU_Raw!U103-U100)/3,"")))</f>
        <v>155.5</v>
      </c>
      <c r="V101" s="19">
        <f>IF(ISNUMBER(RU_Raw!V101),RU_Raw!V101,IF(ISNUMBER(RU_Raw!V102),(V100+RU_Raw!V102)/2,IF(ISNUMBER(RU_Raw!V103),V100+(RU_Raw!V103-V100)/3,"")))</f>
        <v>146.1</v>
      </c>
      <c r="W101" s="19">
        <f>IF(ISNUMBER(RU_Raw!W101),RU_Raw!W101,IF(ISNUMBER(RU_Raw!W102),(W100+RU_Raw!W102)/2,IF(ISNUMBER(RU_Raw!W103),W100+(RU_Raw!W103-W100)/3,"")))</f>
        <v>154.2</v>
      </c>
      <c r="X101" s="19">
        <f>IF(ISNUMBER(RU_Raw!X101),RU_Raw!X101,IF(ISNUMBER(RU_Raw!X102),(X100+RU_Raw!X102)/2,IF(ISNUMBER(RU_Raw!X103),X100+(RU_Raw!X103-X100)/3,"")))</f>
        <v>157.7</v>
      </c>
      <c r="Y101" s="19">
        <f>IF(ISNUMBER(RU_Raw!Y101),RU_Raw!Y101,IF(ISNUMBER(RU_Raw!Y102),(Y100+RU_Raw!Y102)/2,IF(ISNUMBER(RU_Raw!Y103),Y100+(RU_Raw!Y103-Y100)/3,"")))</f>
        <v>147.9</v>
      </c>
      <c r="Z101" s="19">
        <f>IF(ISNUMBER(RU_Raw!Z101),RU_Raw!Z101,IF(ISNUMBER(RU_Raw!Z102),(Z100+RU_Raw!Z102)/2,IF(ISNUMBER(RU_Raw!Z103),Z100+(RU_Raw!Z103-Z100)/3,"")))</f>
        <v>150</v>
      </c>
      <c r="AA101" s="19">
        <f>IF(ISNUMBER(RU_Raw!AA101),RU_Raw!AA101,IF(ISNUMBER(RU_Raw!AA102),(AA100+RU_Raw!AA102)/2,IF(ISNUMBER(RU_Raw!AA103),AA100+(RU_Raw!AA103-AA100)/3,"")))</f>
        <v>159.3</v>
      </c>
      <c r="AB101" s="19">
        <f>IF(ISNUMBER(RU_Raw!AB101),RU_Raw!AB101,IF(ISNUMBER(RU_Raw!AB102),(AB100+RU_Raw!AB102)/2,IF(ISNUMBER(RU_Raw!AB103),AB100+(RU_Raw!AB103-AB100)/3,"")))</f>
        <v>141.9</v>
      </c>
      <c r="AC101" s="19">
        <f>IF(ISNUMBER(RU_Raw!AC101),RU_Raw!AC101,IF(ISNUMBER(RU_Raw!AC102),(AC100+RU_Raw!AC102)/2,IF(ISNUMBER(RU_Raw!AC103),AC100+(RU_Raw!AC103-AC100)/3,"")))</f>
        <v>149.6</v>
      </c>
      <c r="AD101" s="19">
        <f>IF(ISNUMBER(RU_Raw!AD101),RU_Raw!AD101,IF(ISNUMBER(RU_Raw!AD102),(AD100+RU_Raw!AD102)/2,IF(ISNUMBER(RU_Raw!AD103),AD100+(RU_Raw!AD103-AD100)/3,"")))</f>
        <v>159.2</v>
      </c>
      <c r="AE101" s="19">
        <f>IF(ISNUMBER(RU_Raw!AE101),RU_Raw!AE101,IF(ISNUMBER(RU_Raw!AE102),(AE100+RU_Raw!AE102)/2,IF(ISNUMBER(RU_Raw!AE103),AE100+(RU_Raw!AE103-AE100)/3,"")))</f>
        <v>156.8</v>
      </c>
      <c r="AF101" s="19">
        <f>IF(ISNUMBER(RU_Raw!AF101),RU_Raw!AF101,IF(ISNUMBER(RU_Raw!AF102),(AF100+RU_Raw!AF102)/2,IF(ISNUMBER(RU_Raw!AF103),AF100+(RU_Raw!AF103-AF100)/3,"")))</f>
        <v>151.9</v>
      </c>
      <c r="AG101" s="19">
        <f>IF(ISNUMBER(RU_Raw!AG101),RU_Raw!AG101,IF(ISNUMBER(RU_Raw!AG102),(AG100+RU_Raw!AG102)/2,IF(ISNUMBER(RU_Raw!AG103),AG100+(RU_Raw!AG103-AG100)/3,"")))</f>
        <v>157.3</v>
      </c>
      <c r="AH101" s="19">
        <f t="shared" si="3"/>
        <v>1915.5</v>
      </c>
    </row>
    <row r="102" spans="1:34">
      <c r="A102" s="6">
        <f>RU_Raw!A102</f>
        <v>2021</v>
      </c>
      <c r="B102" s="6">
        <f>RU_Raw!B102</f>
        <v>2</v>
      </c>
      <c r="C102" s="6" t="str">
        <f>RU_Raw!C102</f>
        <v>February</v>
      </c>
      <c r="D102" s="9">
        <f>RU_Raw!D102</f>
        <v>44228</v>
      </c>
      <c r="E102" s="6">
        <f>COUNTBLANK(RU_Raw!G102:AG102)</f>
        <v>0</v>
      </c>
      <c r="F102" s="6" t="str">
        <f t="shared" si="2"/>
        <v/>
      </c>
      <c r="G102" s="19">
        <f>IF(ISNUMBER(RU_Raw!G102),RU_Raw!G102,IF(ISNUMBER(RU_Raw!G103),(G101+RU_Raw!G103)/2,IF(ISNUMBER(RU_Raw!G104),G101+(RU_Raw!G104-G101)/3,"")))</f>
        <v>144.3</v>
      </c>
      <c r="H102" s="19">
        <f>IF(ISNUMBER(RU_Raw!H102),RU_Raw!H102,IF(ISNUMBER(RU_Raw!H103),(H101+RU_Raw!H103)/2,IF(ISNUMBER(RU_Raw!H104),H101+(RU_Raw!H104-H101)/3,"")))</f>
        <v>186.5</v>
      </c>
      <c r="I102" s="19">
        <f>IF(ISNUMBER(RU_Raw!I102),RU_Raw!I102,IF(ISNUMBER(RU_Raw!I103),(I101+RU_Raw!I103)/2,IF(ISNUMBER(RU_Raw!I104),I101+(RU_Raw!I104-I101)/3,"")))</f>
        <v>168.7</v>
      </c>
      <c r="J102" s="19">
        <f>IF(ISNUMBER(RU_Raw!J102),RU_Raw!J102,IF(ISNUMBER(RU_Raw!J103),(J101+RU_Raw!J103)/2,IF(ISNUMBER(RU_Raw!J104),J101+(RU_Raw!J104-J101)/3,"")))</f>
        <v>154.7</v>
      </c>
      <c r="K102" s="19">
        <f>IF(ISNUMBER(RU_Raw!K102),RU_Raw!K102,IF(ISNUMBER(RU_Raw!K103),(K101+RU_Raw!K103)/2,IF(ISNUMBER(RU_Raw!K104),K101+(RU_Raw!K104-K101)/3,"")))</f>
        <v>158.7</v>
      </c>
      <c r="L102" s="19">
        <f>IF(ISNUMBER(RU_Raw!L102),RU_Raw!L102,IF(ISNUMBER(RU_Raw!L103),(L101+RU_Raw!L103)/2,IF(ISNUMBER(RU_Raw!L104),L101+(RU_Raw!L104-L101)/3,"")))</f>
        <v>150.7</v>
      </c>
      <c r="M102" s="19">
        <f>IF(ISNUMBER(RU_Raw!M102),RU_Raw!M102,IF(ISNUMBER(RU_Raw!M103),(M101+RU_Raw!M103)/2,IF(ISNUMBER(RU_Raw!M104),M101+(RU_Raw!M104-M101)/3,"")))</f>
        <v>160</v>
      </c>
      <c r="N102" s="19">
        <f>IF(ISNUMBER(RU_Raw!N102),RU_Raw!N102,IF(ISNUMBER(RU_Raw!N103),(N101+RU_Raw!N103)/2,IF(ISNUMBER(RU_Raw!N104),N101+(RU_Raw!N104-N101)/3,"")))</f>
        <v>158.8</v>
      </c>
      <c r="O102" s="19">
        <f>IF(ISNUMBER(RU_Raw!O102),RU_Raw!O102,IF(ISNUMBER(RU_Raw!O103),(O101+RU_Raw!O103)/2,IF(ISNUMBER(RU_Raw!O104),O101+(RU_Raw!O104-O101)/3,"")))</f>
        <v>112.8</v>
      </c>
      <c r="P102" s="19">
        <f>IF(ISNUMBER(RU_Raw!P102),RU_Raw!P102,IF(ISNUMBER(RU_Raw!P103),(P101+RU_Raw!P103)/2,IF(ISNUMBER(RU_Raw!P104),P101+(RU_Raw!P104-P101)/3,"")))</f>
        <v>164.2</v>
      </c>
      <c r="Q102" s="19">
        <f>IF(ISNUMBER(RU_Raw!Q102),RU_Raw!Q102,IF(ISNUMBER(RU_Raw!Q103),(Q101+RU_Raw!Q103)/2,IF(ISNUMBER(RU_Raw!Q104),Q101+(RU_Raw!Q104-Q101)/3,"")))</f>
        <v>155.5</v>
      </c>
      <c r="R102" s="19">
        <f>IF(ISNUMBER(RU_Raw!R102),RU_Raw!R102,IF(ISNUMBER(RU_Raw!R103),(R101+RU_Raw!R103)/2,IF(ISNUMBER(RU_Raw!R104),R101+(RU_Raw!R104-R101)/3,"")))</f>
        <v>167.5</v>
      </c>
      <c r="S102" s="19">
        <f>IF(ISNUMBER(RU_Raw!S102),RU_Raw!S102,IF(ISNUMBER(RU_Raw!S103),(S101+RU_Raw!S103)/2,IF(ISNUMBER(RU_Raw!S104),S101+(RU_Raw!S104-S101)/3,"")))</f>
        <v>156.9</v>
      </c>
      <c r="T102" s="19">
        <f>IF(ISNUMBER(RU_Raw!T102),RU_Raw!T102,IF(ISNUMBER(RU_Raw!T103),(T101+RU_Raw!T103)/2,IF(ISNUMBER(RU_Raw!T104),T101+(RU_Raw!T104-T101)/3,"")))</f>
        <v>188.3</v>
      </c>
      <c r="U102" s="19">
        <f>IF(ISNUMBER(RU_Raw!U102),RU_Raw!U102,IF(ISNUMBER(RU_Raw!U103),(U101+RU_Raw!U103)/2,IF(ISNUMBER(RU_Raw!U104),U101+(RU_Raw!U104-U101)/3,"")))</f>
        <v>157.2</v>
      </c>
      <c r="V102" s="19">
        <f>IF(ISNUMBER(RU_Raw!V102),RU_Raw!V102,IF(ISNUMBER(RU_Raw!V103),(V101+RU_Raw!V103)/2,IF(ISNUMBER(RU_Raw!V104),V101+(RU_Raw!V104-V101)/3,"")))</f>
        <v>147.4</v>
      </c>
      <c r="W102" s="19">
        <f>IF(ISNUMBER(RU_Raw!W102),RU_Raw!W102,IF(ISNUMBER(RU_Raw!W103),(W101+RU_Raw!W103)/2,IF(ISNUMBER(RU_Raw!W104),W101+(RU_Raw!W104-W101)/3,"")))</f>
        <v>155.8</v>
      </c>
      <c r="X102" s="19">
        <f>IF(ISNUMBER(RU_Raw!X102),RU_Raw!X102,IF(ISNUMBER(RU_Raw!X103),(X101+RU_Raw!X103)/2,IF(ISNUMBER(RU_Raw!X104),X101+(RU_Raw!X104-X101)/3,"")))</f>
        <v>159.8</v>
      </c>
      <c r="Y102" s="19">
        <f>IF(ISNUMBER(RU_Raw!Y102),RU_Raw!Y102,IF(ISNUMBER(RU_Raw!Y103),(Y101+RU_Raw!Y103)/2,IF(ISNUMBER(RU_Raw!Y104),Y101+(RU_Raw!Y104-Y101)/3,"")))</f>
        <v>152.4</v>
      </c>
      <c r="Z102" s="19">
        <f>IF(ISNUMBER(RU_Raw!Z102),RU_Raw!Z102,IF(ISNUMBER(RU_Raw!Z103),(Z101+RU_Raw!Z103)/2,IF(ISNUMBER(RU_Raw!Z104),Z101+(RU_Raw!Z104-Z101)/3,"")))</f>
        <v>150.9</v>
      </c>
      <c r="AA102" s="19">
        <f>IF(ISNUMBER(RU_Raw!AA102),RU_Raw!AA102,IF(ISNUMBER(RU_Raw!AA103),(AA101+RU_Raw!AA103)/2,IF(ISNUMBER(RU_Raw!AA104),AA101+(RU_Raw!AA104-AA101)/3,"")))</f>
        <v>161.3</v>
      </c>
      <c r="AB102" s="19">
        <f>IF(ISNUMBER(RU_Raw!AB102),RU_Raw!AB102,IF(ISNUMBER(RU_Raw!AB103),(AB101+RU_Raw!AB103)/2,IF(ISNUMBER(RU_Raw!AB104),AB101+(RU_Raw!AB104-AB101)/3,"")))</f>
        <v>145.1</v>
      </c>
      <c r="AC102" s="19">
        <f>IF(ISNUMBER(RU_Raw!AC102),RU_Raw!AC102,IF(ISNUMBER(RU_Raw!AC103),(AC101+RU_Raw!AC103)/2,IF(ISNUMBER(RU_Raw!AC104),AC101+(RU_Raw!AC104-AC101)/3,"")))</f>
        <v>151.5</v>
      </c>
      <c r="AD102" s="19">
        <f>IF(ISNUMBER(RU_Raw!AD102),RU_Raw!AD102,IF(ISNUMBER(RU_Raw!AD103),(AD101+RU_Raw!AD103)/2,IF(ISNUMBER(RU_Raw!AD104),AD101+(RU_Raw!AD104-AD101)/3,"")))</f>
        <v>159.5</v>
      </c>
      <c r="AE102" s="19">
        <f>IF(ISNUMBER(RU_Raw!AE102),RU_Raw!AE102,IF(ISNUMBER(RU_Raw!AE103),(AE101+RU_Raw!AE103)/2,IF(ISNUMBER(RU_Raw!AE104),AE101+(RU_Raw!AE104-AE101)/3,"")))</f>
        <v>155.8</v>
      </c>
      <c r="AF102" s="19">
        <f>IF(ISNUMBER(RU_Raw!AF102),RU_Raw!AF102,IF(ISNUMBER(RU_Raw!AF103),(AF101+RU_Raw!AF103)/2,IF(ISNUMBER(RU_Raw!AF104),AF101+(RU_Raw!AF104-AF101)/3,"")))</f>
        <v>153.4</v>
      </c>
      <c r="AG102" s="19">
        <f>IF(ISNUMBER(RU_Raw!AG102),RU_Raw!AG102,IF(ISNUMBER(RU_Raw!AG103),(AG101+RU_Raw!AG103)/2,IF(ISNUMBER(RU_Raw!AG104),AG101+(RU_Raw!AG104-AG101)/3,"")))</f>
        <v>156.6</v>
      </c>
      <c r="AH102" s="19">
        <f t="shared" si="3"/>
        <v>1882.4</v>
      </c>
    </row>
    <row r="103" spans="1:34">
      <c r="A103" s="6">
        <f>RU_Raw!A103</f>
        <v>2021</v>
      </c>
      <c r="B103" s="6">
        <f>RU_Raw!B103</f>
        <v>3</v>
      </c>
      <c r="C103" s="6" t="str">
        <f>RU_Raw!C103</f>
        <v>March</v>
      </c>
      <c r="D103" s="9">
        <f>RU_Raw!D103</f>
        <v>44256</v>
      </c>
      <c r="E103" s="6">
        <f>COUNTBLANK(RU_Raw!G103:AG103)</f>
        <v>0</v>
      </c>
      <c r="F103" s="6" t="str">
        <f t="shared" si="2"/>
        <v/>
      </c>
      <c r="G103" s="19">
        <f>IF(ISNUMBER(RU_Raw!G103),RU_Raw!G103,IF(ISNUMBER(RU_Raw!G104),(G102+RU_Raw!G104)/2,IF(ISNUMBER(RU_Raw!G105),G102+(RU_Raw!G105-G102)/3,"")))</f>
        <v>144.1</v>
      </c>
      <c r="H103" s="19">
        <f>IF(ISNUMBER(RU_Raw!H103),RU_Raw!H103,IF(ISNUMBER(RU_Raw!H104),(H102+RU_Raw!H104)/2,IF(ISNUMBER(RU_Raw!H105),H102+(RU_Raw!H105-H102)/3,"")))</f>
        <v>192.2</v>
      </c>
      <c r="I103" s="19">
        <f>IF(ISNUMBER(RU_Raw!I103),RU_Raw!I103,IF(ISNUMBER(RU_Raw!I104),(I102+RU_Raw!I104)/2,IF(ISNUMBER(RU_Raw!I105),I102+(RU_Raw!I105-I102)/3,"")))</f>
        <v>163.8</v>
      </c>
      <c r="J103" s="19">
        <f>IF(ISNUMBER(RU_Raw!J103),RU_Raw!J103,IF(ISNUMBER(RU_Raw!J104),(J102+RU_Raw!J104)/2,IF(ISNUMBER(RU_Raw!J105),J102+(RU_Raw!J105-J102)/3,"")))</f>
        <v>154.9</v>
      </c>
      <c r="K103" s="19">
        <f>IF(ISNUMBER(RU_Raw!K103),RU_Raw!K103,IF(ISNUMBER(RU_Raw!K104),(K102+RU_Raw!K104)/2,IF(ISNUMBER(RU_Raw!K105),K102+(RU_Raw!K105-K102)/3,"")))</f>
        <v>163.9</v>
      </c>
      <c r="L103" s="19">
        <f>IF(ISNUMBER(RU_Raw!L103),RU_Raw!L103,IF(ISNUMBER(RU_Raw!L104),(L102+RU_Raw!L104)/2,IF(ISNUMBER(RU_Raw!L105),L102+(RU_Raw!L105-L102)/3,"")))</f>
        <v>153.7</v>
      </c>
      <c r="M103" s="19">
        <f>IF(ISNUMBER(RU_Raw!M103),RU_Raw!M103,IF(ISNUMBER(RU_Raw!M104),(M102+RU_Raw!M104)/2,IF(ISNUMBER(RU_Raw!M105),M102+(RU_Raw!M105-M102)/3,"")))</f>
        <v>149.5</v>
      </c>
      <c r="N103" s="19">
        <f>IF(ISNUMBER(RU_Raw!N103),RU_Raw!N103,IF(ISNUMBER(RU_Raw!N104),(N102+RU_Raw!N104)/2,IF(ISNUMBER(RU_Raw!N105),N102+(RU_Raw!N105-N102)/3,"")))</f>
        <v>159.8</v>
      </c>
      <c r="O103" s="19">
        <f>IF(ISNUMBER(RU_Raw!O103),RU_Raw!O103,IF(ISNUMBER(RU_Raw!O104),(O102+RU_Raw!O104)/2,IF(ISNUMBER(RU_Raw!O105),O102+(RU_Raw!O105-O102)/3,"")))</f>
        <v>112.6</v>
      </c>
      <c r="P103" s="19">
        <f>IF(ISNUMBER(RU_Raw!P103),RU_Raw!P103,IF(ISNUMBER(RU_Raw!P104),(P102+RU_Raw!P104)/2,IF(ISNUMBER(RU_Raw!P105),P102+(RU_Raw!P105-P102)/3,"")))</f>
        <v>163.5</v>
      </c>
      <c r="Q103" s="19">
        <f>IF(ISNUMBER(RU_Raw!Q103),RU_Raw!Q103,IF(ISNUMBER(RU_Raw!Q104),(Q102+RU_Raw!Q104)/2,IF(ISNUMBER(RU_Raw!Q105),Q102+(RU_Raw!Q105-Q102)/3,"")))</f>
        <v>156.5</v>
      </c>
      <c r="R103" s="19">
        <f>IF(ISNUMBER(RU_Raw!R103),RU_Raw!R103,IF(ISNUMBER(RU_Raw!R104),(R102+RU_Raw!R104)/2,IF(ISNUMBER(RU_Raw!R105),R102+(RU_Raw!R105-R102)/3,"")))</f>
        <v>168.2</v>
      </c>
      <c r="S103" s="19">
        <f>IF(ISNUMBER(RU_Raw!S103),RU_Raw!S103,IF(ISNUMBER(RU_Raw!S104),(S102+RU_Raw!S104)/2,IF(ISNUMBER(RU_Raw!S105),S102+(RU_Raw!S105-S102)/3,"")))</f>
        <v>156.7</v>
      </c>
      <c r="T103" s="19">
        <f>IF(ISNUMBER(RU_Raw!T103),RU_Raw!T103,IF(ISNUMBER(RU_Raw!T104),(T102+RU_Raw!T104)/2,IF(ISNUMBER(RU_Raw!T105),T102+(RU_Raw!T105-T102)/3,"")))</f>
        <v>188.1</v>
      </c>
      <c r="U103" s="19">
        <f>IF(ISNUMBER(RU_Raw!U103),RU_Raw!U103,IF(ISNUMBER(RU_Raw!U104),(U102+RU_Raw!U104)/2,IF(ISNUMBER(RU_Raw!U105),U102+(RU_Raw!U105-U102)/3,"")))</f>
        <v>157.8</v>
      </c>
      <c r="V103" s="19">
        <f>IF(ISNUMBER(RU_Raw!V103),RU_Raw!V103,IF(ISNUMBER(RU_Raw!V104),(V102+RU_Raw!V104)/2,IF(ISNUMBER(RU_Raw!V105),V102+(RU_Raw!V105-V102)/3,"")))</f>
        <v>147.9</v>
      </c>
      <c r="W103" s="19">
        <f>IF(ISNUMBER(RU_Raw!W103),RU_Raw!W103,IF(ISNUMBER(RU_Raw!W104),(W102+RU_Raw!W104)/2,IF(ISNUMBER(RU_Raw!W105),W102+(RU_Raw!W105-W102)/3,"")))</f>
        <v>156.4</v>
      </c>
      <c r="X103" s="19">
        <f>IF(ISNUMBER(RU_Raw!X103),RU_Raw!X103,IF(ISNUMBER(RU_Raw!X104),(X102+RU_Raw!X104)/2,IF(ISNUMBER(RU_Raw!X105),X102+(RU_Raw!X105-X102)/3,"")))</f>
        <v>159.9</v>
      </c>
      <c r="Y103" s="19">
        <f>IF(ISNUMBER(RU_Raw!Y103),RU_Raw!Y103,IF(ISNUMBER(RU_Raw!Y104),(Y102+RU_Raw!Y104)/2,IF(ISNUMBER(RU_Raw!Y105),Y102+(RU_Raw!Y105-Y102)/3,"")))</f>
        <v>155.5</v>
      </c>
      <c r="Z103" s="19">
        <f>IF(ISNUMBER(RU_Raw!Z103),RU_Raw!Z103,IF(ISNUMBER(RU_Raw!Z104),(Z102+RU_Raw!Z104)/2,IF(ISNUMBER(RU_Raw!Z105),Z102+(RU_Raw!Z105-Z102)/3,"")))</f>
        <v>151.2</v>
      </c>
      <c r="AA103" s="19">
        <f>IF(ISNUMBER(RU_Raw!AA103),RU_Raw!AA103,IF(ISNUMBER(RU_Raw!AA104),(AA102+RU_Raw!AA104)/2,IF(ISNUMBER(RU_Raw!AA105),AA102+(RU_Raw!AA105-AA102)/3,"")))</f>
        <v>161.7</v>
      </c>
      <c r="AB103" s="19">
        <f>IF(ISNUMBER(RU_Raw!AB103),RU_Raw!AB103,IF(ISNUMBER(RU_Raw!AB104),(AB102+RU_Raw!AB104)/2,IF(ISNUMBER(RU_Raw!AB105),AB102+(RU_Raw!AB105-AB102)/3,"")))</f>
        <v>146.2</v>
      </c>
      <c r="AC103" s="19">
        <f>IF(ISNUMBER(RU_Raw!AC103),RU_Raw!AC103,IF(ISNUMBER(RU_Raw!AC104),(AC102+RU_Raw!AC104)/2,IF(ISNUMBER(RU_Raw!AC105),AC102+(RU_Raw!AC105-AC102)/3,"")))</f>
        <v>152.6</v>
      </c>
      <c r="AD103" s="19">
        <f>IF(ISNUMBER(RU_Raw!AD103),RU_Raw!AD103,IF(ISNUMBER(RU_Raw!AD104),(AD102+RU_Raw!AD104)/2,IF(ISNUMBER(RU_Raw!AD105),AD102+(RU_Raw!AD105-AD102)/3,"")))</f>
        <v>160.2</v>
      </c>
      <c r="AE103" s="19">
        <f>IF(ISNUMBER(RU_Raw!AE103),RU_Raw!AE103,IF(ISNUMBER(RU_Raw!AE104),(AE102+RU_Raw!AE104)/2,IF(ISNUMBER(RU_Raw!AE105),AE102+(RU_Raw!AE105-AE102)/3,"")))</f>
        <v>153.8</v>
      </c>
      <c r="AF103" s="19">
        <f>IF(ISNUMBER(RU_Raw!AF103),RU_Raw!AF103,IF(ISNUMBER(RU_Raw!AF104),(AF102+RU_Raw!AF104)/2,IF(ISNUMBER(RU_Raw!AF105),AF102+(RU_Raw!AF105-AF102)/3,"")))</f>
        <v>153.8</v>
      </c>
      <c r="AG103" s="19">
        <f>IF(ISNUMBER(RU_Raw!AG103),RU_Raw!AG103,IF(ISNUMBER(RU_Raw!AG104),(AG102+RU_Raw!AG104)/2,IF(ISNUMBER(RU_Raw!AG105),AG102+(RU_Raw!AG105-AG102)/3,"")))</f>
        <v>156.8</v>
      </c>
      <c r="AH103" s="19">
        <f t="shared" si="3"/>
        <v>1882.7</v>
      </c>
    </row>
    <row r="104" spans="1:34">
      <c r="A104" s="6">
        <f>RU_Raw!A104</f>
        <v>2021</v>
      </c>
      <c r="B104" s="6">
        <f>RU_Raw!B104</f>
        <v>4</v>
      </c>
      <c r="C104" s="6" t="str">
        <f>RU_Raw!C104</f>
        <v>April</v>
      </c>
      <c r="D104" s="9">
        <f>RU_Raw!D104</f>
        <v>44287</v>
      </c>
      <c r="E104" s="6">
        <f>COUNTBLANK(RU_Raw!G104:AG104)</f>
        <v>0</v>
      </c>
      <c r="F104" s="6" t="str">
        <f t="shared" si="2"/>
        <v/>
      </c>
      <c r="G104" s="19">
        <f>IF(ISNUMBER(RU_Raw!G104),RU_Raw!G104,IF(ISNUMBER(RU_Raw!G105),(G103+RU_Raw!G105)/2,IF(ISNUMBER(RU_Raw!G106),G103+(RU_Raw!G106-G103)/3,"")))</f>
        <v>144.3</v>
      </c>
      <c r="H104" s="19">
        <f>IF(ISNUMBER(RU_Raw!H104),RU_Raw!H104,IF(ISNUMBER(RU_Raw!H105),(H103+RU_Raw!H105)/2,IF(ISNUMBER(RU_Raw!H106),H103+(RU_Raw!H106-H103)/3,"")))</f>
        <v>198</v>
      </c>
      <c r="I104" s="19">
        <f>IF(ISNUMBER(RU_Raw!I104),RU_Raw!I104,IF(ISNUMBER(RU_Raw!I105),(I103+RU_Raw!I105)/2,IF(ISNUMBER(RU_Raw!I106),I103+(RU_Raw!I106-I103)/3,"")))</f>
        <v>164.6</v>
      </c>
      <c r="J104" s="19">
        <f>IF(ISNUMBER(RU_Raw!J104),RU_Raw!J104,IF(ISNUMBER(RU_Raw!J105),(J103+RU_Raw!J105)/2,IF(ISNUMBER(RU_Raw!J106),J103+(RU_Raw!J106-J103)/3,"")))</f>
        <v>155.4</v>
      </c>
      <c r="K104" s="19">
        <f>IF(ISNUMBER(RU_Raw!K104),RU_Raw!K104,IF(ISNUMBER(RU_Raw!K105),(K103+RU_Raw!K105)/2,IF(ISNUMBER(RU_Raw!K106),K103+(RU_Raw!K106-K103)/3,"")))</f>
        <v>170.1</v>
      </c>
      <c r="L104" s="19">
        <f>IF(ISNUMBER(RU_Raw!L104),RU_Raw!L104,IF(ISNUMBER(RU_Raw!L105),(L103+RU_Raw!L105)/2,IF(ISNUMBER(RU_Raw!L106),L103+(RU_Raw!L106-L103)/3,"")))</f>
        <v>164.4</v>
      </c>
      <c r="M104" s="19">
        <f>IF(ISNUMBER(RU_Raw!M104),RU_Raw!M104,IF(ISNUMBER(RU_Raw!M105),(M103+RU_Raw!M105)/2,IF(ISNUMBER(RU_Raw!M106),M103+(RU_Raw!M106-M103)/3,"")))</f>
        <v>144.1</v>
      </c>
      <c r="N104" s="19">
        <f>IF(ISNUMBER(RU_Raw!N104),RU_Raw!N104,IF(ISNUMBER(RU_Raw!N105),(N103+RU_Raw!N105)/2,IF(ISNUMBER(RU_Raw!N106),N103+(RU_Raw!N106-N103)/3,"")))</f>
        <v>161.7</v>
      </c>
      <c r="O104" s="19">
        <f>IF(ISNUMBER(RU_Raw!O104),RU_Raw!O104,IF(ISNUMBER(RU_Raw!O105),(O103+RU_Raw!O105)/2,IF(ISNUMBER(RU_Raw!O106),O103+(RU_Raw!O106-O103)/3,"")))</f>
        <v>113.1</v>
      </c>
      <c r="P104" s="19">
        <f>IF(ISNUMBER(RU_Raw!P104),RU_Raw!P104,IF(ISNUMBER(RU_Raw!P105),(P103+RU_Raw!P105)/2,IF(ISNUMBER(RU_Raw!P106),P103+(RU_Raw!P106-P103)/3,"")))</f>
        <v>163.9</v>
      </c>
      <c r="Q104" s="19">
        <f>IF(ISNUMBER(RU_Raw!Q104),RU_Raw!Q104,IF(ISNUMBER(RU_Raw!Q105),(Q103+RU_Raw!Q105)/2,IF(ISNUMBER(RU_Raw!Q106),Q103+(RU_Raw!Q106-Q103)/3,"")))</f>
        <v>157.6</v>
      </c>
      <c r="R104" s="19">
        <f>IF(ISNUMBER(RU_Raw!R104),RU_Raw!R104,IF(ISNUMBER(RU_Raw!R105),(R103+RU_Raw!R105)/2,IF(ISNUMBER(RU_Raw!R106),R103+(RU_Raw!R106-R103)/3,"")))</f>
        <v>168.9</v>
      </c>
      <c r="S104" s="19">
        <f>IF(ISNUMBER(RU_Raw!S104),RU_Raw!S104,IF(ISNUMBER(RU_Raw!S105),(S103+RU_Raw!S105)/2,IF(ISNUMBER(RU_Raw!S106),S103+(RU_Raw!S106-S103)/3,"")))</f>
        <v>158</v>
      </c>
      <c r="T104" s="19">
        <f>IF(ISNUMBER(RU_Raw!T104),RU_Raw!T104,IF(ISNUMBER(RU_Raw!T105),(T103+RU_Raw!T105)/2,IF(ISNUMBER(RU_Raw!T106),T103+(RU_Raw!T106-T103)/3,"")))</f>
        <v>188.8</v>
      </c>
      <c r="U104" s="19">
        <f>IF(ISNUMBER(RU_Raw!U104),RU_Raw!U104,IF(ISNUMBER(RU_Raw!U105),(U103+RU_Raw!U105)/2,IF(ISNUMBER(RU_Raw!U106),U103+(RU_Raw!U106-U103)/3,"")))</f>
        <v>158.8</v>
      </c>
      <c r="V104" s="19">
        <f>IF(ISNUMBER(RU_Raw!V104),RU_Raw!V104,IF(ISNUMBER(RU_Raw!V105),(V103+RU_Raw!V105)/2,IF(ISNUMBER(RU_Raw!V106),V103+(RU_Raw!V106-V103)/3,"")))</f>
        <v>148.5</v>
      </c>
      <c r="W104" s="19">
        <f>IF(ISNUMBER(RU_Raw!W104),RU_Raw!W104,IF(ISNUMBER(RU_Raw!W105),(W103+RU_Raw!W105)/2,IF(ISNUMBER(RU_Raw!W106),W103+(RU_Raw!W106-W103)/3,"")))</f>
        <v>157.3</v>
      </c>
      <c r="X104" s="19">
        <f>IF(ISNUMBER(RU_Raw!X104),RU_Raw!X104,IF(ISNUMBER(RU_Raw!X105),(X103+RU_Raw!X105)/2,IF(ISNUMBER(RU_Raw!X106),X103+(RU_Raw!X106-X103)/3,"")))</f>
        <v>161.4</v>
      </c>
      <c r="Y104" s="19">
        <f>IF(ISNUMBER(RU_Raw!Y104),RU_Raw!Y104,IF(ISNUMBER(RU_Raw!Y105),(Y103+RU_Raw!Y105)/2,IF(ISNUMBER(RU_Raw!Y106),Y103+(RU_Raw!Y106-Y103)/3,"")))</f>
        <v>155.6</v>
      </c>
      <c r="Z104" s="19">
        <f>IF(ISNUMBER(RU_Raw!Z104),RU_Raw!Z104,IF(ISNUMBER(RU_Raw!Z105),(Z103+RU_Raw!Z105)/2,IF(ISNUMBER(RU_Raw!Z106),Z103+(RU_Raw!Z106-Z103)/3,"")))</f>
        <v>151.8</v>
      </c>
      <c r="AA104" s="19">
        <f>IF(ISNUMBER(RU_Raw!AA104),RU_Raw!AA104,IF(ISNUMBER(RU_Raw!AA105),(AA103+RU_Raw!AA105)/2,IF(ISNUMBER(RU_Raw!AA106),AA103+(RU_Raw!AA106-AA103)/3,"")))</f>
        <v>162.3</v>
      </c>
      <c r="AB104" s="19">
        <f>IF(ISNUMBER(RU_Raw!AB104),RU_Raw!AB104,IF(ISNUMBER(RU_Raw!AB105),(AB103+RU_Raw!AB105)/2,IF(ISNUMBER(RU_Raw!AB106),AB103+(RU_Raw!AB106-AB103)/3,"")))</f>
        <v>146.6</v>
      </c>
      <c r="AC104" s="19">
        <f>IF(ISNUMBER(RU_Raw!AC104),RU_Raw!AC104,IF(ISNUMBER(RU_Raw!AC105),(AC103+RU_Raw!AC105)/2,IF(ISNUMBER(RU_Raw!AC106),AC103+(RU_Raw!AC106-AC103)/3,"")))</f>
        <v>153.2</v>
      </c>
      <c r="AD104" s="19">
        <f>IF(ISNUMBER(RU_Raw!AD104),RU_Raw!AD104,IF(ISNUMBER(RU_Raw!AD105),(AD103+RU_Raw!AD105)/2,IF(ISNUMBER(RU_Raw!AD106),AD103+(RU_Raw!AD106-AD103)/3,"")))</f>
        <v>160.3</v>
      </c>
      <c r="AE104" s="19">
        <f>IF(ISNUMBER(RU_Raw!AE104),RU_Raw!AE104,IF(ISNUMBER(RU_Raw!AE105),(AE103+RU_Raw!AE105)/2,IF(ISNUMBER(RU_Raw!AE106),AE103+(RU_Raw!AE106-AE103)/3,"")))</f>
        <v>155.4</v>
      </c>
      <c r="AF104" s="19">
        <f>IF(ISNUMBER(RU_Raw!AF104),RU_Raw!AF104,IF(ISNUMBER(RU_Raw!AF105),(AF103+RU_Raw!AF105)/2,IF(ISNUMBER(RU_Raw!AF106),AF103+(RU_Raw!AF106-AF103)/3,"")))</f>
        <v>154.4</v>
      </c>
      <c r="AG104" s="19">
        <f>IF(ISNUMBER(RU_Raw!AG104),RU_Raw!AG104,IF(ISNUMBER(RU_Raw!AG105),(AG103+RU_Raw!AG105)/2,IF(ISNUMBER(RU_Raw!AG106),AG103+(RU_Raw!AG106-AG103)/3,"")))</f>
        <v>157.8</v>
      </c>
      <c r="AH104" s="19">
        <f t="shared" si="3"/>
        <v>1906.1</v>
      </c>
    </row>
    <row r="105" spans="1:34">
      <c r="A105" s="6">
        <f>RU_Raw!A105</f>
        <v>2021</v>
      </c>
      <c r="B105" s="6">
        <f>RU_Raw!B105</f>
        <v>5</v>
      </c>
      <c r="C105" s="6" t="str">
        <f>RU_Raw!C105</f>
        <v>May</v>
      </c>
      <c r="D105" s="9">
        <f>RU_Raw!D105</f>
        <v>44317</v>
      </c>
      <c r="E105" s="6">
        <f>COUNTBLANK(RU_Raw!G105:AG105)</f>
        <v>0</v>
      </c>
      <c r="F105" s="6" t="str">
        <f t="shared" si="2"/>
        <v/>
      </c>
      <c r="G105" s="19">
        <f>IF(ISNUMBER(RU_Raw!G105),RU_Raw!G105,IF(ISNUMBER(RU_Raw!G106),(G104+RU_Raw!G106)/2,IF(ISNUMBER(RU_Raw!G107),G104+(RU_Raw!G107-G104)/3,"")))</f>
        <v>146.3</v>
      </c>
      <c r="H105" s="19">
        <f>IF(ISNUMBER(RU_Raw!H105),RU_Raw!H105,IF(ISNUMBER(RU_Raw!H106),(H104+RU_Raw!H106)/2,IF(ISNUMBER(RU_Raw!H107),H104+(RU_Raw!H107-H104)/3,"")))</f>
        <v>200.5</v>
      </c>
      <c r="I105" s="19">
        <f>IF(ISNUMBER(RU_Raw!I105),RU_Raw!I105,IF(ISNUMBER(RU_Raw!I106),(I104+RU_Raw!I106)/2,IF(ISNUMBER(RU_Raw!I107),I104+(RU_Raw!I107-I104)/3,"")))</f>
        <v>170.3</v>
      </c>
      <c r="J105" s="19">
        <f>IF(ISNUMBER(RU_Raw!J105),RU_Raw!J105,IF(ISNUMBER(RU_Raw!J106),(J104+RU_Raw!J106)/2,IF(ISNUMBER(RU_Raw!J107),J104+(RU_Raw!J107-J104)/3,"")))</f>
        <v>156.1</v>
      </c>
      <c r="K105" s="19">
        <f>IF(ISNUMBER(RU_Raw!K105),RU_Raw!K105,IF(ISNUMBER(RU_Raw!K106),(K104+RU_Raw!K106)/2,IF(ISNUMBER(RU_Raw!K107),K104+(RU_Raw!K107-K104)/3,"")))</f>
        <v>178.7</v>
      </c>
      <c r="L105" s="19">
        <f>IF(ISNUMBER(RU_Raw!L105),RU_Raw!L105,IF(ISNUMBER(RU_Raw!L106),(L104+RU_Raw!L106)/2,IF(ISNUMBER(RU_Raw!L107),L104+(RU_Raw!L107-L104)/3,"")))</f>
        <v>167.1</v>
      </c>
      <c r="M105" s="19">
        <f>IF(ISNUMBER(RU_Raw!M105),RU_Raw!M105,IF(ISNUMBER(RU_Raw!M106),(M104+RU_Raw!M106)/2,IF(ISNUMBER(RU_Raw!M107),M104+(RU_Raw!M107-M104)/3,"")))</f>
        <v>147.9</v>
      </c>
      <c r="N105" s="19">
        <f>IF(ISNUMBER(RU_Raw!N105),RU_Raw!N105,IF(ISNUMBER(RU_Raw!N106),(N104+RU_Raw!N106)/2,IF(ISNUMBER(RU_Raw!N107),N104+(RU_Raw!N107-N104)/3,"")))</f>
        <v>165.4</v>
      </c>
      <c r="O105" s="19">
        <f>IF(ISNUMBER(RU_Raw!O105),RU_Raw!O105,IF(ISNUMBER(RU_Raw!O106),(O104+RU_Raw!O106)/2,IF(ISNUMBER(RU_Raw!O107),O104+(RU_Raw!O107-O104)/3,"")))</f>
        <v>114.8</v>
      </c>
      <c r="P105" s="19">
        <f>IF(ISNUMBER(RU_Raw!P105),RU_Raw!P105,IF(ISNUMBER(RU_Raw!P106),(P104+RU_Raw!P106)/2,IF(ISNUMBER(RU_Raw!P107),P104+(RU_Raw!P107-P104)/3,"")))</f>
        <v>168.2</v>
      </c>
      <c r="Q105" s="19">
        <f>IF(ISNUMBER(RU_Raw!Q105),RU_Raw!Q105,IF(ISNUMBER(RU_Raw!Q106),(Q104+RU_Raw!Q106)/2,IF(ISNUMBER(RU_Raw!Q107),Q104+(RU_Raw!Q107-Q104)/3,"")))</f>
        <v>159.3</v>
      </c>
      <c r="R105" s="19">
        <f>IF(ISNUMBER(RU_Raw!R105),RU_Raw!R105,IF(ISNUMBER(RU_Raw!R106),(R104+RU_Raw!R106)/2,IF(ISNUMBER(RU_Raw!R107),R104+(RU_Raw!R107-R104)/3,"")))</f>
        <v>170.4</v>
      </c>
      <c r="S105" s="19">
        <f>IF(ISNUMBER(RU_Raw!S105),RU_Raw!S105,IF(ISNUMBER(RU_Raw!S106),(S104+RU_Raw!S106)/2,IF(ISNUMBER(RU_Raw!S107),S104+(RU_Raw!S107-S104)/3,"")))</f>
        <v>160.7</v>
      </c>
      <c r="T105" s="19">
        <f>IF(ISNUMBER(RU_Raw!T105),RU_Raw!T105,IF(ISNUMBER(RU_Raw!T106),(T104+RU_Raw!T106)/2,IF(ISNUMBER(RU_Raw!T107),T104+(RU_Raw!T107-T104)/3,"")))</f>
        <v>191.9</v>
      </c>
      <c r="U105" s="19">
        <f>IF(ISNUMBER(RU_Raw!U105),RU_Raw!U105,IF(ISNUMBER(RU_Raw!U106),(U104+RU_Raw!U106)/2,IF(ISNUMBER(RU_Raw!U107),U104+(RU_Raw!U107-U104)/3,"")))</f>
        <v>161.8</v>
      </c>
      <c r="V105" s="19">
        <f>IF(ISNUMBER(RU_Raw!V105),RU_Raw!V105,IF(ISNUMBER(RU_Raw!V106),(V104+RU_Raw!V106)/2,IF(ISNUMBER(RU_Raw!V107),V104+(RU_Raw!V107-V104)/3,"")))</f>
        <v>152.1</v>
      </c>
      <c r="W105" s="19">
        <f>IF(ISNUMBER(RU_Raw!W105),RU_Raw!W105,IF(ISNUMBER(RU_Raw!W106),(W104+RU_Raw!W106)/2,IF(ISNUMBER(RU_Raw!W107),W104+(RU_Raw!W107-W104)/3,"")))</f>
        <v>160.4</v>
      </c>
      <c r="X105" s="19">
        <f>IF(ISNUMBER(RU_Raw!X105),RU_Raw!X105,IF(ISNUMBER(RU_Raw!X106),(X104+RU_Raw!X106)/2,IF(ISNUMBER(RU_Raw!X107),X104+(RU_Raw!X107-X104)/3,"")))</f>
        <v>161.6</v>
      </c>
      <c r="Y105" s="19">
        <f>IF(ISNUMBER(RU_Raw!Y105),RU_Raw!Y105,IF(ISNUMBER(RU_Raw!Y106),(Y104+RU_Raw!Y106)/2,IF(ISNUMBER(RU_Raw!Y107),Y104+(RU_Raw!Y107-Y104)/3,"")))</f>
        <v>159.4</v>
      </c>
      <c r="Z105" s="19">
        <f>IF(ISNUMBER(RU_Raw!Z105),RU_Raw!Z105,IF(ISNUMBER(RU_Raw!Z106),(Z104+RU_Raw!Z106)/2,IF(ISNUMBER(RU_Raw!Z107),Z104+(RU_Raw!Z107-Z104)/3,"")))</f>
        <v>154.7</v>
      </c>
      <c r="AA105" s="19">
        <f>IF(ISNUMBER(RU_Raw!AA105),RU_Raw!AA105,IF(ISNUMBER(RU_Raw!AA106),(AA104+RU_Raw!AA106)/2,IF(ISNUMBER(RU_Raw!AA107),AA104+(RU_Raw!AA107-AA104)/3,"")))</f>
        <v>165.8</v>
      </c>
      <c r="AB105" s="19">
        <f>IF(ISNUMBER(RU_Raw!AB105),RU_Raw!AB105,IF(ISNUMBER(RU_Raw!AB106),(AB104+RU_Raw!AB106)/2,IF(ISNUMBER(RU_Raw!AB107),AB104+(RU_Raw!AB107-AB104)/3,"")))</f>
        <v>148.9</v>
      </c>
      <c r="AC105" s="19">
        <f>IF(ISNUMBER(RU_Raw!AC105),RU_Raw!AC105,IF(ISNUMBER(RU_Raw!AC106),(AC104+RU_Raw!AC106)/2,IF(ISNUMBER(RU_Raw!AC107),AC104+(RU_Raw!AC107-AC104)/3,"")))</f>
        <v>155.8</v>
      </c>
      <c r="AD105" s="19">
        <f>IF(ISNUMBER(RU_Raw!AD105),RU_Raw!AD105,IF(ISNUMBER(RU_Raw!AD106),(AD104+RU_Raw!AD106)/2,IF(ISNUMBER(RU_Raw!AD107),AD104+(RU_Raw!AD107-AD104)/3,"")))</f>
        <v>161.2</v>
      </c>
      <c r="AE105" s="19">
        <f>IF(ISNUMBER(RU_Raw!AE105),RU_Raw!AE105,IF(ISNUMBER(RU_Raw!AE106),(AE104+RU_Raw!AE106)/2,IF(ISNUMBER(RU_Raw!AE107),AE104+(RU_Raw!AE107-AE104)/3,"")))</f>
        <v>158.6</v>
      </c>
      <c r="AF105" s="19">
        <f>IF(ISNUMBER(RU_Raw!AF105),RU_Raw!AF105,IF(ISNUMBER(RU_Raw!AF106),(AF104+RU_Raw!AF106)/2,IF(ISNUMBER(RU_Raw!AF107),AF104+(RU_Raw!AF107-AF104)/3,"")))</f>
        <v>156.8</v>
      </c>
      <c r="AG105" s="19">
        <f>IF(ISNUMBER(RU_Raw!AG105),RU_Raw!AG105,IF(ISNUMBER(RU_Raw!AG106),(AG104+RU_Raw!AG106)/2,IF(ISNUMBER(RU_Raw!AG107),AG104+(RU_Raw!AG107-AG104)/3,"")))</f>
        <v>160.4</v>
      </c>
      <c r="AH105" s="19">
        <f t="shared" si="3"/>
        <v>1945</v>
      </c>
    </row>
    <row r="106" spans="1:34">
      <c r="A106" s="6">
        <f>RU_Raw!A106</f>
        <v>2021</v>
      </c>
      <c r="B106" s="6">
        <f>RU_Raw!B106</f>
        <v>6</v>
      </c>
      <c r="C106" s="6" t="str">
        <f>RU_Raw!C106</f>
        <v>June</v>
      </c>
      <c r="D106" s="9">
        <f>RU_Raw!D106</f>
        <v>44348</v>
      </c>
      <c r="E106" s="6">
        <f>COUNTBLANK(RU_Raw!G106:AG106)</f>
        <v>0</v>
      </c>
      <c r="F106" s="6" t="str">
        <f t="shared" si="2"/>
        <v/>
      </c>
      <c r="G106" s="19">
        <f>IF(ISNUMBER(RU_Raw!G106),RU_Raw!G106,IF(ISNUMBER(RU_Raw!G107),(G105+RU_Raw!G107)/2,IF(ISNUMBER(RU_Raw!G108),G105+(RU_Raw!G108-G105)/3,"")))</f>
        <v>146.7</v>
      </c>
      <c r="H106" s="19">
        <f>IF(ISNUMBER(RU_Raw!H106),RU_Raw!H106,IF(ISNUMBER(RU_Raw!H107),(H105+RU_Raw!H107)/2,IF(ISNUMBER(RU_Raw!H108),H105+(RU_Raw!H108-H105)/3,"")))</f>
        <v>202</v>
      </c>
      <c r="I106" s="19">
        <f>IF(ISNUMBER(RU_Raw!I106),RU_Raw!I106,IF(ISNUMBER(RU_Raw!I107),(I105+RU_Raw!I107)/2,IF(ISNUMBER(RU_Raw!I108),I105+(RU_Raw!I108-I105)/3,"")))</f>
        <v>180.7</v>
      </c>
      <c r="J106" s="19">
        <f>IF(ISNUMBER(RU_Raw!J106),RU_Raw!J106,IF(ISNUMBER(RU_Raw!J107),(J105+RU_Raw!J107)/2,IF(ISNUMBER(RU_Raw!J108),J105+(RU_Raw!J108-J105)/3,"")))</f>
        <v>156.2</v>
      </c>
      <c r="K106" s="19">
        <f>IF(ISNUMBER(RU_Raw!K106),RU_Raw!K106,IF(ISNUMBER(RU_Raw!K107),(K105+RU_Raw!K107)/2,IF(ISNUMBER(RU_Raw!K108),K105+(RU_Raw!K108-K105)/3,"")))</f>
        <v>183.7</v>
      </c>
      <c r="L106" s="19">
        <f>IF(ISNUMBER(RU_Raw!L106),RU_Raw!L106,IF(ISNUMBER(RU_Raw!L107),(L105+RU_Raw!L107)/2,IF(ISNUMBER(RU_Raw!L108),L105+(RU_Raw!L108-L105)/3,"")))</f>
        <v>164.6</v>
      </c>
      <c r="M106" s="19">
        <f>IF(ISNUMBER(RU_Raw!M106),RU_Raw!M106,IF(ISNUMBER(RU_Raw!M107),(M105+RU_Raw!M107)/2,IF(ISNUMBER(RU_Raw!M108),M105+(RU_Raw!M108-M105)/3,"")))</f>
        <v>155.4</v>
      </c>
      <c r="N106" s="19">
        <f>IF(ISNUMBER(RU_Raw!N106),RU_Raw!N106,IF(ISNUMBER(RU_Raw!N107),(N105+RU_Raw!N107)/2,IF(ISNUMBER(RU_Raw!N108),N105+(RU_Raw!N108-N105)/3,"")))</f>
        <v>166</v>
      </c>
      <c r="O106" s="19">
        <f>IF(ISNUMBER(RU_Raw!O106),RU_Raw!O106,IF(ISNUMBER(RU_Raw!O107),(O105+RU_Raw!O107)/2,IF(ISNUMBER(RU_Raw!O108),O105+(RU_Raw!O108-O105)/3,"")))</f>
        <v>115.1</v>
      </c>
      <c r="P106" s="19">
        <f>IF(ISNUMBER(RU_Raw!P106),RU_Raw!P106,IF(ISNUMBER(RU_Raw!P107),(P105+RU_Raw!P107)/2,IF(ISNUMBER(RU_Raw!P108),P105+(RU_Raw!P108-P105)/3,"")))</f>
        <v>168.5</v>
      </c>
      <c r="Q106" s="19">
        <f>IF(ISNUMBER(RU_Raw!Q106),RU_Raw!Q106,IF(ISNUMBER(RU_Raw!Q107),(Q105+RU_Raw!Q107)/2,IF(ISNUMBER(RU_Raw!Q108),Q105+(RU_Raw!Q108-Q105)/3,"")))</f>
        <v>160</v>
      </c>
      <c r="R106" s="19">
        <f>IF(ISNUMBER(RU_Raw!R106),RU_Raw!R106,IF(ISNUMBER(RU_Raw!R107),(R105+RU_Raw!R107)/2,IF(ISNUMBER(RU_Raw!R108),R105+(RU_Raw!R108-R105)/3,"")))</f>
        <v>172.4</v>
      </c>
      <c r="S106" s="19">
        <f>IF(ISNUMBER(RU_Raw!S106),RU_Raw!S106,IF(ISNUMBER(RU_Raw!S107),(S105+RU_Raw!S107)/2,IF(ISNUMBER(RU_Raw!S108),S105+(RU_Raw!S108-S105)/3,"")))</f>
        <v>162.6</v>
      </c>
      <c r="T106" s="19">
        <f>IF(ISNUMBER(RU_Raw!T106),RU_Raw!T106,IF(ISNUMBER(RU_Raw!T107),(T105+RU_Raw!T107)/2,IF(ISNUMBER(RU_Raw!T108),T105+(RU_Raw!T108-T105)/3,"")))</f>
        <v>190.8</v>
      </c>
      <c r="U106" s="19">
        <f>IF(ISNUMBER(RU_Raw!U106),RU_Raw!U106,IF(ISNUMBER(RU_Raw!U107),(U105+RU_Raw!U107)/2,IF(ISNUMBER(RU_Raw!U108),U105+(RU_Raw!U108-U105)/3,"")))</f>
        <v>162.2</v>
      </c>
      <c r="V106" s="19">
        <f>IF(ISNUMBER(RU_Raw!V106),RU_Raw!V106,IF(ISNUMBER(RU_Raw!V107),(V105+RU_Raw!V107)/2,IF(ISNUMBER(RU_Raw!V108),V105+(RU_Raw!V108-V105)/3,"")))</f>
        <v>151.8</v>
      </c>
      <c r="W106" s="19">
        <f>IF(ISNUMBER(RU_Raw!W106),RU_Raw!W106,IF(ISNUMBER(RU_Raw!W107),(W105+RU_Raw!W107)/2,IF(ISNUMBER(RU_Raw!W108),W105+(RU_Raw!W108-W105)/3,"")))</f>
        <v>160.7</v>
      </c>
      <c r="X106" s="19">
        <f>IF(ISNUMBER(RU_Raw!X106),RU_Raw!X106,IF(ISNUMBER(RU_Raw!X107),(X105+RU_Raw!X107)/2,IF(ISNUMBER(RU_Raw!X108),X105+(RU_Raw!X108-X105)/3,"")))</f>
        <v>160.5</v>
      </c>
      <c r="Y106" s="19">
        <f>IF(ISNUMBER(RU_Raw!Y106),RU_Raw!Y106,IF(ISNUMBER(RU_Raw!Y107),(Y105+RU_Raw!Y107)/2,IF(ISNUMBER(RU_Raw!Y108),Y105+(RU_Raw!Y108-Y105)/3,"")))</f>
        <v>159.8</v>
      </c>
      <c r="Z106" s="19">
        <f>IF(ISNUMBER(RU_Raw!Z106),RU_Raw!Z106,IF(ISNUMBER(RU_Raw!Z107),(Z105+RU_Raw!Z107)/2,IF(ISNUMBER(RU_Raw!Z108),Z105+(RU_Raw!Z108-Z105)/3,"")))</f>
        <v>154.8</v>
      </c>
      <c r="AA106" s="19">
        <f>IF(ISNUMBER(RU_Raw!AA106),RU_Raw!AA106,IF(ISNUMBER(RU_Raw!AA107),(AA105+RU_Raw!AA107)/2,IF(ISNUMBER(RU_Raw!AA108),AA105+(RU_Raw!AA108-AA105)/3,"")))</f>
        <v>166.3</v>
      </c>
      <c r="AB106" s="19">
        <f>IF(ISNUMBER(RU_Raw!AB106),RU_Raw!AB106,IF(ISNUMBER(RU_Raw!AB107),(AB105+RU_Raw!AB107)/2,IF(ISNUMBER(RU_Raw!AB108),AB105+(RU_Raw!AB108-AB105)/3,"")))</f>
        <v>150.7</v>
      </c>
      <c r="AC106" s="19">
        <f>IF(ISNUMBER(RU_Raw!AC106),RU_Raw!AC106,IF(ISNUMBER(RU_Raw!AC107),(AC105+RU_Raw!AC107)/2,IF(ISNUMBER(RU_Raw!AC108),AC105+(RU_Raw!AC108-AC105)/3,"")))</f>
        <v>154.9</v>
      </c>
      <c r="AD106" s="19">
        <f>IF(ISNUMBER(RU_Raw!AD106),RU_Raw!AD106,IF(ISNUMBER(RU_Raw!AD107),(AD105+RU_Raw!AD107)/2,IF(ISNUMBER(RU_Raw!AD108),AD105+(RU_Raw!AD108-AD105)/3,"")))</f>
        <v>161.7</v>
      </c>
      <c r="AE106" s="19">
        <f>IF(ISNUMBER(RU_Raw!AE106),RU_Raw!AE106,IF(ISNUMBER(RU_Raw!AE107),(AE105+RU_Raw!AE107)/2,IF(ISNUMBER(RU_Raw!AE108),AE105+(RU_Raw!AE108-AE105)/3,"")))</f>
        <v>158.8</v>
      </c>
      <c r="AF106" s="19">
        <f>IF(ISNUMBER(RU_Raw!AF106),RU_Raw!AF106,IF(ISNUMBER(RU_Raw!AF107),(AF105+RU_Raw!AF107)/2,IF(ISNUMBER(RU_Raw!AF108),AF105+(RU_Raw!AF108-AF105)/3,"")))</f>
        <v>157.6</v>
      </c>
      <c r="AG106" s="19">
        <f>IF(ISNUMBER(RU_Raw!AG106),RU_Raw!AG106,IF(ISNUMBER(RU_Raw!AG107),(AG105+RU_Raw!AG107)/2,IF(ISNUMBER(RU_Raw!AG108),AG105+(RU_Raw!AG108-AG105)/3,"")))</f>
        <v>161.3</v>
      </c>
      <c r="AH106" s="19">
        <f t="shared" si="3"/>
        <v>1971.3</v>
      </c>
    </row>
    <row r="107" spans="1:34">
      <c r="A107" s="6">
        <f>RU_Raw!A107</f>
        <v>2021</v>
      </c>
      <c r="B107" s="6">
        <f>RU_Raw!B107</f>
        <v>7</v>
      </c>
      <c r="C107" s="6" t="str">
        <f>RU_Raw!C107</f>
        <v>July</v>
      </c>
      <c r="D107" s="9">
        <f>RU_Raw!D107</f>
        <v>44378</v>
      </c>
      <c r="E107" s="6">
        <f>COUNTBLANK(RU_Raw!G107:AG107)</f>
        <v>0</v>
      </c>
      <c r="F107" s="6" t="str">
        <f t="shared" si="2"/>
        <v/>
      </c>
      <c r="G107" s="19">
        <f>IF(ISNUMBER(RU_Raw!G107),RU_Raw!G107,IF(ISNUMBER(RU_Raw!G108),(G106+RU_Raw!G108)/2,IF(ISNUMBER(RU_Raw!G109),G106+(RU_Raw!G109-G106)/3,"")))</f>
        <v>146.4</v>
      </c>
      <c r="H107" s="19">
        <f>IF(ISNUMBER(RU_Raw!H107),RU_Raw!H107,IF(ISNUMBER(RU_Raw!H108),(H106+RU_Raw!H108)/2,IF(ISNUMBER(RU_Raw!H109),H106+(RU_Raw!H109-H106)/3,"")))</f>
        <v>206.8</v>
      </c>
      <c r="I107" s="19">
        <f>IF(ISNUMBER(RU_Raw!I107),RU_Raw!I107,IF(ISNUMBER(RU_Raw!I108),(I106+RU_Raw!I108)/2,IF(ISNUMBER(RU_Raw!I109),I106+(RU_Raw!I109-I106)/3,"")))</f>
        <v>182.2</v>
      </c>
      <c r="J107" s="19">
        <f>IF(ISNUMBER(RU_Raw!J107),RU_Raw!J107,IF(ISNUMBER(RU_Raw!J108),(J106+RU_Raw!J108)/2,IF(ISNUMBER(RU_Raw!J109),J106+(RU_Raw!J109-J106)/3,"")))</f>
        <v>157.5</v>
      </c>
      <c r="K107" s="19">
        <f>IF(ISNUMBER(RU_Raw!K107),RU_Raw!K107,IF(ISNUMBER(RU_Raw!K108),(K106+RU_Raw!K108)/2,IF(ISNUMBER(RU_Raw!K109),K106+(RU_Raw!K109-K106)/3,"")))</f>
        <v>182.1</v>
      </c>
      <c r="L107" s="19">
        <f>IF(ISNUMBER(RU_Raw!L107),RU_Raw!L107,IF(ISNUMBER(RU_Raw!L108),(L106+RU_Raw!L108)/2,IF(ISNUMBER(RU_Raw!L109),L106+(RU_Raw!L109-L106)/3,"")))</f>
        <v>163.9</v>
      </c>
      <c r="M107" s="19">
        <f>IF(ISNUMBER(RU_Raw!M107),RU_Raw!M107,IF(ISNUMBER(RU_Raw!M108),(M106+RU_Raw!M108)/2,IF(ISNUMBER(RU_Raw!M109),M106+(RU_Raw!M109-M106)/3,"")))</f>
        <v>164.2</v>
      </c>
      <c r="N107" s="19">
        <f>IF(ISNUMBER(RU_Raw!N107),RU_Raw!N107,IF(ISNUMBER(RU_Raw!N108),(N106+RU_Raw!N108)/2,IF(ISNUMBER(RU_Raw!N109),N106+(RU_Raw!N109-N106)/3,"")))</f>
        <v>164</v>
      </c>
      <c r="O107" s="19">
        <f>IF(ISNUMBER(RU_Raw!O107),RU_Raw!O107,IF(ISNUMBER(RU_Raw!O108),(O106+RU_Raw!O108)/2,IF(ISNUMBER(RU_Raw!O109),O106+(RU_Raw!O109-O106)/3,"")))</f>
        <v>114.5</v>
      </c>
      <c r="P107" s="19">
        <f>IF(ISNUMBER(RU_Raw!P107),RU_Raw!P107,IF(ISNUMBER(RU_Raw!P108),(P106+RU_Raw!P108)/2,IF(ISNUMBER(RU_Raw!P109),P106+(RU_Raw!P109-P106)/3,"")))</f>
        <v>168.3</v>
      </c>
      <c r="Q107" s="19">
        <f>IF(ISNUMBER(RU_Raw!Q107),RU_Raw!Q107,IF(ISNUMBER(RU_Raw!Q108),(Q106+RU_Raw!Q108)/2,IF(ISNUMBER(RU_Raw!Q109),Q106+(RU_Raw!Q109-Q106)/3,"")))</f>
        <v>160.9</v>
      </c>
      <c r="R107" s="19">
        <f>IF(ISNUMBER(RU_Raw!R107),RU_Raw!R107,IF(ISNUMBER(RU_Raw!R108),(R106+RU_Raw!R108)/2,IF(ISNUMBER(RU_Raw!R109),R106+(RU_Raw!R109-R106)/3,"")))</f>
        <v>172.2</v>
      </c>
      <c r="S107" s="19">
        <f>IF(ISNUMBER(RU_Raw!S107),RU_Raw!S107,IF(ISNUMBER(RU_Raw!S108),(S106+RU_Raw!S108)/2,IF(ISNUMBER(RU_Raw!S109),S106+(RU_Raw!S109-S106)/3,"")))</f>
        <v>164</v>
      </c>
      <c r="T107" s="19">
        <f>IF(ISNUMBER(RU_Raw!T107),RU_Raw!T107,IF(ISNUMBER(RU_Raw!T108),(T106+RU_Raw!T108)/2,IF(ISNUMBER(RU_Raw!T109),T106+(RU_Raw!T109-T106)/3,"")))</f>
        <v>191.2</v>
      </c>
      <c r="U107" s="19">
        <f>IF(ISNUMBER(RU_Raw!U107),RU_Raw!U107,IF(ISNUMBER(RU_Raw!U108),(U106+RU_Raw!U108)/2,IF(ISNUMBER(RU_Raw!U109),U106+(RU_Raw!U109-U106)/3,"")))</f>
        <v>162.8</v>
      </c>
      <c r="V107" s="19">
        <f>IF(ISNUMBER(RU_Raw!V107),RU_Raw!V107,IF(ISNUMBER(RU_Raw!V108),(V106+RU_Raw!V108)/2,IF(ISNUMBER(RU_Raw!V109),V106+(RU_Raw!V109-V106)/3,"")))</f>
        <v>153.1</v>
      </c>
      <c r="W107" s="19">
        <f>IF(ISNUMBER(RU_Raw!W107),RU_Raw!W107,IF(ISNUMBER(RU_Raw!W108),(W106+RU_Raw!W108)/2,IF(ISNUMBER(RU_Raw!W109),W106+(RU_Raw!W109-W106)/3,"")))</f>
        <v>161.4</v>
      </c>
      <c r="X107" s="19">
        <f>IF(ISNUMBER(RU_Raw!X107),RU_Raw!X107,IF(ISNUMBER(RU_Raw!X108),(X106+RU_Raw!X108)/2,IF(ISNUMBER(RU_Raw!X109),X106+(RU_Raw!X109-X106)/3,"")))</f>
        <v>161.5</v>
      </c>
      <c r="Y107" s="19">
        <f>IF(ISNUMBER(RU_Raw!Y107),RU_Raw!Y107,IF(ISNUMBER(RU_Raw!Y108),(Y106+RU_Raw!Y108)/2,IF(ISNUMBER(RU_Raw!Y109),Y106+(RU_Raw!Y109-Y106)/3,"")))</f>
        <v>160.7</v>
      </c>
      <c r="Z107" s="19">
        <f>IF(ISNUMBER(RU_Raw!Z107),RU_Raw!Z107,IF(ISNUMBER(RU_Raw!Z108),(Z106+RU_Raw!Z108)/2,IF(ISNUMBER(RU_Raw!Z109),Z106+(RU_Raw!Z109-Z106)/3,"")))</f>
        <v>155.8</v>
      </c>
      <c r="AA107" s="19">
        <f>IF(ISNUMBER(RU_Raw!AA107),RU_Raw!AA107,IF(ISNUMBER(RU_Raw!AA108),(AA106+RU_Raw!AA108)/2,IF(ISNUMBER(RU_Raw!AA109),AA106+(RU_Raw!AA109-AA106)/3,"")))</f>
        <v>167</v>
      </c>
      <c r="AB107" s="19">
        <f>IF(ISNUMBER(RU_Raw!AB107),RU_Raw!AB107,IF(ISNUMBER(RU_Raw!AB108),(AB106+RU_Raw!AB108)/2,IF(ISNUMBER(RU_Raw!AB109),AB106+(RU_Raw!AB109-AB106)/3,"")))</f>
        <v>153.1</v>
      </c>
      <c r="AC107" s="19">
        <f>IF(ISNUMBER(RU_Raw!AC107),RU_Raw!AC107,IF(ISNUMBER(RU_Raw!AC108),(AC106+RU_Raw!AC108)/2,IF(ISNUMBER(RU_Raw!AC109),AC106+(RU_Raw!AC109-AC106)/3,"")))</f>
        <v>155.3</v>
      </c>
      <c r="AD107" s="19">
        <f>IF(ISNUMBER(RU_Raw!AD107),RU_Raw!AD107,IF(ISNUMBER(RU_Raw!AD108),(AD106+RU_Raw!AD108)/2,IF(ISNUMBER(RU_Raw!AD109),AD106+(RU_Raw!AD109-AD106)/3,"")))</f>
        <v>163.2</v>
      </c>
      <c r="AE107" s="19">
        <f>IF(ISNUMBER(RU_Raw!AE107),RU_Raw!AE107,IF(ISNUMBER(RU_Raw!AE108),(AE106+RU_Raw!AE108)/2,IF(ISNUMBER(RU_Raw!AE109),AE106+(RU_Raw!AE109-AE106)/3,"")))</f>
        <v>160.1</v>
      </c>
      <c r="AF107" s="19">
        <f>IF(ISNUMBER(RU_Raw!AF107),RU_Raw!AF107,IF(ISNUMBER(RU_Raw!AF108),(AF106+RU_Raw!AF108)/2,IF(ISNUMBER(RU_Raw!AF109),AF106+(RU_Raw!AF109-AF106)/3,"")))</f>
        <v>159</v>
      </c>
      <c r="AG107" s="19">
        <f>IF(ISNUMBER(RU_Raw!AG107),RU_Raw!AG107,IF(ISNUMBER(RU_Raw!AG108),(AG106+RU_Raw!AG108)/2,IF(ISNUMBER(RU_Raw!AG109),AG106+(RU_Raw!AG109-AG106)/3,"")))</f>
        <v>162.5</v>
      </c>
      <c r="AH107" s="19">
        <f t="shared" si="3"/>
        <v>1983</v>
      </c>
    </row>
    <row r="108" spans="1:34">
      <c r="A108" s="6">
        <f>RU_Raw!A108</f>
        <v>2021</v>
      </c>
      <c r="B108" s="6">
        <f>RU_Raw!B108</f>
        <v>8</v>
      </c>
      <c r="C108" s="6" t="str">
        <f>RU_Raw!C108</f>
        <v>August</v>
      </c>
      <c r="D108" s="9">
        <f>RU_Raw!D108</f>
        <v>44409</v>
      </c>
      <c r="E108" s="6">
        <f>COUNTBLANK(RU_Raw!G108:AG108)</f>
        <v>0</v>
      </c>
      <c r="F108" s="6" t="str">
        <f t="shared" si="2"/>
        <v/>
      </c>
      <c r="G108" s="19">
        <f>IF(ISNUMBER(RU_Raw!G108),RU_Raw!G108,IF(ISNUMBER(RU_Raw!G109),(G107+RU_Raw!G109)/2,IF(ISNUMBER(RU_Raw!G110),G107+(RU_Raw!G110-G107)/3,"")))</f>
        <v>146.6</v>
      </c>
      <c r="H108" s="19">
        <f>IF(ISNUMBER(RU_Raw!H108),RU_Raw!H108,IF(ISNUMBER(RU_Raw!H109),(H107+RU_Raw!H109)/2,IF(ISNUMBER(RU_Raw!H110),H107+(RU_Raw!H110-H107)/3,"")))</f>
        <v>204</v>
      </c>
      <c r="I108" s="19">
        <f>IF(ISNUMBER(RU_Raw!I108),RU_Raw!I108,IF(ISNUMBER(RU_Raw!I109),(I107+RU_Raw!I109)/2,IF(ISNUMBER(RU_Raw!I110),I107+(RU_Raw!I110-I107)/3,"")))</f>
        <v>172.8</v>
      </c>
      <c r="J108" s="19">
        <f>IF(ISNUMBER(RU_Raw!J108),RU_Raw!J108,IF(ISNUMBER(RU_Raw!J109),(J107+RU_Raw!J109)/2,IF(ISNUMBER(RU_Raw!J110),J107+(RU_Raw!J110-J107)/3,"")))</f>
        <v>158.4</v>
      </c>
      <c r="K108" s="19">
        <f>IF(ISNUMBER(RU_Raw!K108),RU_Raw!K108,IF(ISNUMBER(RU_Raw!K109),(K107+RU_Raw!K109)/2,IF(ISNUMBER(RU_Raw!K110),K107+(RU_Raw!K110-K107)/3,"")))</f>
        <v>188</v>
      </c>
      <c r="L108" s="19">
        <f>IF(ISNUMBER(RU_Raw!L108),RU_Raw!L108,IF(ISNUMBER(RU_Raw!L109),(L107+RU_Raw!L109)/2,IF(ISNUMBER(RU_Raw!L110),L107+(RU_Raw!L110-L107)/3,"")))</f>
        <v>156.8</v>
      </c>
      <c r="M108" s="19">
        <f>IF(ISNUMBER(RU_Raw!M108),RU_Raw!M108,IF(ISNUMBER(RU_Raw!M109),(M107+RU_Raw!M109)/2,IF(ISNUMBER(RU_Raw!M110),M107+(RU_Raw!M110-M107)/3,"")))</f>
        <v>162.2</v>
      </c>
      <c r="N108" s="19">
        <f>IF(ISNUMBER(RU_Raw!N108),RU_Raw!N108,IF(ISNUMBER(RU_Raw!N109),(N107+RU_Raw!N109)/2,IF(ISNUMBER(RU_Raw!N110),N107+(RU_Raw!N110-N107)/3,"")))</f>
        <v>164.1</v>
      </c>
      <c r="O108" s="19">
        <f>IF(ISNUMBER(RU_Raw!O108),RU_Raw!O108,IF(ISNUMBER(RU_Raw!O109),(O107+RU_Raw!O109)/2,IF(ISNUMBER(RU_Raw!O110),O107+(RU_Raw!O110-O107)/3,"")))</f>
        <v>119.7</v>
      </c>
      <c r="P108" s="19">
        <f>IF(ISNUMBER(RU_Raw!P108),RU_Raw!P108,IF(ISNUMBER(RU_Raw!P109),(P107+RU_Raw!P109)/2,IF(ISNUMBER(RU_Raw!P110),P107+(RU_Raw!P110-P107)/3,"")))</f>
        <v>168.8</v>
      </c>
      <c r="Q108" s="19">
        <f>IF(ISNUMBER(RU_Raw!Q108),RU_Raw!Q108,IF(ISNUMBER(RU_Raw!Q109),(Q107+RU_Raw!Q109)/2,IF(ISNUMBER(RU_Raw!Q110),Q107+(RU_Raw!Q110-Q107)/3,"")))</f>
        <v>162.7</v>
      </c>
      <c r="R108" s="19">
        <f>IF(ISNUMBER(RU_Raw!R108),RU_Raw!R108,IF(ISNUMBER(RU_Raw!R109),(R107+RU_Raw!R109)/2,IF(ISNUMBER(RU_Raw!R110),R107+(RU_Raw!R110-R107)/3,"")))</f>
        <v>173.9</v>
      </c>
      <c r="S108" s="19">
        <f>IF(ISNUMBER(RU_Raw!S108),RU_Raw!S108,IF(ISNUMBER(RU_Raw!S109),(S107+RU_Raw!S109)/2,IF(ISNUMBER(RU_Raw!S110),S107+(RU_Raw!S110-S107)/3,"")))</f>
        <v>164</v>
      </c>
      <c r="T108" s="19">
        <f>IF(ISNUMBER(RU_Raw!T108),RU_Raw!T108,IF(ISNUMBER(RU_Raw!T109),(T107+RU_Raw!T109)/2,IF(ISNUMBER(RU_Raw!T110),T107+(RU_Raw!T110-T107)/3,"")))</f>
        <v>192.1</v>
      </c>
      <c r="U108" s="19">
        <f>IF(ISNUMBER(RU_Raw!U108),RU_Raw!U108,IF(ISNUMBER(RU_Raw!U109),(U107+RU_Raw!U109)/2,IF(ISNUMBER(RU_Raw!U110),U107+(RU_Raw!U110-U107)/3,"")))</f>
        <v>164.5</v>
      </c>
      <c r="V108" s="19">
        <f>IF(ISNUMBER(RU_Raw!V108),RU_Raw!V108,IF(ISNUMBER(RU_Raw!V109),(V107+RU_Raw!V109)/2,IF(ISNUMBER(RU_Raw!V110),V107+(RU_Raw!V110-V107)/3,"")))</f>
        <v>155.3</v>
      </c>
      <c r="W108" s="19">
        <f>IF(ISNUMBER(RU_Raw!W108),RU_Raw!W108,IF(ISNUMBER(RU_Raw!W109),(W107+RU_Raw!W109)/2,IF(ISNUMBER(RU_Raw!W110),W107+(RU_Raw!W110-W107)/3,"")))</f>
        <v>163.2</v>
      </c>
      <c r="X108" s="19">
        <f>IF(ISNUMBER(RU_Raw!X108),RU_Raw!X108,IF(ISNUMBER(RU_Raw!X109),(X107+RU_Raw!X109)/2,IF(ISNUMBER(RU_Raw!X110),X107+(RU_Raw!X110-X107)/3,"")))</f>
        <v>162.1</v>
      </c>
      <c r="Y108" s="19">
        <f>IF(ISNUMBER(RU_Raw!Y108),RU_Raw!Y108,IF(ISNUMBER(RU_Raw!Y109),(Y107+RU_Raw!Y109)/2,IF(ISNUMBER(RU_Raw!Y110),Y107+(RU_Raw!Y110-Y107)/3,"")))</f>
        <v>162.6</v>
      </c>
      <c r="Z108" s="19">
        <f>IF(ISNUMBER(RU_Raw!Z108),RU_Raw!Z108,IF(ISNUMBER(RU_Raw!Z109),(Z107+RU_Raw!Z109)/2,IF(ISNUMBER(RU_Raw!Z110),Z107+(RU_Raw!Z110-Z107)/3,"")))</f>
        <v>157.5</v>
      </c>
      <c r="AA108" s="19">
        <f>IF(ISNUMBER(RU_Raw!AA108),RU_Raw!AA108,IF(ISNUMBER(RU_Raw!AA109),(AA107+RU_Raw!AA109)/2,IF(ISNUMBER(RU_Raw!AA110),AA107+(RU_Raw!AA110-AA107)/3,"")))</f>
        <v>168.4</v>
      </c>
      <c r="AB108" s="19">
        <f>IF(ISNUMBER(RU_Raw!AB108),RU_Raw!AB108,IF(ISNUMBER(RU_Raw!AB109),(AB107+RU_Raw!AB109)/2,IF(ISNUMBER(RU_Raw!AB110),AB107+(RU_Raw!AB110-AB107)/3,"")))</f>
        <v>154</v>
      </c>
      <c r="AC108" s="19">
        <f>IF(ISNUMBER(RU_Raw!AC108),RU_Raw!AC108,IF(ISNUMBER(RU_Raw!AC109),(AC107+RU_Raw!AC109)/2,IF(ISNUMBER(RU_Raw!AC110),AC107+(RU_Raw!AC110-AC107)/3,"")))</f>
        <v>157.6</v>
      </c>
      <c r="AD108" s="19">
        <f>IF(ISNUMBER(RU_Raw!AD108),RU_Raw!AD108,IF(ISNUMBER(RU_Raw!AD109),(AD107+RU_Raw!AD109)/2,IF(ISNUMBER(RU_Raw!AD110),AD107+(RU_Raw!AD110-AD107)/3,"")))</f>
        <v>163.8</v>
      </c>
      <c r="AE108" s="19">
        <f>IF(ISNUMBER(RU_Raw!AE108),RU_Raw!AE108,IF(ISNUMBER(RU_Raw!AE109),(AE107+RU_Raw!AE109)/2,IF(ISNUMBER(RU_Raw!AE110),AE107+(RU_Raw!AE110-AE107)/3,"")))</f>
        <v>160</v>
      </c>
      <c r="AF108" s="19">
        <f>IF(ISNUMBER(RU_Raw!AF108),RU_Raw!AF108,IF(ISNUMBER(RU_Raw!AF109),(AF107+RU_Raw!AF109)/2,IF(ISNUMBER(RU_Raw!AF110),AF107+(RU_Raw!AF110-AF107)/3,"")))</f>
        <v>160</v>
      </c>
      <c r="AG108" s="19">
        <f>IF(ISNUMBER(RU_Raw!AG108),RU_Raw!AG108,IF(ISNUMBER(RU_Raw!AG109),(AG107+RU_Raw!AG109)/2,IF(ISNUMBER(RU_Raw!AG110),AG107+(RU_Raw!AG110-AG107)/3,"")))</f>
        <v>163.2</v>
      </c>
      <c r="AH108" s="19">
        <f t="shared" si="3"/>
        <v>1978</v>
      </c>
    </row>
    <row r="109" spans="1:34">
      <c r="A109" s="6">
        <f>RU_Raw!A109</f>
        <v>2021</v>
      </c>
      <c r="B109" s="6">
        <f>RU_Raw!B109</f>
        <v>9</v>
      </c>
      <c r="C109" s="6" t="str">
        <f>RU_Raw!C109</f>
        <v>September</v>
      </c>
      <c r="D109" s="9">
        <f>RU_Raw!D109</f>
        <v>44440</v>
      </c>
      <c r="E109" s="6">
        <f>COUNTBLANK(RU_Raw!G109:AG109)</f>
        <v>0</v>
      </c>
      <c r="F109" s="6" t="str">
        <f t="shared" si="2"/>
        <v/>
      </c>
      <c r="G109" s="19">
        <f>IF(ISNUMBER(RU_Raw!G109),RU_Raw!G109,IF(ISNUMBER(RU_Raw!G110),(G108+RU_Raw!G110)/2,IF(ISNUMBER(RU_Raw!G111),G108+(RU_Raw!G111-G108)/3,"")))</f>
        <v>146.6</v>
      </c>
      <c r="H109" s="19">
        <f>IF(ISNUMBER(RU_Raw!H109),RU_Raw!H109,IF(ISNUMBER(RU_Raw!H110),(H108+RU_Raw!H110)/2,IF(ISNUMBER(RU_Raw!H111),H108+(RU_Raw!H111-H108)/3,"")))</f>
        <v>204</v>
      </c>
      <c r="I109" s="19">
        <f>IF(ISNUMBER(RU_Raw!I109),RU_Raw!I109,IF(ISNUMBER(RU_Raw!I110),(I108+RU_Raw!I110)/2,IF(ISNUMBER(RU_Raw!I111),I108+(RU_Raw!I111-I108)/3,"")))</f>
        <v>172.8</v>
      </c>
      <c r="J109" s="19">
        <f>IF(ISNUMBER(RU_Raw!J109),RU_Raw!J109,IF(ISNUMBER(RU_Raw!J110),(J108+RU_Raw!J110)/2,IF(ISNUMBER(RU_Raw!J111),J108+(RU_Raw!J111-J108)/3,"")))</f>
        <v>158.4</v>
      </c>
      <c r="K109" s="19">
        <f>IF(ISNUMBER(RU_Raw!K109),RU_Raw!K109,IF(ISNUMBER(RU_Raw!K110),(K108+RU_Raw!K110)/2,IF(ISNUMBER(RU_Raw!K111),K108+(RU_Raw!K111-K108)/3,"")))</f>
        <v>188</v>
      </c>
      <c r="L109" s="19">
        <f>IF(ISNUMBER(RU_Raw!L109),RU_Raw!L109,IF(ISNUMBER(RU_Raw!L110),(L108+RU_Raw!L110)/2,IF(ISNUMBER(RU_Raw!L111),L108+(RU_Raw!L111-L108)/3,"")))</f>
        <v>156.7</v>
      </c>
      <c r="M109" s="19">
        <f>IF(ISNUMBER(RU_Raw!M109),RU_Raw!M109,IF(ISNUMBER(RU_Raw!M110),(M108+RU_Raw!M110)/2,IF(ISNUMBER(RU_Raw!M111),M108+(RU_Raw!M111-M108)/3,"")))</f>
        <v>162.3</v>
      </c>
      <c r="N109" s="19">
        <f>IF(ISNUMBER(RU_Raw!N109),RU_Raw!N109,IF(ISNUMBER(RU_Raw!N110),(N108+RU_Raw!N110)/2,IF(ISNUMBER(RU_Raw!N111),N108+(RU_Raw!N111-N108)/3,"")))</f>
        <v>164.1</v>
      </c>
      <c r="O109" s="19">
        <f>IF(ISNUMBER(RU_Raw!O109),RU_Raw!O109,IF(ISNUMBER(RU_Raw!O110),(O108+RU_Raw!O110)/2,IF(ISNUMBER(RU_Raw!O111),O108+(RU_Raw!O111-O108)/3,"")))</f>
        <v>119.7</v>
      </c>
      <c r="P109" s="19">
        <f>IF(ISNUMBER(RU_Raw!P109),RU_Raw!P109,IF(ISNUMBER(RU_Raw!P110),(P108+RU_Raw!P110)/2,IF(ISNUMBER(RU_Raw!P111),P108+(RU_Raw!P111-P108)/3,"")))</f>
        <v>168.8</v>
      </c>
      <c r="Q109" s="19">
        <f>IF(ISNUMBER(RU_Raw!Q109),RU_Raw!Q109,IF(ISNUMBER(RU_Raw!Q110),(Q108+RU_Raw!Q110)/2,IF(ISNUMBER(RU_Raw!Q111),Q108+(RU_Raw!Q111-Q108)/3,"")))</f>
        <v>162.7</v>
      </c>
      <c r="R109" s="19">
        <f>IF(ISNUMBER(RU_Raw!R109),RU_Raw!R109,IF(ISNUMBER(RU_Raw!R110),(R108+RU_Raw!R110)/2,IF(ISNUMBER(RU_Raw!R111),R108+(RU_Raw!R111-R108)/3,"")))</f>
        <v>173.9</v>
      </c>
      <c r="S109" s="19">
        <f>IF(ISNUMBER(RU_Raw!S109),RU_Raw!S109,IF(ISNUMBER(RU_Raw!S110),(S108+RU_Raw!S110)/2,IF(ISNUMBER(RU_Raw!S111),S108+(RU_Raw!S111-S108)/3,"")))</f>
        <v>164</v>
      </c>
      <c r="T109" s="19">
        <f>IF(ISNUMBER(RU_Raw!T109),RU_Raw!T109,IF(ISNUMBER(RU_Raw!T110),(T108+RU_Raw!T110)/2,IF(ISNUMBER(RU_Raw!T111),T108+(RU_Raw!T111-T108)/3,"")))</f>
        <v>192.1</v>
      </c>
      <c r="U109" s="19">
        <f>IF(ISNUMBER(RU_Raw!U109),RU_Raw!U109,IF(ISNUMBER(RU_Raw!U110),(U108+RU_Raw!U110)/2,IF(ISNUMBER(RU_Raw!U111),U108+(RU_Raw!U111-U108)/3,"")))</f>
        <v>164.6</v>
      </c>
      <c r="V109" s="19">
        <f>IF(ISNUMBER(RU_Raw!V109),RU_Raw!V109,IF(ISNUMBER(RU_Raw!V110),(V108+RU_Raw!V110)/2,IF(ISNUMBER(RU_Raw!V111),V108+(RU_Raw!V111-V108)/3,"")))</f>
        <v>155.3</v>
      </c>
      <c r="W109" s="19">
        <f>IF(ISNUMBER(RU_Raw!W109),RU_Raw!W109,IF(ISNUMBER(RU_Raw!W110),(W108+RU_Raw!W110)/2,IF(ISNUMBER(RU_Raw!W111),W108+(RU_Raw!W111-W108)/3,"")))</f>
        <v>163.3</v>
      </c>
      <c r="X109" s="19">
        <f>IF(ISNUMBER(RU_Raw!X109),RU_Raw!X109,IF(ISNUMBER(RU_Raw!X110),(X108+RU_Raw!X110)/2,IF(ISNUMBER(RU_Raw!X111),X108+(RU_Raw!X111-X108)/3,"")))</f>
        <v>162.1</v>
      </c>
      <c r="Y109" s="19">
        <f>IF(ISNUMBER(RU_Raw!Y109),RU_Raw!Y109,IF(ISNUMBER(RU_Raw!Y110),(Y108+RU_Raw!Y110)/2,IF(ISNUMBER(RU_Raw!Y111),Y108+(RU_Raw!Y111-Y108)/3,"")))</f>
        <v>162.6</v>
      </c>
      <c r="Z109" s="19">
        <f>IF(ISNUMBER(RU_Raw!Z109),RU_Raw!Z109,IF(ISNUMBER(RU_Raw!Z110),(Z108+RU_Raw!Z110)/2,IF(ISNUMBER(RU_Raw!Z111),Z108+(RU_Raw!Z111-Z108)/3,"")))</f>
        <v>157.5</v>
      </c>
      <c r="AA109" s="19">
        <f>IF(ISNUMBER(RU_Raw!AA109),RU_Raw!AA109,IF(ISNUMBER(RU_Raw!AA110),(AA108+RU_Raw!AA110)/2,IF(ISNUMBER(RU_Raw!AA111),AA108+(RU_Raw!AA111-AA108)/3,"")))</f>
        <v>168.4</v>
      </c>
      <c r="AB109" s="19">
        <f>IF(ISNUMBER(RU_Raw!AB109),RU_Raw!AB109,IF(ISNUMBER(RU_Raw!AB110),(AB108+RU_Raw!AB110)/2,IF(ISNUMBER(RU_Raw!AB111),AB108+(RU_Raw!AB111-AB108)/3,"")))</f>
        <v>154</v>
      </c>
      <c r="AC109" s="19">
        <f>IF(ISNUMBER(RU_Raw!AC109),RU_Raw!AC109,IF(ISNUMBER(RU_Raw!AC110),(AC108+RU_Raw!AC110)/2,IF(ISNUMBER(RU_Raw!AC111),AC108+(RU_Raw!AC111-AC108)/3,"")))</f>
        <v>157.7</v>
      </c>
      <c r="AD109" s="19">
        <f>IF(ISNUMBER(RU_Raw!AD109),RU_Raw!AD109,IF(ISNUMBER(RU_Raw!AD110),(AD108+RU_Raw!AD110)/2,IF(ISNUMBER(RU_Raw!AD111),AD108+(RU_Raw!AD111-AD108)/3,"")))</f>
        <v>163.7</v>
      </c>
      <c r="AE109" s="19">
        <f>IF(ISNUMBER(RU_Raw!AE109),RU_Raw!AE109,IF(ISNUMBER(RU_Raw!AE110),(AE108+RU_Raw!AE110)/2,IF(ISNUMBER(RU_Raw!AE111),AE108+(RU_Raw!AE111-AE108)/3,"")))</f>
        <v>160</v>
      </c>
      <c r="AF109" s="19">
        <f>IF(ISNUMBER(RU_Raw!AF109),RU_Raw!AF109,IF(ISNUMBER(RU_Raw!AF110),(AF108+RU_Raw!AF110)/2,IF(ISNUMBER(RU_Raw!AF111),AF108+(RU_Raw!AF111-AF108)/3,"")))</f>
        <v>160</v>
      </c>
      <c r="AG109" s="19">
        <f>IF(ISNUMBER(RU_Raw!AG109),RU_Raw!AG109,IF(ISNUMBER(RU_Raw!AG110),(AG108+RU_Raw!AG110)/2,IF(ISNUMBER(RU_Raw!AG111),AG108+(RU_Raw!AG111-AG108)/3,"")))</f>
        <v>163.2</v>
      </c>
      <c r="AH109" s="19">
        <f t="shared" si="3"/>
        <v>1978</v>
      </c>
    </row>
    <row r="110" spans="1:34">
      <c r="A110" s="6">
        <f>RU_Raw!A110</f>
        <v>2021</v>
      </c>
      <c r="B110" s="6">
        <f>RU_Raw!B110</f>
        <v>10</v>
      </c>
      <c r="C110" s="6" t="str">
        <f>RU_Raw!C110</f>
        <v>October</v>
      </c>
      <c r="D110" s="9">
        <f>RU_Raw!D110</f>
        <v>44470</v>
      </c>
      <c r="E110" s="6">
        <f>COUNTBLANK(RU_Raw!G110:AG110)</f>
        <v>0</v>
      </c>
      <c r="F110" s="6" t="str">
        <f t="shared" si="2"/>
        <v/>
      </c>
      <c r="G110" s="19">
        <f>IF(ISNUMBER(RU_Raw!G110),RU_Raw!G110,IF(ISNUMBER(RU_Raw!G111),(G109+RU_Raw!G111)/2,IF(ISNUMBER(RU_Raw!G112),G109+(RU_Raw!G112-G109)/3,"")))</f>
        <v>147.4</v>
      </c>
      <c r="H110" s="19">
        <f>IF(ISNUMBER(RU_Raw!H110),RU_Raw!H110,IF(ISNUMBER(RU_Raw!H111),(H109+RU_Raw!H111)/2,IF(ISNUMBER(RU_Raw!H112),H109+(RU_Raw!H112-H109)/3,"")))</f>
        <v>204.6</v>
      </c>
      <c r="I110" s="19">
        <f>IF(ISNUMBER(RU_Raw!I110),RU_Raw!I110,IF(ISNUMBER(RU_Raw!I111),(I109+RU_Raw!I111)/2,IF(ISNUMBER(RU_Raw!I112),I109+(RU_Raw!I112-I109)/3,"")))</f>
        <v>171.2</v>
      </c>
      <c r="J110" s="19">
        <f>IF(ISNUMBER(RU_Raw!J110),RU_Raw!J110,IF(ISNUMBER(RU_Raw!J111),(J109+RU_Raw!J111)/2,IF(ISNUMBER(RU_Raw!J112),J109+(RU_Raw!J112-J109)/3,"")))</f>
        <v>158.7</v>
      </c>
      <c r="K110" s="19">
        <f>IF(ISNUMBER(RU_Raw!K110),RU_Raw!K110,IF(ISNUMBER(RU_Raw!K111),(K109+RU_Raw!K111)/2,IF(ISNUMBER(RU_Raw!K112),K109+(RU_Raw!K112-K109)/3,"")))</f>
        <v>190.6</v>
      </c>
      <c r="L110" s="19">
        <f>IF(ISNUMBER(RU_Raw!L110),RU_Raw!L110,IF(ISNUMBER(RU_Raw!L111),(L109+RU_Raw!L111)/2,IF(ISNUMBER(RU_Raw!L112),L109+(RU_Raw!L112-L109)/3,"")))</f>
        <v>155.7</v>
      </c>
      <c r="M110" s="19">
        <f>IF(ISNUMBER(RU_Raw!M110),RU_Raw!M110,IF(ISNUMBER(RU_Raw!M111),(M109+RU_Raw!M111)/2,IF(ISNUMBER(RU_Raw!M112),M109+(RU_Raw!M112-M109)/3,"")))</f>
        <v>185.3</v>
      </c>
      <c r="N110" s="19">
        <f>IF(ISNUMBER(RU_Raw!N110),RU_Raw!N110,IF(ISNUMBER(RU_Raw!N111),(N109+RU_Raw!N111)/2,IF(ISNUMBER(RU_Raw!N112),N109+(RU_Raw!N112-N109)/3,"")))</f>
        <v>165.2</v>
      </c>
      <c r="O110" s="19">
        <f>IF(ISNUMBER(RU_Raw!O110),RU_Raw!O110,IF(ISNUMBER(RU_Raw!O111),(O109+RU_Raw!O111)/2,IF(ISNUMBER(RU_Raw!O112),O109+(RU_Raw!O112-O109)/3,"")))</f>
        <v>121.9</v>
      </c>
      <c r="P110" s="19">
        <f>IF(ISNUMBER(RU_Raw!P110),RU_Raw!P110,IF(ISNUMBER(RU_Raw!P111),(P109+RU_Raw!P111)/2,IF(ISNUMBER(RU_Raw!P112),P109+(RU_Raw!P112-P109)/3,"")))</f>
        <v>169.3</v>
      </c>
      <c r="Q110" s="19">
        <f>IF(ISNUMBER(RU_Raw!Q110),RU_Raw!Q110,IF(ISNUMBER(RU_Raw!Q111),(Q109+RU_Raw!Q111)/2,IF(ISNUMBER(RU_Raw!Q112),Q109+(RU_Raw!Q112-Q109)/3,"")))</f>
        <v>163.2</v>
      </c>
      <c r="R110" s="19">
        <f>IF(ISNUMBER(RU_Raw!R110),RU_Raw!R110,IF(ISNUMBER(RU_Raw!R111),(R109+RU_Raw!R111)/2,IF(ISNUMBER(RU_Raw!R112),R109+(RU_Raw!R112-R109)/3,"")))</f>
        <v>174.7</v>
      </c>
      <c r="S110" s="19">
        <f>IF(ISNUMBER(RU_Raw!S110),RU_Raw!S110,IF(ISNUMBER(RU_Raw!S111),(S109+RU_Raw!S111)/2,IF(ISNUMBER(RU_Raw!S112),S109+(RU_Raw!S112-S109)/3,"")))</f>
        <v>167.7</v>
      </c>
      <c r="T110" s="19">
        <f>IF(ISNUMBER(RU_Raw!T110),RU_Raw!T110,IF(ISNUMBER(RU_Raw!T111),(T109+RU_Raw!T111)/2,IF(ISNUMBER(RU_Raw!T112),T109+(RU_Raw!T112-T109)/3,"")))</f>
        <v>192.7</v>
      </c>
      <c r="U110" s="19">
        <f>IF(ISNUMBER(RU_Raw!U110),RU_Raw!U110,IF(ISNUMBER(RU_Raw!U111),(U109+RU_Raw!U111)/2,IF(ISNUMBER(RU_Raw!U112),U109+(RU_Raw!U112-U109)/3,"")))</f>
        <v>165.7</v>
      </c>
      <c r="V110" s="19">
        <f>IF(ISNUMBER(RU_Raw!V110),RU_Raw!V110,IF(ISNUMBER(RU_Raw!V111),(V109+RU_Raw!V111)/2,IF(ISNUMBER(RU_Raw!V112),V109+(RU_Raw!V112-V109)/3,"")))</f>
        <v>156.3</v>
      </c>
      <c r="W110" s="19">
        <f>IF(ISNUMBER(RU_Raw!W110),RU_Raw!W110,IF(ISNUMBER(RU_Raw!W111),(W109+RU_Raw!W111)/2,IF(ISNUMBER(RU_Raw!W112),W109+(RU_Raw!W112-W109)/3,"")))</f>
        <v>164.3</v>
      </c>
      <c r="X110" s="19">
        <f>IF(ISNUMBER(RU_Raw!X110),RU_Raw!X110,IF(ISNUMBER(RU_Raw!X111),(X109+RU_Raw!X111)/2,IF(ISNUMBER(RU_Raw!X112),X109+(RU_Raw!X112-X109)/3,"")))</f>
        <v>163.6</v>
      </c>
      <c r="Y110" s="19">
        <f>IF(ISNUMBER(RU_Raw!Y110),RU_Raw!Y110,IF(ISNUMBER(RU_Raw!Y111),(Y109+RU_Raw!Y111)/2,IF(ISNUMBER(RU_Raw!Y112),Y109+(RU_Raw!Y112-Y109)/3,"")))</f>
        <v>164.2</v>
      </c>
      <c r="Z110" s="19">
        <f>IF(ISNUMBER(RU_Raw!Z110),RU_Raw!Z110,IF(ISNUMBER(RU_Raw!Z111),(Z109+RU_Raw!Z111)/2,IF(ISNUMBER(RU_Raw!Z112),Z109+(RU_Raw!Z112-Z109)/3,"")))</f>
        <v>158.4</v>
      </c>
      <c r="AA110" s="19">
        <f>IF(ISNUMBER(RU_Raw!AA110),RU_Raw!AA110,IF(ISNUMBER(RU_Raw!AA111),(AA109+RU_Raw!AA111)/2,IF(ISNUMBER(RU_Raw!AA112),AA109+(RU_Raw!AA112-AA109)/3,"")))</f>
        <v>169.1</v>
      </c>
      <c r="AB110" s="19">
        <f>IF(ISNUMBER(RU_Raw!AB110),RU_Raw!AB110,IF(ISNUMBER(RU_Raw!AB111),(AB109+RU_Raw!AB111)/2,IF(ISNUMBER(RU_Raw!AB112),AB109+(RU_Raw!AB112-AB109)/3,"")))</f>
        <v>155.7</v>
      </c>
      <c r="AC110" s="19">
        <f>IF(ISNUMBER(RU_Raw!AC110),RU_Raw!AC110,IF(ISNUMBER(RU_Raw!AC111),(AC109+RU_Raw!AC111)/2,IF(ISNUMBER(RU_Raw!AC112),AC109+(RU_Raw!AC112-AC109)/3,"")))</f>
        <v>158.6</v>
      </c>
      <c r="AD110" s="19">
        <f>IF(ISNUMBER(RU_Raw!AD110),RU_Raw!AD110,IF(ISNUMBER(RU_Raw!AD111),(AD109+RU_Raw!AD111)/2,IF(ISNUMBER(RU_Raw!AD112),AD109+(RU_Raw!AD112-AD109)/3,"")))</f>
        <v>163.9</v>
      </c>
      <c r="AE110" s="19">
        <f>IF(ISNUMBER(RU_Raw!AE110),RU_Raw!AE110,IF(ISNUMBER(RU_Raw!AE111),(AE109+RU_Raw!AE111)/2,IF(ISNUMBER(RU_Raw!AE112),AE109+(RU_Raw!AE112-AE109)/3,"")))</f>
        <v>160.8</v>
      </c>
      <c r="AF110" s="19">
        <f>IF(ISNUMBER(RU_Raw!AF110),RU_Raw!AF110,IF(ISNUMBER(RU_Raw!AF111),(AF109+RU_Raw!AF111)/2,IF(ISNUMBER(RU_Raw!AF112),AF109+(RU_Raw!AF112-AF109)/3,"")))</f>
        <v>161</v>
      </c>
      <c r="AG110" s="19">
        <f>IF(ISNUMBER(RU_Raw!AG110),RU_Raw!AG110,IF(ISNUMBER(RU_Raw!AG111),(AG109+RU_Raw!AG111)/2,IF(ISNUMBER(RU_Raw!AG112),AG109+(RU_Raw!AG112-AG109)/3,"")))</f>
        <v>165.5</v>
      </c>
      <c r="AH110" s="19">
        <f t="shared" si="3"/>
        <v>2007.8</v>
      </c>
    </row>
    <row r="111" spans="1:34">
      <c r="A111" s="6">
        <f>RU_Raw!A111</f>
        <v>2021</v>
      </c>
      <c r="B111" s="6">
        <f>RU_Raw!B111</f>
        <v>11</v>
      </c>
      <c r="C111" s="6" t="str">
        <f>RU_Raw!C111</f>
        <v>November</v>
      </c>
      <c r="D111" s="9">
        <f>RU_Raw!D111</f>
        <v>44501</v>
      </c>
      <c r="E111" s="6">
        <f>COUNTBLANK(RU_Raw!G111:AG111)</f>
        <v>0</v>
      </c>
      <c r="F111" s="6" t="str">
        <f t="shared" si="2"/>
        <v/>
      </c>
      <c r="G111" s="19">
        <f>IF(ISNUMBER(RU_Raw!G111),RU_Raw!G111,IF(ISNUMBER(RU_Raw!G112),(G110+RU_Raw!G112)/2,IF(ISNUMBER(RU_Raw!G113),G110+(RU_Raw!G113-G110)/3,"")))</f>
        <v>148.2</v>
      </c>
      <c r="H111" s="19">
        <f>IF(ISNUMBER(RU_Raw!H111),RU_Raw!H111,IF(ISNUMBER(RU_Raw!H112),(H110+RU_Raw!H112)/2,IF(ISNUMBER(RU_Raw!H113),H110+(RU_Raw!H113-H110)/3,"")))</f>
        <v>201.6</v>
      </c>
      <c r="I111" s="19">
        <f>IF(ISNUMBER(RU_Raw!I111),RU_Raw!I111,IF(ISNUMBER(RU_Raw!I112),(I110+RU_Raw!I112)/2,IF(ISNUMBER(RU_Raw!I113),I110+(RU_Raw!I113-I110)/3,"")))</f>
        <v>173</v>
      </c>
      <c r="J111" s="19">
        <f>IF(ISNUMBER(RU_Raw!J111),RU_Raw!J111,IF(ISNUMBER(RU_Raw!J112),(J110+RU_Raw!J112)/2,IF(ISNUMBER(RU_Raw!J113),J110+(RU_Raw!J113-J110)/3,"")))</f>
        <v>159.3</v>
      </c>
      <c r="K111" s="19">
        <f>IF(ISNUMBER(RU_Raw!K111),RU_Raw!K111,IF(ISNUMBER(RU_Raw!K112),(K110+RU_Raw!K112)/2,IF(ISNUMBER(RU_Raw!K113),K110+(RU_Raw!K113-K110)/3,"")))</f>
        <v>190.1</v>
      </c>
      <c r="L111" s="19">
        <f>IF(ISNUMBER(RU_Raw!L111),RU_Raw!L111,IF(ISNUMBER(RU_Raw!L112),(L110+RU_Raw!L112)/2,IF(ISNUMBER(RU_Raw!L113),L110+(RU_Raw!L113-L110)/3,"")))</f>
        <v>156.5</v>
      </c>
      <c r="M111" s="19">
        <f>IF(ISNUMBER(RU_Raw!M111),RU_Raw!M111,IF(ISNUMBER(RU_Raw!M112),(M110+RU_Raw!M112)/2,IF(ISNUMBER(RU_Raw!M113),M110+(RU_Raw!M113-M110)/3,"")))</f>
        <v>199.2</v>
      </c>
      <c r="N111" s="19">
        <f>IF(ISNUMBER(RU_Raw!N111),RU_Raw!N111,IF(ISNUMBER(RU_Raw!N112),(N110+RU_Raw!N112)/2,IF(ISNUMBER(RU_Raw!N113),N110+(RU_Raw!N113-N110)/3,"")))</f>
        <v>165.3</v>
      </c>
      <c r="O111" s="19">
        <f>IF(ISNUMBER(RU_Raw!O111),RU_Raw!O111,IF(ISNUMBER(RU_Raw!O112),(O110+RU_Raw!O112)/2,IF(ISNUMBER(RU_Raw!O113),O110+(RU_Raw!O113-O110)/3,"")))</f>
        <v>122.4</v>
      </c>
      <c r="P111" s="19">
        <f>IF(ISNUMBER(RU_Raw!P111),RU_Raw!P111,IF(ISNUMBER(RU_Raw!P112),(P110+RU_Raw!P112)/2,IF(ISNUMBER(RU_Raw!P113),P110+(RU_Raw!P113-P110)/3,"")))</f>
        <v>169.6</v>
      </c>
      <c r="Q111" s="19">
        <f>IF(ISNUMBER(RU_Raw!Q111),RU_Raw!Q111,IF(ISNUMBER(RU_Raw!Q112),(Q110+RU_Raw!Q112)/2,IF(ISNUMBER(RU_Raw!Q113),Q110+(RU_Raw!Q113-Q110)/3,"")))</f>
        <v>163.7</v>
      </c>
      <c r="R111" s="19">
        <f>IF(ISNUMBER(RU_Raw!R111),RU_Raw!R111,IF(ISNUMBER(RU_Raw!R112),(R110+RU_Raw!R112)/2,IF(ISNUMBER(RU_Raw!R113),R110+(RU_Raw!R113-R110)/3,"")))</f>
        <v>175.5</v>
      </c>
      <c r="S111" s="19">
        <f>IF(ISNUMBER(RU_Raw!S111),RU_Raw!S111,IF(ISNUMBER(RU_Raw!S112),(S110+RU_Raw!S112)/2,IF(ISNUMBER(RU_Raw!S113),S110+(RU_Raw!S113-S110)/3,"")))</f>
        <v>169.7</v>
      </c>
      <c r="T111" s="19">
        <f>IF(ISNUMBER(RU_Raw!T111),RU_Raw!T111,IF(ISNUMBER(RU_Raw!T112),(T110+RU_Raw!T112)/2,IF(ISNUMBER(RU_Raw!T113),T110+(RU_Raw!T113-T110)/3,"")))</f>
        <v>192.9</v>
      </c>
      <c r="U111" s="19">
        <f>IF(ISNUMBER(RU_Raw!U111),RU_Raw!U111,IF(ISNUMBER(RU_Raw!U112),(U110+RU_Raw!U112)/2,IF(ISNUMBER(RU_Raw!U113),U110+(RU_Raw!U113-U110)/3,"")))</f>
        <v>167.2</v>
      </c>
      <c r="V111" s="19">
        <f>IF(ISNUMBER(RU_Raw!V111),RU_Raw!V111,IF(ISNUMBER(RU_Raw!V112),(V110+RU_Raw!V112)/2,IF(ISNUMBER(RU_Raw!V113),V110+(RU_Raw!V113-V110)/3,"")))</f>
        <v>157.4</v>
      </c>
      <c r="W111" s="19">
        <f>IF(ISNUMBER(RU_Raw!W111),RU_Raw!W111,IF(ISNUMBER(RU_Raw!W112),(W110+RU_Raw!W112)/2,IF(ISNUMBER(RU_Raw!W113),W110+(RU_Raw!W113-W110)/3,"")))</f>
        <v>165.8</v>
      </c>
      <c r="X111" s="19">
        <f>IF(ISNUMBER(RU_Raw!X111),RU_Raw!X111,IF(ISNUMBER(RU_Raw!X112),(X110+RU_Raw!X112)/2,IF(ISNUMBER(RU_Raw!X113),X110+(RU_Raw!X113-X110)/3,"")))</f>
        <v>164.2</v>
      </c>
      <c r="Y111" s="19">
        <f>IF(ISNUMBER(RU_Raw!Y111),RU_Raw!Y111,IF(ISNUMBER(RU_Raw!Y112),(Y110+RU_Raw!Y112)/2,IF(ISNUMBER(RU_Raw!Y113),Y110+(RU_Raw!Y113-Y110)/3,"")))</f>
        <v>163.9</v>
      </c>
      <c r="Z111" s="19">
        <f>IF(ISNUMBER(RU_Raw!Z111),RU_Raw!Z111,IF(ISNUMBER(RU_Raw!Z112),(Z110+RU_Raw!Z112)/2,IF(ISNUMBER(RU_Raw!Z113),Z110+(RU_Raw!Z113-Z110)/3,"")))</f>
        <v>159.3</v>
      </c>
      <c r="AA111" s="19">
        <f>IF(ISNUMBER(RU_Raw!AA111),RU_Raw!AA111,IF(ISNUMBER(RU_Raw!AA112),(AA110+RU_Raw!AA112)/2,IF(ISNUMBER(RU_Raw!AA113),AA110+(RU_Raw!AA113-AA110)/3,"")))</f>
        <v>169.9</v>
      </c>
      <c r="AB111" s="19">
        <f>IF(ISNUMBER(RU_Raw!AB111),RU_Raw!AB111,IF(ISNUMBER(RU_Raw!AB112),(AB110+RU_Raw!AB112)/2,IF(ISNUMBER(RU_Raw!AB113),AB110+(RU_Raw!AB113-AB110)/3,"")))</f>
        <v>154.8</v>
      </c>
      <c r="AC111" s="19">
        <f>IF(ISNUMBER(RU_Raw!AC111),RU_Raw!AC111,IF(ISNUMBER(RU_Raw!AC112),(AC110+RU_Raw!AC112)/2,IF(ISNUMBER(RU_Raw!AC113),AC110+(RU_Raw!AC113-AC110)/3,"")))</f>
        <v>159.8</v>
      </c>
      <c r="AD111" s="19">
        <f>IF(ISNUMBER(RU_Raw!AD111),RU_Raw!AD111,IF(ISNUMBER(RU_Raw!AD112),(AD110+RU_Raw!AD112)/2,IF(ISNUMBER(RU_Raw!AD113),AD110+(RU_Raw!AD113-AD110)/3,"")))</f>
        <v>164.3</v>
      </c>
      <c r="AE111" s="19">
        <f>IF(ISNUMBER(RU_Raw!AE111),RU_Raw!AE111,IF(ISNUMBER(RU_Raw!AE112),(AE110+RU_Raw!AE112)/2,IF(ISNUMBER(RU_Raw!AE113),AE110+(RU_Raw!AE113-AE110)/3,"")))</f>
        <v>162.2</v>
      </c>
      <c r="AF111" s="19">
        <f>IF(ISNUMBER(RU_Raw!AF111),RU_Raw!AF111,IF(ISNUMBER(RU_Raw!AF112),(AF110+RU_Raw!AF112)/2,IF(ISNUMBER(RU_Raw!AF113),AF110+(RU_Raw!AF113-AF110)/3,"")))</f>
        <v>161.4</v>
      </c>
      <c r="AG111" s="19">
        <f>IF(ISNUMBER(RU_Raw!AG111),RU_Raw!AG111,IF(ISNUMBER(RU_Raw!AG112),(AG110+RU_Raw!AG112)/2,IF(ISNUMBER(RU_Raw!AG113),AG110+(RU_Raw!AG113-AG110)/3,"")))</f>
        <v>166.7</v>
      </c>
      <c r="AH111" s="19">
        <f t="shared" si="3"/>
        <v>2024.4</v>
      </c>
    </row>
    <row r="112" spans="1:34">
      <c r="A112" s="6">
        <f>RU_Raw!A112</f>
        <v>2021</v>
      </c>
      <c r="B112" s="6">
        <f>RU_Raw!B112</f>
        <v>12</v>
      </c>
      <c r="C112" s="6" t="str">
        <f>RU_Raw!C112</f>
        <v>December</v>
      </c>
      <c r="D112" s="9">
        <f>RU_Raw!D112</f>
        <v>44531</v>
      </c>
      <c r="E112" s="6">
        <f>COUNTBLANK(RU_Raw!G112:AG112)</f>
        <v>0</v>
      </c>
      <c r="F112" s="6" t="str">
        <f t="shared" si="2"/>
        <v/>
      </c>
      <c r="G112" s="19">
        <f>IF(ISNUMBER(RU_Raw!G112),RU_Raw!G112,IF(ISNUMBER(RU_Raw!G113),(G111+RU_Raw!G113)/2,IF(ISNUMBER(RU_Raw!G114),G111+(RU_Raw!G114-G111)/3,"")))</f>
        <v>148.7</v>
      </c>
      <c r="H112" s="19">
        <f>IF(ISNUMBER(RU_Raw!H112),RU_Raw!H112,IF(ISNUMBER(RU_Raw!H113),(H111+RU_Raw!H113)/2,IF(ISNUMBER(RU_Raw!H114),H111+(RU_Raw!H114-H111)/3,"")))</f>
        <v>198.8</v>
      </c>
      <c r="I112" s="19">
        <f>IF(ISNUMBER(RU_Raw!I112),RU_Raw!I112,IF(ISNUMBER(RU_Raw!I113),(I111+RU_Raw!I113)/2,IF(ISNUMBER(RU_Raw!I114),I111+(RU_Raw!I114-I111)/3,"")))</f>
        <v>177.9</v>
      </c>
      <c r="J112" s="19">
        <f>IF(ISNUMBER(RU_Raw!J112),RU_Raw!J112,IF(ISNUMBER(RU_Raw!J113),(J111+RU_Raw!J113)/2,IF(ISNUMBER(RU_Raw!J114),J111+(RU_Raw!J114-J111)/3,"")))</f>
        <v>159.9</v>
      </c>
      <c r="K112" s="19">
        <f>IF(ISNUMBER(RU_Raw!K112),RU_Raw!K112,IF(ISNUMBER(RU_Raw!K113),(K111+RU_Raw!K113)/2,IF(ISNUMBER(RU_Raw!K114),K111+(RU_Raw!K114-K111)/3,"")))</f>
        <v>187.6</v>
      </c>
      <c r="L112" s="19">
        <f>IF(ISNUMBER(RU_Raw!L112),RU_Raw!L112,IF(ISNUMBER(RU_Raw!L113),(L111+RU_Raw!L113)/2,IF(ISNUMBER(RU_Raw!L114),L111+(RU_Raw!L114-L111)/3,"")))</f>
        <v>154.9</v>
      </c>
      <c r="M112" s="19">
        <f>IF(ISNUMBER(RU_Raw!M112),RU_Raw!M112,IF(ISNUMBER(RU_Raw!M113),(M111+RU_Raw!M113)/2,IF(ISNUMBER(RU_Raw!M114),M111+(RU_Raw!M114-M111)/3,"")))</f>
        <v>188.3</v>
      </c>
      <c r="N112" s="19">
        <f>IF(ISNUMBER(RU_Raw!N112),RU_Raw!N112,IF(ISNUMBER(RU_Raw!N113),(N111+RU_Raw!N113)/2,IF(ISNUMBER(RU_Raw!N114),N111+(RU_Raw!N114-N111)/3,"")))</f>
        <v>164.4</v>
      </c>
      <c r="O112" s="19">
        <f>IF(ISNUMBER(RU_Raw!O112),RU_Raw!O112,IF(ISNUMBER(RU_Raw!O113),(O111+RU_Raw!O113)/2,IF(ISNUMBER(RU_Raw!O114),O111+(RU_Raw!O114-O111)/3,"")))</f>
        <v>121</v>
      </c>
      <c r="P112" s="19">
        <f>IF(ISNUMBER(RU_Raw!P112),RU_Raw!P112,IF(ISNUMBER(RU_Raw!P113),(P111+RU_Raw!P113)/2,IF(ISNUMBER(RU_Raw!P114),P111+(RU_Raw!P114-P111)/3,"")))</f>
        <v>170.5</v>
      </c>
      <c r="Q112" s="19">
        <f>IF(ISNUMBER(RU_Raw!Q112),RU_Raw!Q112,IF(ISNUMBER(RU_Raw!Q113),(Q111+RU_Raw!Q113)/2,IF(ISNUMBER(RU_Raw!Q114),Q111+(RU_Raw!Q114-Q111)/3,"")))</f>
        <v>164.2</v>
      </c>
      <c r="R112" s="19">
        <f>IF(ISNUMBER(RU_Raw!R112),RU_Raw!R112,IF(ISNUMBER(RU_Raw!R113),(R111+RU_Raw!R113)/2,IF(ISNUMBER(RU_Raw!R114),R111+(RU_Raw!R114-R111)/3,"")))</f>
        <v>176.5</v>
      </c>
      <c r="S112" s="19">
        <f>IF(ISNUMBER(RU_Raw!S112),RU_Raw!S112,IF(ISNUMBER(RU_Raw!S113),(S111+RU_Raw!S113)/2,IF(ISNUMBER(RU_Raw!S114),S111+(RU_Raw!S114-S111)/3,"")))</f>
        <v>168.2</v>
      </c>
      <c r="T112" s="19">
        <f>IF(ISNUMBER(RU_Raw!T112),RU_Raw!T112,IF(ISNUMBER(RU_Raw!T113),(T111+RU_Raw!T113)/2,IF(ISNUMBER(RU_Raw!T114),T111+(RU_Raw!T114-T111)/3,"")))</f>
        <v>192.4</v>
      </c>
      <c r="U112" s="19">
        <f>IF(ISNUMBER(RU_Raw!U112),RU_Raw!U112,IF(ISNUMBER(RU_Raw!U113),(U111+RU_Raw!U113)/2,IF(ISNUMBER(RU_Raw!U114),U111+(RU_Raw!U114-U111)/3,"")))</f>
        <v>168.5</v>
      </c>
      <c r="V112" s="19">
        <f>IF(ISNUMBER(RU_Raw!V112),RU_Raw!V112,IF(ISNUMBER(RU_Raw!V113),(V111+RU_Raw!V113)/2,IF(ISNUMBER(RU_Raw!V114),V111+(RU_Raw!V114-V111)/3,"")))</f>
        <v>158.7</v>
      </c>
      <c r="W112" s="19">
        <f>IF(ISNUMBER(RU_Raw!W112),RU_Raw!W112,IF(ISNUMBER(RU_Raw!W113),(W111+RU_Raw!W113)/2,IF(ISNUMBER(RU_Raw!W114),W111+(RU_Raw!W114-W111)/3,"")))</f>
        <v>167</v>
      </c>
      <c r="X112" s="19">
        <f>IF(ISNUMBER(RU_Raw!X112),RU_Raw!X112,IF(ISNUMBER(RU_Raw!X113),(X111+RU_Raw!X113)/2,IF(ISNUMBER(RU_Raw!X114),X111+(RU_Raw!X114-X111)/3,"")))</f>
        <v>163.4</v>
      </c>
      <c r="Y112" s="19">
        <f>IF(ISNUMBER(RU_Raw!Y112),RU_Raw!Y112,IF(ISNUMBER(RU_Raw!Y113),(Y111+RU_Raw!Y113)/2,IF(ISNUMBER(RU_Raw!Y114),Y111+(RU_Raw!Y114-Y111)/3,"")))</f>
        <v>164.1</v>
      </c>
      <c r="Z112" s="19">
        <f>IF(ISNUMBER(RU_Raw!Z112),RU_Raw!Z112,IF(ISNUMBER(RU_Raw!Z113),(Z111+RU_Raw!Z113)/2,IF(ISNUMBER(RU_Raw!Z114),Z111+(RU_Raw!Z114-Z111)/3,"")))</f>
        <v>160.2</v>
      </c>
      <c r="AA112" s="19">
        <f>IF(ISNUMBER(RU_Raw!AA112),RU_Raw!AA112,IF(ISNUMBER(RU_Raw!AA113),(AA111+RU_Raw!AA113)/2,IF(ISNUMBER(RU_Raw!AA114),AA111+(RU_Raw!AA114-AA111)/3,"")))</f>
        <v>170.6</v>
      </c>
      <c r="AB112" s="19">
        <f>IF(ISNUMBER(RU_Raw!AB112),RU_Raw!AB112,IF(ISNUMBER(RU_Raw!AB113),(AB111+RU_Raw!AB113)/2,IF(ISNUMBER(RU_Raw!AB114),AB111+(RU_Raw!AB114-AB111)/3,"")))</f>
        <v>155.7</v>
      </c>
      <c r="AC112" s="19">
        <f>IF(ISNUMBER(RU_Raw!AC112),RU_Raw!AC112,IF(ISNUMBER(RU_Raw!AC113),(AC111+RU_Raw!AC113)/2,IF(ISNUMBER(RU_Raw!AC114),AC111+(RU_Raw!AC114-AC111)/3,"")))</f>
        <v>160.6</v>
      </c>
      <c r="AD112" s="19">
        <f>IF(ISNUMBER(RU_Raw!AD112),RU_Raw!AD112,IF(ISNUMBER(RU_Raw!AD113),(AD111+RU_Raw!AD113)/2,IF(ISNUMBER(RU_Raw!AD114),AD111+(RU_Raw!AD114-AD111)/3,"")))</f>
        <v>164.4</v>
      </c>
      <c r="AE112" s="19">
        <f>IF(ISNUMBER(RU_Raw!AE112),RU_Raw!AE112,IF(ISNUMBER(RU_Raw!AE113),(AE111+RU_Raw!AE113)/2,IF(ISNUMBER(RU_Raw!AE114),AE111+(RU_Raw!AE114-AE111)/3,"")))</f>
        <v>162.6</v>
      </c>
      <c r="AF112" s="19">
        <f>IF(ISNUMBER(RU_Raw!AF112),RU_Raw!AF112,IF(ISNUMBER(RU_Raw!AF113),(AF111+RU_Raw!AF113)/2,IF(ISNUMBER(RU_Raw!AF114),AF111+(RU_Raw!AF114-AF111)/3,"")))</f>
        <v>162</v>
      </c>
      <c r="AG112" s="19">
        <f>IF(ISNUMBER(RU_Raw!AG112),RU_Raw!AG112,IF(ISNUMBER(RU_Raw!AG113),(AG111+RU_Raw!AG113)/2,IF(ISNUMBER(RU_Raw!AG114),AG111+(RU_Raw!AG114-AG111)/3,"")))</f>
        <v>166.2</v>
      </c>
      <c r="AH112" s="19">
        <f t="shared" si="3"/>
        <v>2012.7</v>
      </c>
    </row>
    <row r="113" spans="1:34">
      <c r="A113" s="6">
        <f>RU_Raw!A113</f>
        <v>2022</v>
      </c>
      <c r="B113" s="6">
        <f>RU_Raw!B113</f>
        <v>1</v>
      </c>
      <c r="C113" s="6" t="str">
        <f>RU_Raw!C113</f>
        <v>January</v>
      </c>
      <c r="D113" s="9">
        <f>RU_Raw!D113</f>
        <v>44562</v>
      </c>
      <c r="E113" s="6">
        <f>COUNTBLANK(RU_Raw!G113:AG113)</f>
        <v>0</v>
      </c>
      <c r="F113" s="6" t="str">
        <f t="shared" si="2"/>
        <v/>
      </c>
      <c r="G113" s="19">
        <f>IF(ISNUMBER(RU_Raw!G113),RU_Raw!G113,IF(ISNUMBER(RU_Raw!G114),(G112+RU_Raw!G114)/2,IF(ISNUMBER(RU_Raw!G115),G112+(RU_Raw!G115-G112)/3,"")))</f>
        <v>149.5</v>
      </c>
      <c r="H113" s="19">
        <f>IF(ISNUMBER(RU_Raw!H113),RU_Raw!H113,IF(ISNUMBER(RU_Raw!H114),(H112+RU_Raw!H114)/2,IF(ISNUMBER(RU_Raw!H115),H112+(RU_Raw!H115-H112)/3,"")))</f>
        <v>198.7</v>
      </c>
      <c r="I113" s="19">
        <f>IF(ISNUMBER(RU_Raw!I113),RU_Raw!I113,IF(ISNUMBER(RU_Raw!I114),(I112+RU_Raw!I114)/2,IF(ISNUMBER(RU_Raw!I115),I112+(RU_Raw!I115-I112)/3,"")))</f>
        <v>178.8</v>
      </c>
      <c r="J113" s="19">
        <f>IF(ISNUMBER(RU_Raw!J113),RU_Raw!J113,IF(ISNUMBER(RU_Raw!J114),(J112+RU_Raw!J114)/2,IF(ISNUMBER(RU_Raw!J115),J112+(RU_Raw!J115-J112)/3,"")))</f>
        <v>160.5</v>
      </c>
      <c r="K113" s="19">
        <f>IF(ISNUMBER(RU_Raw!K113),RU_Raw!K113,IF(ISNUMBER(RU_Raw!K114),(K112+RU_Raw!K114)/2,IF(ISNUMBER(RU_Raw!K115),K112+(RU_Raw!K115-K112)/3,"")))</f>
        <v>184.7</v>
      </c>
      <c r="L113" s="19">
        <f>IF(ISNUMBER(RU_Raw!L113),RU_Raw!L113,IF(ISNUMBER(RU_Raw!L114),(L112+RU_Raw!L114)/2,IF(ISNUMBER(RU_Raw!L115),L112+(RU_Raw!L115-L112)/3,"")))</f>
        <v>153.7</v>
      </c>
      <c r="M113" s="19">
        <f>IF(ISNUMBER(RU_Raw!M113),RU_Raw!M113,IF(ISNUMBER(RU_Raw!M114),(M112+RU_Raw!M114)/2,IF(ISNUMBER(RU_Raw!M115),M112+(RU_Raw!M115-M112)/3,"")))</f>
        <v>174.3</v>
      </c>
      <c r="N113" s="19">
        <f>IF(ISNUMBER(RU_Raw!N113),RU_Raw!N113,IF(ISNUMBER(RU_Raw!N114),(N112+RU_Raw!N114)/2,IF(ISNUMBER(RU_Raw!N115),N112+(RU_Raw!N115-N112)/3,"")))</f>
        <v>163.9</v>
      </c>
      <c r="O113" s="19">
        <f>IF(ISNUMBER(RU_Raw!O113),RU_Raw!O113,IF(ISNUMBER(RU_Raw!O114),(O112+RU_Raw!O114)/2,IF(ISNUMBER(RU_Raw!O115),O112+(RU_Raw!O115-O112)/3,"")))</f>
        <v>120</v>
      </c>
      <c r="P113" s="19">
        <f>IF(ISNUMBER(RU_Raw!P113),RU_Raw!P113,IF(ISNUMBER(RU_Raw!P114),(P112+RU_Raw!P114)/2,IF(ISNUMBER(RU_Raw!P115),P112+(RU_Raw!P115-P112)/3,"")))</f>
        <v>172.1</v>
      </c>
      <c r="Q113" s="19">
        <f>IF(ISNUMBER(RU_Raw!Q113),RU_Raw!Q113,IF(ISNUMBER(RU_Raw!Q114),(Q112+RU_Raw!Q114)/2,IF(ISNUMBER(RU_Raw!Q115),Q112+(RU_Raw!Q115-Q112)/3,"")))</f>
        <v>164.3</v>
      </c>
      <c r="R113" s="19">
        <f>IF(ISNUMBER(RU_Raw!R113),RU_Raw!R113,IF(ISNUMBER(RU_Raw!R114),(R112+RU_Raw!R114)/2,IF(ISNUMBER(RU_Raw!R115),R112+(RU_Raw!R115-R112)/3,"")))</f>
        <v>177.3</v>
      </c>
      <c r="S113" s="19">
        <f>IF(ISNUMBER(RU_Raw!S113),RU_Raw!S113,IF(ISNUMBER(RU_Raw!S114),(S112+RU_Raw!S114)/2,IF(ISNUMBER(RU_Raw!S115),S112+(RU_Raw!S115-S112)/3,"")))</f>
        <v>166.4</v>
      </c>
      <c r="T113" s="19">
        <f>IF(ISNUMBER(RU_Raw!T113),RU_Raw!T113,IF(ISNUMBER(RU_Raw!T114),(T112+RU_Raw!T114)/2,IF(ISNUMBER(RU_Raw!T115),T112+(RU_Raw!T115-T112)/3,"")))</f>
        <v>192.2</v>
      </c>
      <c r="U113" s="19">
        <f>IF(ISNUMBER(RU_Raw!U113),RU_Raw!U113,IF(ISNUMBER(RU_Raw!U114),(U112+RU_Raw!U114)/2,IF(ISNUMBER(RU_Raw!U115),U112+(RU_Raw!U115-U112)/3,"")))</f>
        <v>169.9</v>
      </c>
      <c r="V113" s="19">
        <f>IF(ISNUMBER(RU_Raw!V113),RU_Raw!V113,IF(ISNUMBER(RU_Raw!V114),(V112+RU_Raw!V114)/2,IF(ISNUMBER(RU_Raw!V115),V112+(RU_Raw!V115-V112)/3,"")))</f>
        <v>160.7</v>
      </c>
      <c r="W113" s="19">
        <f>IF(ISNUMBER(RU_Raw!W113),RU_Raw!W113,IF(ISNUMBER(RU_Raw!W114),(W112+RU_Raw!W114)/2,IF(ISNUMBER(RU_Raw!W115),W112+(RU_Raw!W115-W112)/3,"")))</f>
        <v>168.5</v>
      </c>
      <c r="X113" s="19">
        <f>IF(ISNUMBER(RU_Raw!X113),RU_Raw!X113,IF(ISNUMBER(RU_Raw!X114),(X112+RU_Raw!X114)/2,IF(ISNUMBER(RU_Raw!X115),X112+(RU_Raw!X115-X112)/3,"")))</f>
        <v>164.5</v>
      </c>
      <c r="Y113" s="19">
        <f>IF(ISNUMBER(RU_Raw!Y113),RU_Raw!Y113,IF(ISNUMBER(RU_Raw!Y114),(Y112+RU_Raw!Y114)/2,IF(ISNUMBER(RU_Raw!Y115),Y112+(RU_Raw!Y115-Y112)/3,"")))</f>
        <v>164.2</v>
      </c>
      <c r="Z113" s="19">
        <f>IF(ISNUMBER(RU_Raw!Z113),RU_Raw!Z113,IF(ISNUMBER(RU_Raw!Z114),(Z112+RU_Raw!Z114)/2,IF(ISNUMBER(RU_Raw!Z115),Z112+(RU_Raw!Z115-Z112)/3,"")))</f>
        <v>161.1</v>
      </c>
      <c r="AA113" s="19">
        <f>IF(ISNUMBER(RU_Raw!AA113),RU_Raw!AA113,IF(ISNUMBER(RU_Raw!AA114),(AA112+RU_Raw!AA114)/2,IF(ISNUMBER(RU_Raw!AA115),AA112+(RU_Raw!AA115-AA112)/3,"")))</f>
        <v>171.4</v>
      </c>
      <c r="AB113" s="19">
        <f>IF(ISNUMBER(RU_Raw!AB113),RU_Raw!AB113,IF(ISNUMBER(RU_Raw!AB114),(AB112+RU_Raw!AB114)/2,IF(ISNUMBER(RU_Raw!AB115),AB112+(RU_Raw!AB115-AB112)/3,"")))</f>
        <v>156.5</v>
      </c>
      <c r="AC113" s="19">
        <f>IF(ISNUMBER(RU_Raw!AC113),RU_Raw!AC113,IF(ISNUMBER(RU_Raw!AC114),(AC112+RU_Raw!AC114)/2,IF(ISNUMBER(RU_Raw!AC115),AC112+(RU_Raw!AC115-AC112)/3,"")))</f>
        <v>161.2</v>
      </c>
      <c r="AD113" s="19">
        <f>IF(ISNUMBER(RU_Raw!AD113),RU_Raw!AD113,IF(ISNUMBER(RU_Raw!AD114),(AD112+RU_Raw!AD114)/2,IF(ISNUMBER(RU_Raw!AD115),AD112+(RU_Raw!AD115-AD112)/3,"")))</f>
        <v>164.7</v>
      </c>
      <c r="AE113" s="19">
        <f>IF(ISNUMBER(RU_Raw!AE113),RU_Raw!AE113,IF(ISNUMBER(RU_Raw!AE114),(AE112+RU_Raw!AE114)/2,IF(ISNUMBER(RU_Raw!AE115),AE112+(RU_Raw!AE115-AE112)/3,"")))</f>
        <v>163</v>
      </c>
      <c r="AF113" s="19">
        <f>IF(ISNUMBER(RU_Raw!AF113),RU_Raw!AF113,IF(ISNUMBER(RU_Raw!AF114),(AF112+RU_Raw!AF114)/2,IF(ISNUMBER(RU_Raw!AF115),AF112+(RU_Raw!AF115-AF112)/3,"")))</f>
        <v>162.7</v>
      </c>
      <c r="AG113" s="19">
        <f>IF(ISNUMBER(RU_Raw!AG113),RU_Raw!AG113,IF(ISNUMBER(RU_Raw!AG114),(AG112+RU_Raw!AG114)/2,IF(ISNUMBER(RU_Raw!AG115),AG112+(RU_Raw!AG115-AG112)/3,"")))</f>
        <v>165.7</v>
      </c>
      <c r="AH113" s="19">
        <f t="shared" si="3"/>
        <v>1997.8</v>
      </c>
    </row>
    <row r="114" spans="1:34">
      <c r="A114" s="6">
        <f>RU_Raw!A114</f>
        <v>2022</v>
      </c>
      <c r="B114" s="6">
        <f>RU_Raw!B114</f>
        <v>2</v>
      </c>
      <c r="C114" s="6" t="str">
        <f>RU_Raw!C114</f>
        <v>February</v>
      </c>
      <c r="D114" s="9">
        <f>RU_Raw!D114</f>
        <v>44593</v>
      </c>
      <c r="E114" s="6">
        <f>COUNTBLANK(RU_Raw!G114:AG114)</f>
        <v>0</v>
      </c>
      <c r="F114" s="6" t="str">
        <f t="shared" si="2"/>
        <v/>
      </c>
      <c r="G114" s="19">
        <f>IF(ISNUMBER(RU_Raw!G114),RU_Raw!G114,IF(ISNUMBER(RU_Raw!G115),(G113+RU_Raw!G115)/2,IF(ISNUMBER(RU_Raw!G116),G113+(RU_Raw!G116-G113)/3,"")))</f>
        <v>150</v>
      </c>
      <c r="H114" s="19">
        <f>IF(ISNUMBER(RU_Raw!H114),RU_Raw!H114,IF(ISNUMBER(RU_Raw!H115),(H113+RU_Raw!H115)/2,IF(ISNUMBER(RU_Raw!H116),H113+(RU_Raw!H116-H113)/3,"")))</f>
        <v>200.6</v>
      </c>
      <c r="I114" s="19">
        <f>IF(ISNUMBER(RU_Raw!I114),RU_Raw!I114,IF(ISNUMBER(RU_Raw!I115),(I113+RU_Raw!I115)/2,IF(ISNUMBER(RU_Raw!I116),I113+(RU_Raw!I116-I113)/3,"")))</f>
        <v>175.8</v>
      </c>
      <c r="J114" s="19">
        <f>IF(ISNUMBER(RU_Raw!J114),RU_Raw!J114,IF(ISNUMBER(RU_Raw!J115),(J113+RU_Raw!J115)/2,IF(ISNUMBER(RU_Raw!J116),J113+(RU_Raw!J116-J113)/3,"")))</f>
        <v>160.7</v>
      </c>
      <c r="K114" s="19">
        <f>IF(ISNUMBER(RU_Raw!K114),RU_Raw!K114,IF(ISNUMBER(RU_Raw!K115),(K113+RU_Raw!K115)/2,IF(ISNUMBER(RU_Raw!K116),K113+(RU_Raw!K116-K113)/3,"")))</f>
        <v>184.9</v>
      </c>
      <c r="L114" s="19">
        <f>IF(ISNUMBER(RU_Raw!L114),RU_Raw!L114,IF(ISNUMBER(RU_Raw!L115),(L113+RU_Raw!L115)/2,IF(ISNUMBER(RU_Raw!L116),L113+(RU_Raw!L116-L113)/3,"")))</f>
        <v>153.7</v>
      </c>
      <c r="M114" s="19">
        <f>IF(ISNUMBER(RU_Raw!M114),RU_Raw!M114,IF(ISNUMBER(RU_Raw!M115),(M113+RU_Raw!M115)/2,IF(ISNUMBER(RU_Raw!M116),M113+(RU_Raw!M116-M113)/3,"")))</f>
        <v>169.7</v>
      </c>
      <c r="N114" s="19">
        <f>IF(ISNUMBER(RU_Raw!N114),RU_Raw!N114,IF(ISNUMBER(RU_Raw!N115),(N113+RU_Raw!N115)/2,IF(ISNUMBER(RU_Raw!N116),N113+(RU_Raw!N116-N113)/3,"")))</f>
        <v>163.7</v>
      </c>
      <c r="O114" s="19">
        <f>IF(ISNUMBER(RU_Raw!O114),RU_Raw!O114,IF(ISNUMBER(RU_Raw!O115),(O113+RU_Raw!O115)/2,IF(ISNUMBER(RU_Raw!O116),O113+(RU_Raw!O116-O113)/3,"")))</f>
        <v>118.9</v>
      </c>
      <c r="P114" s="19">
        <f>IF(ISNUMBER(RU_Raw!P114),RU_Raw!P114,IF(ISNUMBER(RU_Raw!P115),(P113+RU_Raw!P115)/2,IF(ISNUMBER(RU_Raw!P116),P113+(RU_Raw!P116-P113)/3,"")))</f>
        <v>174.3</v>
      </c>
      <c r="Q114" s="19">
        <f>IF(ISNUMBER(RU_Raw!Q114),RU_Raw!Q114,IF(ISNUMBER(RU_Raw!Q115),(Q113+RU_Raw!Q115)/2,IF(ISNUMBER(RU_Raw!Q116),Q113+(RU_Raw!Q116-Q113)/3,"")))</f>
        <v>164.7</v>
      </c>
      <c r="R114" s="19">
        <f>IF(ISNUMBER(RU_Raw!R114),RU_Raw!R114,IF(ISNUMBER(RU_Raw!R115),(R113+RU_Raw!R115)/2,IF(ISNUMBER(RU_Raw!R116),R113+(RU_Raw!R116-R113)/3,"")))</f>
        <v>178</v>
      </c>
      <c r="S114" s="19">
        <f>IF(ISNUMBER(RU_Raw!S114),RU_Raw!S114,IF(ISNUMBER(RU_Raw!S115),(S113+RU_Raw!S115)/2,IF(ISNUMBER(RU_Raw!S116),S113+(RU_Raw!S116-S113)/3,"")))</f>
        <v>166.2</v>
      </c>
      <c r="T114" s="19">
        <f>IF(ISNUMBER(RU_Raw!T114),RU_Raw!T114,IF(ISNUMBER(RU_Raw!T115),(T113+RU_Raw!T115)/2,IF(ISNUMBER(RU_Raw!T116),T113+(RU_Raw!T116-T113)/3,"")))</f>
        <v>192.8</v>
      </c>
      <c r="U114" s="19">
        <f>IF(ISNUMBER(RU_Raw!U114),RU_Raw!U114,IF(ISNUMBER(RU_Raw!U115),(U113+RU_Raw!U115)/2,IF(ISNUMBER(RU_Raw!U116),U113+(RU_Raw!U116-U113)/3,"")))</f>
        <v>170.8</v>
      </c>
      <c r="V114" s="19">
        <f>IF(ISNUMBER(RU_Raw!V114),RU_Raw!V114,IF(ISNUMBER(RU_Raw!V115),(V113+RU_Raw!V115)/2,IF(ISNUMBER(RU_Raw!V116),V113+(RU_Raw!V116-V113)/3,"")))</f>
        <v>162.4</v>
      </c>
      <c r="W114" s="19">
        <f>IF(ISNUMBER(RU_Raw!W114),RU_Raw!W114,IF(ISNUMBER(RU_Raw!W115),(W113+RU_Raw!W115)/2,IF(ISNUMBER(RU_Raw!W116),W113+(RU_Raw!W116-W113)/3,"")))</f>
        <v>169.6</v>
      </c>
      <c r="X114" s="19">
        <f>IF(ISNUMBER(RU_Raw!X114),RU_Raw!X114,IF(ISNUMBER(RU_Raw!X115),(X113+RU_Raw!X115)/2,IF(ISNUMBER(RU_Raw!X116),X113+(RU_Raw!X116-X113)/3,"")))</f>
        <v>165.5</v>
      </c>
      <c r="Y114" s="19">
        <f>IF(ISNUMBER(RU_Raw!Y114),RU_Raw!Y114,IF(ISNUMBER(RU_Raw!Y115),(Y113+RU_Raw!Y115)/2,IF(ISNUMBER(RU_Raw!Y116),Y113+(RU_Raw!Y116-Y113)/3,"")))</f>
        <v>165.7</v>
      </c>
      <c r="Z114" s="19">
        <f>IF(ISNUMBER(RU_Raw!Z114),RU_Raw!Z114,IF(ISNUMBER(RU_Raw!Z115),(Z113+RU_Raw!Z115)/2,IF(ISNUMBER(RU_Raw!Z116),Z113+(RU_Raw!Z116-Z113)/3,"")))</f>
        <v>161.8</v>
      </c>
      <c r="AA114" s="19">
        <f>IF(ISNUMBER(RU_Raw!AA114),RU_Raw!AA114,IF(ISNUMBER(RU_Raw!AA115),(AA113+RU_Raw!AA115)/2,IF(ISNUMBER(RU_Raw!AA116),AA113+(RU_Raw!AA116-AA113)/3,"")))</f>
        <v>172.2</v>
      </c>
      <c r="AB114" s="19">
        <f>IF(ISNUMBER(RU_Raw!AB114),RU_Raw!AB114,IF(ISNUMBER(RU_Raw!AB115),(AB113+RU_Raw!AB115)/2,IF(ISNUMBER(RU_Raw!AB116),AB113+(RU_Raw!AB116-AB113)/3,"")))</f>
        <v>156.9</v>
      </c>
      <c r="AC114" s="19">
        <f>IF(ISNUMBER(RU_Raw!AC114),RU_Raw!AC114,IF(ISNUMBER(RU_Raw!AC115),(AC113+RU_Raw!AC115)/2,IF(ISNUMBER(RU_Raw!AC116),AC113+(RU_Raw!AC116-AC113)/3,"")))</f>
        <v>162.1</v>
      </c>
      <c r="AD114" s="19">
        <f>IF(ISNUMBER(RU_Raw!AD114),RU_Raw!AD114,IF(ISNUMBER(RU_Raw!AD115),(AD113+RU_Raw!AD115)/2,IF(ISNUMBER(RU_Raw!AD116),AD113+(RU_Raw!AD116-AD113)/3,"")))</f>
        <v>165.4</v>
      </c>
      <c r="AE114" s="19">
        <f>IF(ISNUMBER(RU_Raw!AE114),RU_Raw!AE114,IF(ISNUMBER(RU_Raw!AE115),(AE113+RU_Raw!AE115)/2,IF(ISNUMBER(RU_Raw!AE116),AE113+(RU_Raw!AE116-AE113)/3,"")))</f>
        <v>164.4</v>
      </c>
      <c r="AF114" s="19">
        <f>IF(ISNUMBER(RU_Raw!AF114),RU_Raw!AF114,IF(ISNUMBER(RU_Raw!AF115),(AF113+RU_Raw!AF115)/2,IF(ISNUMBER(RU_Raw!AF116),AF113+(RU_Raw!AF116-AF113)/3,"")))</f>
        <v>163.5</v>
      </c>
      <c r="AG114" s="19">
        <f>IF(ISNUMBER(RU_Raw!AG114),RU_Raw!AG114,IF(ISNUMBER(RU_Raw!AG115),(AG113+RU_Raw!AG115)/2,IF(ISNUMBER(RU_Raw!AG116),AG113+(RU_Raw!AG116-AG113)/3,"")))</f>
        <v>166.1</v>
      </c>
      <c r="AH114" s="19">
        <f t="shared" si="3"/>
        <v>1995</v>
      </c>
    </row>
    <row r="115" spans="1:34">
      <c r="A115" s="6">
        <f>RU_Raw!A115</f>
        <v>2022</v>
      </c>
      <c r="B115" s="6">
        <f>RU_Raw!B115</f>
        <v>3</v>
      </c>
      <c r="C115" s="6" t="str">
        <f>RU_Raw!C115</f>
        <v>March</v>
      </c>
      <c r="D115" s="9">
        <f>RU_Raw!D115</f>
        <v>44621</v>
      </c>
      <c r="E115" s="6">
        <f>COUNTBLANK(RU_Raw!G115:AG115)</f>
        <v>0</v>
      </c>
      <c r="F115" s="6" t="str">
        <f t="shared" si="2"/>
        <v/>
      </c>
      <c r="G115" s="19">
        <f>IF(ISNUMBER(RU_Raw!G115),RU_Raw!G115,IF(ISNUMBER(RU_Raw!G116),(G114+RU_Raw!G116)/2,IF(ISNUMBER(RU_Raw!G117),G114+(RU_Raw!G117-G114)/3,"")))</f>
        <v>151.3</v>
      </c>
      <c r="H115" s="19">
        <f>IF(ISNUMBER(RU_Raw!H115),RU_Raw!H115,IF(ISNUMBER(RU_Raw!H116),(H114+RU_Raw!H116)/2,IF(ISNUMBER(RU_Raw!H117),H114+(RU_Raw!H117-H114)/3,"")))</f>
        <v>210.7</v>
      </c>
      <c r="I115" s="19">
        <f>IF(ISNUMBER(RU_Raw!I115),RU_Raw!I115,IF(ISNUMBER(RU_Raw!I116),(I114+RU_Raw!I116)/2,IF(ISNUMBER(RU_Raw!I117),I114+(RU_Raw!I117-I114)/3,"")))</f>
        <v>167.8</v>
      </c>
      <c r="J115" s="19">
        <f>IF(ISNUMBER(RU_Raw!J115),RU_Raw!J115,IF(ISNUMBER(RU_Raw!J116),(J114+RU_Raw!J116)/2,IF(ISNUMBER(RU_Raw!J117),J114+(RU_Raw!J117-J114)/3,"")))</f>
        <v>162.2</v>
      </c>
      <c r="K115" s="19">
        <f>IF(ISNUMBER(RU_Raw!K115),RU_Raw!K115,IF(ISNUMBER(RU_Raw!K116),(K114+RU_Raw!K116)/2,IF(ISNUMBER(RU_Raw!K117),K114+(RU_Raw!K117-K114)/3,"")))</f>
        <v>194.6</v>
      </c>
      <c r="L115" s="19">
        <f>IF(ISNUMBER(RU_Raw!L115),RU_Raw!L115,IF(ISNUMBER(RU_Raw!L116),(L114+RU_Raw!L116)/2,IF(ISNUMBER(RU_Raw!L117),L114+(RU_Raw!L117-L114)/3,"")))</f>
        <v>157.6</v>
      </c>
      <c r="M115" s="19">
        <f>IF(ISNUMBER(RU_Raw!M115),RU_Raw!M115,IF(ISNUMBER(RU_Raw!M116),(M114+RU_Raw!M116)/2,IF(ISNUMBER(RU_Raw!M117),M114+(RU_Raw!M117-M114)/3,"")))</f>
        <v>166.9</v>
      </c>
      <c r="N115" s="19">
        <f>IF(ISNUMBER(RU_Raw!N115),RU_Raw!N115,IF(ISNUMBER(RU_Raw!N116),(N114+RU_Raw!N116)/2,IF(ISNUMBER(RU_Raw!N117),N114+(RU_Raw!N117-N114)/3,"")))</f>
        <v>163.9</v>
      </c>
      <c r="O115" s="19">
        <f>IF(ISNUMBER(RU_Raw!O115),RU_Raw!O115,IF(ISNUMBER(RU_Raw!O116),(O114+RU_Raw!O116)/2,IF(ISNUMBER(RU_Raw!O117),O114+(RU_Raw!O117-O114)/3,"")))</f>
        <v>118.8</v>
      </c>
      <c r="P115" s="19">
        <f>IF(ISNUMBER(RU_Raw!P115),RU_Raw!P115,IF(ISNUMBER(RU_Raw!P116),(P114+RU_Raw!P116)/2,IF(ISNUMBER(RU_Raw!P117),P114+(RU_Raw!P117-P114)/3,"")))</f>
        <v>177.4</v>
      </c>
      <c r="Q115" s="19">
        <f>IF(ISNUMBER(RU_Raw!Q115),RU_Raw!Q115,IF(ISNUMBER(RU_Raw!Q116),(Q114+RU_Raw!Q116)/2,IF(ISNUMBER(RU_Raw!Q117),Q114+(RU_Raw!Q117-Q114)/3,"")))</f>
        <v>165.3</v>
      </c>
      <c r="R115" s="19">
        <f>IF(ISNUMBER(RU_Raw!R115),RU_Raw!R115,IF(ISNUMBER(RU_Raw!R116),(R114+RU_Raw!R116)/2,IF(ISNUMBER(RU_Raw!R117),R114+(RU_Raw!R117-R114)/3,"")))</f>
        <v>179.3</v>
      </c>
      <c r="S115" s="19">
        <f>IF(ISNUMBER(RU_Raw!S115),RU_Raw!S115,IF(ISNUMBER(RU_Raw!S116),(S114+RU_Raw!S116)/2,IF(ISNUMBER(RU_Raw!S117),S114+(RU_Raw!S117-S114)/3,"")))</f>
        <v>168.4</v>
      </c>
      <c r="T115" s="19">
        <f>IF(ISNUMBER(RU_Raw!T115),RU_Raw!T115,IF(ISNUMBER(RU_Raw!T116),(T114+RU_Raw!T116)/2,IF(ISNUMBER(RU_Raw!T117),T114+(RU_Raw!T117-T114)/3,"")))</f>
        <v>193.7</v>
      </c>
      <c r="U115" s="19">
        <f>IF(ISNUMBER(RU_Raw!U115),RU_Raw!U115,IF(ISNUMBER(RU_Raw!U116),(U114+RU_Raw!U116)/2,IF(ISNUMBER(RU_Raw!U117),U114+(RU_Raw!U117-U114)/3,"")))</f>
        <v>172.1</v>
      </c>
      <c r="V115" s="19">
        <f>IF(ISNUMBER(RU_Raw!V115),RU_Raw!V115,IF(ISNUMBER(RU_Raw!V116),(V114+RU_Raw!V116)/2,IF(ISNUMBER(RU_Raw!V117),V114+(RU_Raw!V117-V114)/3,"")))</f>
        <v>164.6</v>
      </c>
      <c r="W115" s="19">
        <f>IF(ISNUMBER(RU_Raw!W115),RU_Raw!W115,IF(ISNUMBER(RU_Raw!W116),(W114+RU_Raw!W116)/2,IF(ISNUMBER(RU_Raw!W117),W114+(RU_Raw!W117-W114)/3,"")))</f>
        <v>171.1</v>
      </c>
      <c r="X115" s="19">
        <f>IF(ISNUMBER(RU_Raw!X115),RU_Raw!X115,IF(ISNUMBER(RU_Raw!X116),(X114+RU_Raw!X116)/2,IF(ISNUMBER(RU_Raw!X117),X114+(RU_Raw!X117-X114)/3,"")))</f>
        <v>165.3</v>
      </c>
      <c r="Y115" s="19">
        <f>IF(ISNUMBER(RU_Raw!Y115),RU_Raw!Y115,IF(ISNUMBER(RU_Raw!Y116),(Y114+RU_Raw!Y116)/2,IF(ISNUMBER(RU_Raw!Y117),Y114+(RU_Raw!Y117-Y114)/3,"")))</f>
        <v>167.2</v>
      </c>
      <c r="Z115" s="19">
        <f>IF(ISNUMBER(RU_Raw!Z115),RU_Raw!Z115,IF(ISNUMBER(RU_Raw!Z116),(Z114+RU_Raw!Z116)/2,IF(ISNUMBER(RU_Raw!Z117),Z114+(RU_Raw!Z117-Z114)/3,"")))</f>
        <v>162.8</v>
      </c>
      <c r="AA115" s="19">
        <f>IF(ISNUMBER(RU_Raw!AA115),RU_Raw!AA115,IF(ISNUMBER(RU_Raw!AA116),(AA114+RU_Raw!AA116)/2,IF(ISNUMBER(RU_Raw!AA117),AA114+(RU_Raw!AA117-AA114)/3,"")))</f>
        <v>173</v>
      </c>
      <c r="AB115" s="19">
        <f>IF(ISNUMBER(RU_Raw!AB115),RU_Raw!AB115,IF(ISNUMBER(RU_Raw!AB116),(AB114+RU_Raw!AB116)/2,IF(ISNUMBER(RU_Raw!AB117),AB114+(RU_Raw!AB117-AB114)/3,"")))</f>
        <v>157.9</v>
      </c>
      <c r="AC115" s="19">
        <f>IF(ISNUMBER(RU_Raw!AC115),RU_Raw!AC115,IF(ISNUMBER(RU_Raw!AC116),(AC114+RU_Raw!AC116)/2,IF(ISNUMBER(RU_Raw!AC117),AC114+(RU_Raw!AC117-AC114)/3,"")))</f>
        <v>163.3</v>
      </c>
      <c r="AD115" s="19">
        <f>IF(ISNUMBER(RU_Raw!AD115),RU_Raw!AD115,IF(ISNUMBER(RU_Raw!AD116),(AD114+RU_Raw!AD116)/2,IF(ISNUMBER(RU_Raw!AD117),AD114+(RU_Raw!AD117-AD114)/3,"")))</f>
        <v>166</v>
      </c>
      <c r="AE115" s="19">
        <f>IF(ISNUMBER(RU_Raw!AE115),RU_Raw!AE115,IF(ISNUMBER(RU_Raw!AE116),(AE114+RU_Raw!AE116)/2,IF(ISNUMBER(RU_Raw!AE117),AE114+(RU_Raw!AE117-AE114)/3,"")))</f>
        <v>167.2</v>
      </c>
      <c r="AF115" s="19">
        <f>IF(ISNUMBER(RU_Raw!AF115),RU_Raw!AF115,IF(ISNUMBER(RU_Raw!AF116),(AF114+RU_Raw!AF116)/2,IF(ISNUMBER(RU_Raw!AF117),AF114+(RU_Raw!AF117-AF114)/3,"")))</f>
        <v>164.6</v>
      </c>
      <c r="AG115" s="19">
        <f>IF(ISNUMBER(RU_Raw!AG115),RU_Raw!AG115,IF(ISNUMBER(RU_Raw!AG116),(AG114+RU_Raw!AG116)/2,IF(ISNUMBER(RU_Raw!AG117),AG114+(RU_Raw!AG117-AG114)/3,"")))</f>
        <v>167.7</v>
      </c>
      <c r="AH115" s="19">
        <f t="shared" si="3"/>
        <v>2015.8</v>
      </c>
    </row>
    <row r="116" spans="1:34">
      <c r="A116" s="6">
        <f>RU_Raw!A116</f>
        <v>2022</v>
      </c>
      <c r="B116" s="6">
        <f>RU_Raw!B116</f>
        <v>4</v>
      </c>
      <c r="C116" s="6" t="str">
        <f>RU_Raw!C116</f>
        <v>April</v>
      </c>
      <c r="D116" s="9">
        <f>RU_Raw!D116</f>
        <v>44652</v>
      </c>
      <c r="E116" s="6">
        <f>COUNTBLANK(RU_Raw!G116:AG116)</f>
        <v>0</v>
      </c>
      <c r="F116" s="6" t="str">
        <f t="shared" si="2"/>
        <v/>
      </c>
      <c r="G116" s="19">
        <f>IF(ISNUMBER(RU_Raw!G116),RU_Raw!G116,IF(ISNUMBER(RU_Raw!G117),(G115+RU_Raw!G117)/2,IF(ISNUMBER(RU_Raw!G118),G115+(RU_Raw!G118-G115)/3,"")))</f>
        <v>152.9</v>
      </c>
      <c r="H116" s="19">
        <f>IF(ISNUMBER(RU_Raw!H116),RU_Raw!H116,IF(ISNUMBER(RU_Raw!H117),(H115+RU_Raw!H117)/2,IF(ISNUMBER(RU_Raw!H118),H115+(RU_Raw!H118-H115)/3,"")))</f>
        <v>211.8</v>
      </c>
      <c r="I116" s="19">
        <f>IF(ISNUMBER(RU_Raw!I116),RU_Raw!I116,IF(ISNUMBER(RU_Raw!I117),(I115+RU_Raw!I117)/2,IF(ISNUMBER(RU_Raw!I118),I115+(RU_Raw!I118-I115)/3,"")))</f>
        <v>164.5</v>
      </c>
      <c r="J116" s="19">
        <f>IF(ISNUMBER(RU_Raw!J116),RU_Raw!J116,IF(ISNUMBER(RU_Raw!J117),(J115+RU_Raw!J117)/2,IF(ISNUMBER(RU_Raw!J118),J115+(RU_Raw!J118-J115)/3,"")))</f>
        <v>163.9</v>
      </c>
      <c r="K116" s="19">
        <f>IF(ISNUMBER(RU_Raw!K116),RU_Raw!K116,IF(ISNUMBER(RU_Raw!K117),(K115+RU_Raw!K117)/2,IF(ISNUMBER(RU_Raw!K118),K115+(RU_Raw!K118-K115)/3,"")))</f>
        <v>199.5</v>
      </c>
      <c r="L116" s="19">
        <f>IF(ISNUMBER(RU_Raw!L116),RU_Raw!L116,IF(ISNUMBER(RU_Raw!L117),(L115+RU_Raw!L117)/2,IF(ISNUMBER(RU_Raw!L118),L115+(RU_Raw!L118-L115)/3,"")))</f>
        <v>172.6</v>
      </c>
      <c r="M116" s="19">
        <f>IF(ISNUMBER(RU_Raw!M116),RU_Raw!M116,IF(ISNUMBER(RU_Raw!M117),(M115+RU_Raw!M117)/2,IF(ISNUMBER(RU_Raw!M118),M115+(RU_Raw!M118-M115)/3,"")))</f>
        <v>166.2</v>
      </c>
      <c r="N116" s="19">
        <f>IF(ISNUMBER(RU_Raw!N116),RU_Raw!N116,IF(ISNUMBER(RU_Raw!N117),(N115+RU_Raw!N117)/2,IF(ISNUMBER(RU_Raw!N118),N115+(RU_Raw!N118-N115)/3,"")))</f>
        <v>164.7</v>
      </c>
      <c r="O116" s="19">
        <f>IF(ISNUMBER(RU_Raw!O116),RU_Raw!O116,IF(ISNUMBER(RU_Raw!O117),(O115+RU_Raw!O117)/2,IF(ISNUMBER(RU_Raw!O118),O115+(RU_Raw!O118-O115)/3,"")))</f>
        <v>119</v>
      </c>
      <c r="P116" s="19">
        <f>IF(ISNUMBER(RU_Raw!P116),RU_Raw!P116,IF(ISNUMBER(RU_Raw!P117),(P115+RU_Raw!P117)/2,IF(ISNUMBER(RU_Raw!P118),P115+(RU_Raw!P118-P115)/3,"")))</f>
        <v>181.3</v>
      </c>
      <c r="Q116" s="19">
        <f>IF(ISNUMBER(RU_Raw!Q116),RU_Raw!Q116,IF(ISNUMBER(RU_Raw!Q117),(Q115+RU_Raw!Q117)/2,IF(ISNUMBER(RU_Raw!Q118),Q115+(RU_Raw!Q118-Q115)/3,"")))</f>
        <v>166.2</v>
      </c>
      <c r="R116" s="19">
        <f>IF(ISNUMBER(RU_Raw!R116),RU_Raw!R116,IF(ISNUMBER(RU_Raw!R117),(R115+RU_Raw!R117)/2,IF(ISNUMBER(RU_Raw!R118),R115+(RU_Raw!R118-R115)/3,"")))</f>
        <v>180.9</v>
      </c>
      <c r="S116" s="19">
        <f>IF(ISNUMBER(RU_Raw!S116),RU_Raw!S116,IF(ISNUMBER(RU_Raw!S117),(S115+RU_Raw!S117)/2,IF(ISNUMBER(RU_Raw!S118),S115+(RU_Raw!S118-S115)/3,"")))</f>
        <v>170.8</v>
      </c>
      <c r="T116" s="19">
        <f>IF(ISNUMBER(RU_Raw!T116),RU_Raw!T116,IF(ISNUMBER(RU_Raw!T117),(T115+RU_Raw!T117)/2,IF(ISNUMBER(RU_Raw!T118),T115+(RU_Raw!T118-T115)/3,"")))</f>
        <v>193.9</v>
      </c>
      <c r="U116" s="19">
        <f>IF(ISNUMBER(RU_Raw!U116),RU_Raw!U116,IF(ISNUMBER(RU_Raw!U117),(U115+RU_Raw!U117)/2,IF(ISNUMBER(RU_Raw!U118),U115+(RU_Raw!U118-U115)/3,"")))</f>
        <v>173.9</v>
      </c>
      <c r="V116" s="19">
        <f>IF(ISNUMBER(RU_Raw!V116),RU_Raw!V116,IF(ISNUMBER(RU_Raw!V117),(V115+RU_Raw!V117)/2,IF(ISNUMBER(RU_Raw!V118),V115+(RU_Raw!V118-V115)/3,"")))</f>
        <v>166.5</v>
      </c>
      <c r="W116" s="19">
        <f>IF(ISNUMBER(RU_Raw!W116),RU_Raw!W116,IF(ISNUMBER(RU_Raw!W117),(W115+RU_Raw!W117)/2,IF(ISNUMBER(RU_Raw!W118),W115+(RU_Raw!W118-W115)/3,"")))</f>
        <v>172.8</v>
      </c>
      <c r="X116" s="19">
        <f>IF(ISNUMBER(RU_Raw!X116),RU_Raw!X116,IF(ISNUMBER(RU_Raw!X117),(X115+RU_Raw!X117)/2,IF(ISNUMBER(RU_Raw!X118),X115+(RU_Raw!X118-X115)/3,"")))</f>
        <v>167</v>
      </c>
      <c r="Y116" s="19">
        <f>IF(ISNUMBER(RU_Raw!Y116),RU_Raw!Y116,IF(ISNUMBER(RU_Raw!Y117),(Y115+RU_Raw!Y117)/2,IF(ISNUMBER(RU_Raw!Y118),Y115+(RU_Raw!Y118-Y115)/3,"")))</f>
        <v>172.2</v>
      </c>
      <c r="Z116" s="19">
        <f>IF(ISNUMBER(RU_Raw!Z116),RU_Raw!Z116,IF(ISNUMBER(RU_Raw!Z117),(Z115+RU_Raw!Z117)/2,IF(ISNUMBER(RU_Raw!Z118),Z115+(RU_Raw!Z118-Z115)/3,"")))</f>
        <v>164</v>
      </c>
      <c r="AA116" s="19">
        <f>IF(ISNUMBER(RU_Raw!AA116),RU_Raw!AA116,IF(ISNUMBER(RU_Raw!AA117),(AA115+RU_Raw!AA117)/2,IF(ISNUMBER(RU_Raw!AA118),AA115+(RU_Raw!AA118-AA115)/3,"")))</f>
        <v>174</v>
      </c>
      <c r="AB116" s="19">
        <f>IF(ISNUMBER(RU_Raw!AB116),RU_Raw!AB116,IF(ISNUMBER(RU_Raw!AB117),(AB115+RU_Raw!AB117)/2,IF(ISNUMBER(RU_Raw!AB118),AB115+(RU_Raw!AB118-AB115)/3,"")))</f>
        <v>162.6</v>
      </c>
      <c r="AC116" s="19">
        <f>IF(ISNUMBER(RU_Raw!AC116),RU_Raw!AC116,IF(ISNUMBER(RU_Raw!AC117),(AC115+RU_Raw!AC117)/2,IF(ISNUMBER(RU_Raw!AC118),AC115+(RU_Raw!AC118-AC115)/3,"")))</f>
        <v>164.4</v>
      </c>
      <c r="AD116" s="19">
        <f>IF(ISNUMBER(RU_Raw!AD116),RU_Raw!AD116,IF(ISNUMBER(RU_Raw!AD117),(AD115+RU_Raw!AD117)/2,IF(ISNUMBER(RU_Raw!AD118),AD115+(RU_Raw!AD118-AD115)/3,"")))</f>
        <v>166.9</v>
      </c>
      <c r="AE116" s="19">
        <f>IF(ISNUMBER(RU_Raw!AE116),RU_Raw!AE116,IF(ISNUMBER(RU_Raw!AE117),(AE115+RU_Raw!AE117)/2,IF(ISNUMBER(RU_Raw!AE118),AE115+(RU_Raw!AE118-AE115)/3,"")))</f>
        <v>168.8</v>
      </c>
      <c r="AF116" s="19">
        <f>IF(ISNUMBER(RU_Raw!AF116),RU_Raw!AF116,IF(ISNUMBER(RU_Raw!AF117),(AF115+RU_Raw!AF117)/2,IF(ISNUMBER(RU_Raw!AF118),AF115+(RU_Raw!AF118-AF115)/3,"")))</f>
        <v>166.8</v>
      </c>
      <c r="AG116" s="19">
        <f>IF(ISNUMBER(RU_Raw!AG116),RU_Raw!AG116,IF(ISNUMBER(RU_Raw!AG117),(AG115+RU_Raw!AG117)/2,IF(ISNUMBER(RU_Raw!AG118),AG115+(RU_Raw!AG118-AG115)/3,"")))</f>
        <v>170.1</v>
      </c>
      <c r="AH116" s="19">
        <f t="shared" si="3"/>
        <v>2043.5</v>
      </c>
    </row>
    <row r="117" spans="1:34">
      <c r="A117" s="6">
        <f>RU_Raw!A117</f>
        <v>2022</v>
      </c>
      <c r="B117" s="6">
        <f>RU_Raw!B117</f>
        <v>5</v>
      </c>
      <c r="C117" s="6" t="str">
        <f>RU_Raw!C117</f>
        <v>May</v>
      </c>
      <c r="D117" s="9">
        <f>RU_Raw!D117</f>
        <v>44682</v>
      </c>
      <c r="E117" s="6">
        <f>COUNTBLANK(RU_Raw!G117:AG117)</f>
        <v>0</v>
      </c>
      <c r="F117" s="6" t="str">
        <f t="shared" si="2"/>
        <v/>
      </c>
      <c r="G117" s="19">
        <f>IF(ISNUMBER(RU_Raw!G117),RU_Raw!G117,IF(ISNUMBER(RU_Raw!G118),(G116+RU_Raw!G118)/2,IF(ISNUMBER(RU_Raw!G119),G116+(RU_Raw!G119-G116)/3,"")))</f>
        <v>154.1</v>
      </c>
      <c r="H117" s="19">
        <f>IF(ISNUMBER(RU_Raw!H117),RU_Raw!H117,IF(ISNUMBER(RU_Raw!H118),(H116+RU_Raw!H118)/2,IF(ISNUMBER(RU_Raw!H119),H116+(RU_Raw!H119-H116)/3,"")))</f>
        <v>217</v>
      </c>
      <c r="I117" s="19">
        <f>IF(ISNUMBER(RU_Raw!I117),RU_Raw!I117,IF(ISNUMBER(RU_Raw!I118),(I116+RU_Raw!I118)/2,IF(ISNUMBER(RU_Raw!I119),I116+(RU_Raw!I119-I116)/3,"")))</f>
        <v>162.4</v>
      </c>
      <c r="J117" s="19">
        <f>IF(ISNUMBER(RU_Raw!J117),RU_Raw!J117,IF(ISNUMBER(RU_Raw!J118),(J116+RU_Raw!J118)/2,IF(ISNUMBER(RU_Raw!J119),J116+(RU_Raw!J119-J116)/3,"")))</f>
        <v>164.9</v>
      </c>
      <c r="K117" s="19">
        <f>IF(ISNUMBER(RU_Raw!K117),RU_Raw!K117,IF(ISNUMBER(RU_Raw!K118),(K116+RU_Raw!K118)/2,IF(ISNUMBER(RU_Raw!K119),K116+(RU_Raw!K119-K116)/3,"")))</f>
        <v>202.4</v>
      </c>
      <c r="L117" s="19">
        <f>IF(ISNUMBER(RU_Raw!L117),RU_Raw!L117,IF(ISNUMBER(RU_Raw!L118),(L116+RU_Raw!L118)/2,IF(ISNUMBER(RU_Raw!L119),L116+(RU_Raw!L119-L116)/3,"")))</f>
        <v>171</v>
      </c>
      <c r="M117" s="19">
        <f>IF(ISNUMBER(RU_Raw!M117),RU_Raw!M117,IF(ISNUMBER(RU_Raw!M118),(M116+RU_Raw!M118)/2,IF(ISNUMBER(RU_Raw!M119),M116+(RU_Raw!M119-M116)/3,"")))</f>
        <v>174.9</v>
      </c>
      <c r="N117" s="19">
        <f>IF(ISNUMBER(RU_Raw!N117),RU_Raw!N117,IF(ISNUMBER(RU_Raw!N118),(N116+RU_Raw!N118)/2,IF(ISNUMBER(RU_Raw!N119),N116+(RU_Raw!N119-N116)/3,"")))</f>
        <v>164.7</v>
      </c>
      <c r="O117" s="19">
        <f>IF(ISNUMBER(RU_Raw!O117),RU_Raw!O117,IF(ISNUMBER(RU_Raw!O118),(O116+RU_Raw!O118)/2,IF(ISNUMBER(RU_Raw!O119),O116+(RU_Raw!O119-O116)/3,"")))</f>
        <v>119.7</v>
      </c>
      <c r="P117" s="19">
        <f>IF(ISNUMBER(RU_Raw!P117),RU_Raw!P117,IF(ISNUMBER(RU_Raw!P118),(P116+RU_Raw!P118)/2,IF(ISNUMBER(RU_Raw!P119),P116+(RU_Raw!P119-P116)/3,"")))</f>
        <v>184.9</v>
      </c>
      <c r="Q117" s="19">
        <f>IF(ISNUMBER(RU_Raw!Q117),RU_Raw!Q117,IF(ISNUMBER(RU_Raw!Q118),(Q116+RU_Raw!Q118)/2,IF(ISNUMBER(RU_Raw!Q119),Q116+(RU_Raw!Q119-Q116)/3,"")))</f>
        <v>167.1</v>
      </c>
      <c r="R117" s="19">
        <f>IF(ISNUMBER(RU_Raw!R117),RU_Raw!R117,IF(ISNUMBER(RU_Raw!R118),(R116+RU_Raw!R118)/2,IF(ISNUMBER(RU_Raw!R119),R116+(RU_Raw!R119-R116)/3,"")))</f>
        <v>182.5</v>
      </c>
      <c r="S117" s="19">
        <f>IF(ISNUMBER(RU_Raw!S117),RU_Raw!S117,IF(ISNUMBER(RU_Raw!S118),(S116+RU_Raw!S118)/2,IF(ISNUMBER(RU_Raw!S119),S116+(RU_Raw!S119-S116)/3,"")))</f>
        <v>173.3</v>
      </c>
      <c r="T117" s="19">
        <f>IF(ISNUMBER(RU_Raw!T117),RU_Raw!T117,IF(ISNUMBER(RU_Raw!T118),(T116+RU_Raw!T118)/2,IF(ISNUMBER(RU_Raw!T119),T116+(RU_Raw!T119-T116)/3,"")))</f>
        <v>194.1</v>
      </c>
      <c r="U117" s="19">
        <f>IF(ISNUMBER(RU_Raw!U117),RU_Raw!U117,IF(ISNUMBER(RU_Raw!U118),(U116+RU_Raw!U118)/2,IF(ISNUMBER(RU_Raw!U119),U116+(RU_Raw!U119-U116)/3,"")))</f>
        <v>175.6</v>
      </c>
      <c r="V117" s="19">
        <f>IF(ISNUMBER(RU_Raw!V117),RU_Raw!V117,IF(ISNUMBER(RU_Raw!V118),(V116+RU_Raw!V118)/2,IF(ISNUMBER(RU_Raw!V119),V116+(RU_Raw!V119-V116)/3,"")))</f>
        <v>168.4</v>
      </c>
      <c r="W117" s="19">
        <f>IF(ISNUMBER(RU_Raw!W117),RU_Raw!W117,IF(ISNUMBER(RU_Raw!W118),(W116+RU_Raw!W118)/2,IF(ISNUMBER(RU_Raw!W119),W116+(RU_Raw!W119-W116)/3,"")))</f>
        <v>174.6</v>
      </c>
      <c r="X117" s="19">
        <f>IF(ISNUMBER(RU_Raw!X117),RU_Raw!X117,IF(ISNUMBER(RU_Raw!X118),(X116+RU_Raw!X118)/2,IF(ISNUMBER(RU_Raw!X119),X116+(RU_Raw!X119-X116)/3,"")))</f>
        <v>167.5</v>
      </c>
      <c r="Y117" s="19">
        <f>IF(ISNUMBER(RU_Raw!Y117),RU_Raw!Y117,IF(ISNUMBER(RU_Raw!Y118),(Y116+RU_Raw!Y118)/2,IF(ISNUMBER(RU_Raw!Y119),Y116+(RU_Raw!Y119-Y116)/3,"")))</f>
        <v>174.6</v>
      </c>
      <c r="Z117" s="19">
        <f>IF(ISNUMBER(RU_Raw!Z117),RU_Raw!Z117,IF(ISNUMBER(RU_Raw!Z118),(Z116+RU_Raw!Z118)/2,IF(ISNUMBER(RU_Raw!Z119),Z116+(RU_Raw!Z119-Z116)/3,"")))</f>
        <v>165.2</v>
      </c>
      <c r="AA117" s="19">
        <f>IF(ISNUMBER(RU_Raw!AA117),RU_Raw!AA117,IF(ISNUMBER(RU_Raw!AA118),(AA116+RU_Raw!AA118)/2,IF(ISNUMBER(RU_Raw!AA119),AA116+(RU_Raw!AA119-AA116)/3,"")))</f>
        <v>174.8</v>
      </c>
      <c r="AB117" s="19">
        <f>IF(ISNUMBER(RU_Raw!AB117),RU_Raw!AB117,IF(ISNUMBER(RU_Raw!AB118),(AB116+RU_Raw!AB118)/2,IF(ISNUMBER(RU_Raw!AB119),AB116+(RU_Raw!AB119-AB116)/3,"")))</f>
        <v>163</v>
      </c>
      <c r="AC117" s="19">
        <f>IF(ISNUMBER(RU_Raw!AC117),RU_Raw!AC117,IF(ISNUMBER(RU_Raw!AC118),(AC116+RU_Raw!AC118)/2,IF(ISNUMBER(RU_Raw!AC119),AC116+(RU_Raw!AC119-AC116)/3,"")))</f>
        <v>165.1</v>
      </c>
      <c r="AD117" s="19">
        <f>IF(ISNUMBER(RU_Raw!AD117),RU_Raw!AD117,IF(ISNUMBER(RU_Raw!AD118),(AD116+RU_Raw!AD118)/2,IF(ISNUMBER(RU_Raw!AD119),AD116+(RU_Raw!AD119-AD116)/3,"")))</f>
        <v>167.9</v>
      </c>
      <c r="AE117" s="19">
        <f>IF(ISNUMBER(RU_Raw!AE117),RU_Raw!AE117,IF(ISNUMBER(RU_Raw!AE118),(AE116+RU_Raw!AE118)/2,IF(ISNUMBER(RU_Raw!AE119),AE116+(RU_Raw!AE119-AE116)/3,"")))</f>
        <v>168.4</v>
      </c>
      <c r="AF117" s="19">
        <f>IF(ISNUMBER(RU_Raw!AF117),RU_Raw!AF117,IF(ISNUMBER(RU_Raw!AF118),(AF116+RU_Raw!AF118)/2,IF(ISNUMBER(RU_Raw!AF119),AF116+(RU_Raw!AF119-AF116)/3,"")))</f>
        <v>167.5</v>
      </c>
      <c r="AG117" s="19">
        <f>IF(ISNUMBER(RU_Raw!AG117),RU_Raw!AG117,IF(ISNUMBER(RU_Raw!AG118),(AG116+RU_Raw!AG118)/2,IF(ISNUMBER(RU_Raw!AG119),AG116+(RU_Raw!AG119-AG116)/3,"")))</f>
        <v>171.7</v>
      </c>
      <c r="AH117" s="19">
        <f t="shared" si="3"/>
        <v>2065.6</v>
      </c>
    </row>
    <row r="118" spans="1:34">
      <c r="A118" s="6">
        <f>RU_Raw!A118</f>
        <v>2022</v>
      </c>
      <c r="B118" s="6">
        <f>RU_Raw!B118</f>
        <v>6</v>
      </c>
      <c r="C118" s="6" t="str">
        <f>RU_Raw!C118</f>
        <v>June</v>
      </c>
      <c r="D118" s="9">
        <f>RU_Raw!D118</f>
        <v>44713</v>
      </c>
      <c r="E118" s="6">
        <f>COUNTBLANK(RU_Raw!G118:AG118)</f>
        <v>0</v>
      </c>
      <c r="F118" s="6" t="str">
        <f t="shared" si="2"/>
        <v/>
      </c>
      <c r="G118" s="19">
        <f>IF(ISNUMBER(RU_Raw!G118),RU_Raw!G118,IF(ISNUMBER(RU_Raw!G119),(G117+RU_Raw!G119)/2,IF(ISNUMBER(RU_Raw!G120),G117+(RU_Raw!G120-G117)/3,"")))</f>
        <v>155</v>
      </c>
      <c r="H118" s="19">
        <f>IF(ISNUMBER(RU_Raw!H118),RU_Raw!H118,IF(ISNUMBER(RU_Raw!H119),(H117+RU_Raw!H119)/2,IF(ISNUMBER(RU_Raw!H120),H117+(RU_Raw!H120-H117)/3,"")))</f>
        <v>219.4</v>
      </c>
      <c r="I118" s="19">
        <f>IF(ISNUMBER(RU_Raw!I118),RU_Raw!I118,IF(ISNUMBER(RU_Raw!I119),(I117+RU_Raw!I119)/2,IF(ISNUMBER(RU_Raw!I120),I117+(RU_Raw!I120-I117)/3,"")))</f>
        <v>170.8</v>
      </c>
      <c r="J118" s="19">
        <f>IF(ISNUMBER(RU_Raw!J118),RU_Raw!J118,IF(ISNUMBER(RU_Raw!J119),(J117+RU_Raw!J119)/2,IF(ISNUMBER(RU_Raw!J120),J117+(RU_Raw!J120-J117)/3,"")))</f>
        <v>165.8</v>
      </c>
      <c r="K118" s="19">
        <f>IF(ISNUMBER(RU_Raw!K118),RU_Raw!K118,IF(ISNUMBER(RU_Raw!K119),(K117+RU_Raw!K119)/2,IF(ISNUMBER(RU_Raw!K120),K117+(RU_Raw!K120-K117)/3,"")))</f>
        <v>200.9</v>
      </c>
      <c r="L118" s="19">
        <f>IF(ISNUMBER(RU_Raw!L118),RU_Raw!L118,IF(ISNUMBER(RU_Raw!L119),(L117+RU_Raw!L119)/2,IF(ISNUMBER(RU_Raw!L120),L117+(RU_Raw!L120-L117)/3,"")))</f>
        <v>169.7</v>
      </c>
      <c r="M118" s="19">
        <f>IF(ISNUMBER(RU_Raw!M118),RU_Raw!M118,IF(ISNUMBER(RU_Raw!M119),(M117+RU_Raw!M119)/2,IF(ISNUMBER(RU_Raw!M120),M117+(RU_Raw!M120-M117)/3,"")))</f>
        <v>182.3</v>
      </c>
      <c r="N118" s="19">
        <f>IF(ISNUMBER(RU_Raw!N118),RU_Raw!N118,IF(ISNUMBER(RU_Raw!N119),(N117+RU_Raw!N119)/2,IF(ISNUMBER(RU_Raw!N120),N117+(RU_Raw!N120-N117)/3,"")))</f>
        <v>164.3</v>
      </c>
      <c r="O118" s="19">
        <f>IF(ISNUMBER(RU_Raw!O118),RU_Raw!O118,IF(ISNUMBER(RU_Raw!O119),(O117+RU_Raw!O119)/2,IF(ISNUMBER(RU_Raw!O120),O117+(RU_Raw!O120-O117)/3,"")))</f>
        <v>119.9</v>
      </c>
      <c r="P118" s="19">
        <f>IF(ISNUMBER(RU_Raw!P118),RU_Raw!P118,IF(ISNUMBER(RU_Raw!P119),(P117+RU_Raw!P119)/2,IF(ISNUMBER(RU_Raw!P120),P117+(RU_Raw!P120-P117)/3,"")))</f>
        <v>187.1</v>
      </c>
      <c r="Q118" s="19">
        <f>IF(ISNUMBER(RU_Raw!Q118),RU_Raw!Q118,IF(ISNUMBER(RU_Raw!Q119),(Q117+RU_Raw!Q119)/2,IF(ISNUMBER(RU_Raw!Q120),Q117+(RU_Raw!Q120-Q117)/3,"")))</f>
        <v>167.9</v>
      </c>
      <c r="R118" s="19">
        <f>IF(ISNUMBER(RU_Raw!R118),RU_Raw!R118,IF(ISNUMBER(RU_Raw!R119),(R117+RU_Raw!R119)/2,IF(ISNUMBER(RU_Raw!R120),R117+(RU_Raw!R120-R117)/3,"")))</f>
        <v>183.9</v>
      </c>
      <c r="S118" s="19">
        <f>IF(ISNUMBER(RU_Raw!S118),RU_Raw!S118,IF(ISNUMBER(RU_Raw!S119),(S117+RU_Raw!S119)/2,IF(ISNUMBER(RU_Raw!S120),S117+(RU_Raw!S120-S117)/3,"")))</f>
        <v>174.9</v>
      </c>
      <c r="T118" s="19">
        <f>IF(ISNUMBER(RU_Raw!T118),RU_Raw!T118,IF(ISNUMBER(RU_Raw!T119),(T117+RU_Raw!T119)/2,IF(ISNUMBER(RU_Raw!T120),T117+(RU_Raw!T120-T117)/3,"")))</f>
        <v>194.3</v>
      </c>
      <c r="U118" s="19">
        <f>IF(ISNUMBER(RU_Raw!U118),RU_Raw!U118,IF(ISNUMBER(RU_Raw!U119),(U117+RU_Raw!U119)/2,IF(ISNUMBER(RU_Raw!U120),U117+(RU_Raw!U120-U117)/3,"")))</f>
        <v>177.1</v>
      </c>
      <c r="V118" s="19">
        <f>IF(ISNUMBER(RU_Raw!V118),RU_Raw!V118,IF(ISNUMBER(RU_Raw!V119),(V117+RU_Raw!V119)/2,IF(ISNUMBER(RU_Raw!V120),V117+(RU_Raw!V120-V117)/3,"")))</f>
        <v>169.9</v>
      </c>
      <c r="W118" s="19">
        <f>IF(ISNUMBER(RU_Raw!W118),RU_Raw!W118,IF(ISNUMBER(RU_Raw!W119),(W117+RU_Raw!W119)/2,IF(ISNUMBER(RU_Raw!W120),W117+(RU_Raw!W120-W117)/3,"")))</f>
        <v>176</v>
      </c>
      <c r="X118" s="19">
        <f>IF(ISNUMBER(RU_Raw!X118),RU_Raw!X118,IF(ISNUMBER(RU_Raw!X119),(X117+RU_Raw!X119)/2,IF(ISNUMBER(RU_Raw!X120),X117+(RU_Raw!X120-X117)/3,"")))</f>
        <v>166.8</v>
      </c>
      <c r="Y118" s="19">
        <f>IF(ISNUMBER(RU_Raw!Y118),RU_Raw!Y118,IF(ISNUMBER(RU_Raw!Y119),(Y117+RU_Raw!Y119)/2,IF(ISNUMBER(RU_Raw!Y120),Y117+(RU_Raw!Y120-Y117)/3,"")))</f>
        <v>176</v>
      </c>
      <c r="Z118" s="19">
        <f>IF(ISNUMBER(RU_Raw!Z118),RU_Raw!Z118,IF(ISNUMBER(RU_Raw!Z119),(Z117+RU_Raw!Z119)/2,IF(ISNUMBER(RU_Raw!Z120),Z117+(RU_Raw!Z120-Z117)/3,"")))</f>
        <v>166.4</v>
      </c>
      <c r="AA118" s="19">
        <f>IF(ISNUMBER(RU_Raw!AA118),RU_Raw!AA118,IF(ISNUMBER(RU_Raw!AA119),(AA117+RU_Raw!AA119)/2,IF(ISNUMBER(RU_Raw!AA120),AA117+(RU_Raw!AA120-AA117)/3,"")))</f>
        <v>175.4</v>
      </c>
      <c r="AB118" s="19">
        <f>IF(ISNUMBER(RU_Raw!AB118),RU_Raw!AB118,IF(ISNUMBER(RU_Raw!AB119),(AB117+RU_Raw!AB119)/2,IF(ISNUMBER(RU_Raw!AB120),AB117+(RU_Raw!AB120-AB117)/3,"")))</f>
        <v>161.1</v>
      </c>
      <c r="AC118" s="19">
        <f>IF(ISNUMBER(RU_Raw!AC118),RU_Raw!AC118,IF(ISNUMBER(RU_Raw!AC119),(AC117+RU_Raw!AC119)/2,IF(ISNUMBER(RU_Raw!AC120),AC117+(RU_Raw!AC120-AC117)/3,"")))</f>
        <v>165.8</v>
      </c>
      <c r="AD118" s="19">
        <f>IF(ISNUMBER(RU_Raw!AD118),RU_Raw!AD118,IF(ISNUMBER(RU_Raw!AD119),(AD117+RU_Raw!AD119)/2,IF(ISNUMBER(RU_Raw!AD120),AD117+(RU_Raw!AD120-AD117)/3,"")))</f>
        <v>169</v>
      </c>
      <c r="AE118" s="19">
        <f>IF(ISNUMBER(RU_Raw!AE118),RU_Raw!AE118,IF(ISNUMBER(RU_Raw!AE119),(AE117+RU_Raw!AE119)/2,IF(ISNUMBER(RU_Raw!AE120),AE117+(RU_Raw!AE120-AE117)/3,"")))</f>
        <v>169.4</v>
      </c>
      <c r="AF118" s="19">
        <f>IF(ISNUMBER(RU_Raw!AF118),RU_Raw!AF118,IF(ISNUMBER(RU_Raw!AF119),(AF117+RU_Raw!AF119)/2,IF(ISNUMBER(RU_Raw!AF120),AF117+(RU_Raw!AF120-AF117)/3,"")))</f>
        <v>167.5</v>
      </c>
      <c r="AG118" s="19">
        <f>IF(ISNUMBER(RU_Raw!AG118),RU_Raw!AG118,IF(ISNUMBER(RU_Raw!AG119),(AG117+RU_Raw!AG119)/2,IF(ISNUMBER(RU_Raw!AG120),AG117+(RU_Raw!AG120-AG117)/3,"")))</f>
        <v>172.6</v>
      </c>
      <c r="AH118" s="19">
        <f t="shared" si="3"/>
        <v>2087</v>
      </c>
    </row>
    <row r="119" spans="1:34">
      <c r="A119" s="6">
        <f>RU_Raw!A119</f>
        <v>2022</v>
      </c>
      <c r="B119" s="6">
        <f>RU_Raw!B119</f>
        <v>7</v>
      </c>
      <c r="C119" s="6" t="str">
        <f>RU_Raw!C119</f>
        <v>July</v>
      </c>
      <c r="D119" s="9">
        <f>RU_Raw!D119</f>
        <v>44743</v>
      </c>
      <c r="E119" s="6">
        <f>COUNTBLANK(RU_Raw!G119:AG119)</f>
        <v>0</v>
      </c>
      <c r="F119" s="6" t="str">
        <f t="shared" si="2"/>
        <v/>
      </c>
      <c r="G119" s="19">
        <f>IF(ISNUMBER(RU_Raw!G119),RU_Raw!G119,IF(ISNUMBER(RU_Raw!G120),(G118+RU_Raw!G120)/2,IF(ISNUMBER(RU_Raw!G121),G118+(RU_Raw!G121-G118)/3,"")))</f>
        <v>156.5</v>
      </c>
      <c r="H119" s="19">
        <f>IF(ISNUMBER(RU_Raw!H119),RU_Raw!H119,IF(ISNUMBER(RU_Raw!H120),(H118+RU_Raw!H120)/2,IF(ISNUMBER(RU_Raw!H121),H118+(RU_Raw!H121-H118)/3,"")))</f>
        <v>213</v>
      </c>
      <c r="I119" s="19">
        <f>IF(ISNUMBER(RU_Raw!I119),RU_Raw!I119,IF(ISNUMBER(RU_Raw!I120),(I118+RU_Raw!I120)/2,IF(ISNUMBER(RU_Raw!I121),I118+(RU_Raw!I121-I118)/3,"")))</f>
        <v>175.2</v>
      </c>
      <c r="J119" s="19">
        <f>IF(ISNUMBER(RU_Raw!J119),RU_Raw!J119,IF(ISNUMBER(RU_Raw!J120),(J118+RU_Raw!J120)/2,IF(ISNUMBER(RU_Raw!J121),J118+(RU_Raw!J121-J118)/3,"")))</f>
        <v>166.6</v>
      </c>
      <c r="K119" s="19">
        <f>IF(ISNUMBER(RU_Raw!K119),RU_Raw!K119,IF(ISNUMBER(RU_Raw!K120),(K118+RU_Raw!K120)/2,IF(ISNUMBER(RU_Raw!K121),K118+(RU_Raw!K121-K118)/3,"")))</f>
        <v>195.8</v>
      </c>
      <c r="L119" s="19">
        <f>IF(ISNUMBER(RU_Raw!L119),RU_Raw!L119,IF(ISNUMBER(RU_Raw!L120),(L118+RU_Raw!L120)/2,IF(ISNUMBER(RU_Raw!L121),L118+(RU_Raw!L121-L118)/3,"")))</f>
        <v>174.2</v>
      </c>
      <c r="M119" s="19">
        <f>IF(ISNUMBER(RU_Raw!M119),RU_Raw!M119,IF(ISNUMBER(RU_Raw!M120),(M118+RU_Raw!M120)/2,IF(ISNUMBER(RU_Raw!M121),M118+(RU_Raw!M121-M118)/3,"")))</f>
        <v>182.1</v>
      </c>
      <c r="N119" s="19">
        <f>IF(ISNUMBER(RU_Raw!N119),RU_Raw!N119,IF(ISNUMBER(RU_Raw!N120),(N118+RU_Raw!N120)/2,IF(ISNUMBER(RU_Raw!N121),N118+(RU_Raw!N121-N118)/3,"")))</f>
        <v>164.3</v>
      </c>
      <c r="O119" s="19">
        <f>IF(ISNUMBER(RU_Raw!O119),RU_Raw!O119,IF(ISNUMBER(RU_Raw!O120),(O118+RU_Raw!O120)/2,IF(ISNUMBER(RU_Raw!O121),O118+(RU_Raw!O121-O118)/3,"")))</f>
        <v>120</v>
      </c>
      <c r="P119" s="19">
        <f>IF(ISNUMBER(RU_Raw!P119),RU_Raw!P119,IF(ISNUMBER(RU_Raw!P120),(P118+RU_Raw!P120)/2,IF(ISNUMBER(RU_Raw!P121),P118+(RU_Raw!P121-P118)/3,"")))</f>
        <v>190</v>
      </c>
      <c r="Q119" s="19">
        <f>IF(ISNUMBER(RU_Raw!Q119),RU_Raw!Q119,IF(ISNUMBER(RU_Raw!Q120),(Q118+RU_Raw!Q120)/2,IF(ISNUMBER(RU_Raw!Q121),Q118+(RU_Raw!Q121-Q118)/3,"")))</f>
        <v>168.4</v>
      </c>
      <c r="R119" s="19">
        <f>IF(ISNUMBER(RU_Raw!R119),RU_Raw!R119,IF(ISNUMBER(RU_Raw!R120),(R118+RU_Raw!R120)/2,IF(ISNUMBER(RU_Raw!R121),R118+(RU_Raw!R121-R118)/3,"")))</f>
        <v>185.2</v>
      </c>
      <c r="S119" s="19">
        <f>IF(ISNUMBER(RU_Raw!S119),RU_Raw!S119,IF(ISNUMBER(RU_Raw!S120),(S118+RU_Raw!S120)/2,IF(ISNUMBER(RU_Raw!S121),S118+(RU_Raw!S121-S118)/3,"")))</f>
        <v>175</v>
      </c>
      <c r="T119" s="19">
        <f>IF(ISNUMBER(RU_Raw!T119),RU_Raw!T119,IF(ISNUMBER(RU_Raw!T120),(T118+RU_Raw!T120)/2,IF(ISNUMBER(RU_Raw!T121),T118+(RU_Raw!T121-T118)/3,"")))</f>
        <v>194.6</v>
      </c>
      <c r="U119" s="19">
        <f>IF(ISNUMBER(RU_Raw!U119),RU_Raw!U119,IF(ISNUMBER(RU_Raw!U120),(U118+RU_Raw!U120)/2,IF(ISNUMBER(RU_Raw!U121),U118+(RU_Raw!U121-U118)/3,"")))</f>
        <v>178.3</v>
      </c>
      <c r="V119" s="19">
        <f>IF(ISNUMBER(RU_Raw!V119),RU_Raw!V119,IF(ISNUMBER(RU_Raw!V120),(V118+RU_Raw!V120)/2,IF(ISNUMBER(RU_Raw!V121),V118+(RU_Raw!V121-V118)/3,"")))</f>
        <v>171.3</v>
      </c>
      <c r="W119" s="19">
        <f>IF(ISNUMBER(RU_Raw!W119),RU_Raw!W119,IF(ISNUMBER(RU_Raw!W120),(W118+RU_Raw!W120)/2,IF(ISNUMBER(RU_Raw!W121),W118+(RU_Raw!W121-W118)/3,"")))</f>
        <v>177.3</v>
      </c>
      <c r="X119" s="19">
        <f>IF(ISNUMBER(RU_Raw!X119),RU_Raw!X119,IF(ISNUMBER(RU_Raw!X120),(X118+RU_Raw!X120)/2,IF(ISNUMBER(RU_Raw!X121),X118+(RU_Raw!X121-X118)/3,"")))</f>
        <v>167.8</v>
      </c>
      <c r="Y119" s="19">
        <f>IF(ISNUMBER(RU_Raw!Y119),RU_Raw!Y119,IF(ISNUMBER(RU_Raw!Y120),(Y118+RU_Raw!Y120)/2,IF(ISNUMBER(RU_Raw!Y121),Y118+(RU_Raw!Y121-Y118)/3,"")))</f>
        <v>179.6</v>
      </c>
      <c r="Z119" s="19">
        <f>IF(ISNUMBER(RU_Raw!Z119),RU_Raw!Z119,IF(ISNUMBER(RU_Raw!Z120),(Z118+RU_Raw!Z120)/2,IF(ISNUMBER(RU_Raw!Z121),Z118+(RU_Raw!Z121-Z118)/3,"")))</f>
        <v>167.4</v>
      </c>
      <c r="AA119" s="19">
        <f>IF(ISNUMBER(RU_Raw!AA119),RU_Raw!AA119,IF(ISNUMBER(RU_Raw!AA120),(AA118+RU_Raw!AA120)/2,IF(ISNUMBER(RU_Raw!AA121),AA118+(RU_Raw!AA121-AA118)/3,"")))</f>
        <v>176.1</v>
      </c>
      <c r="AB119" s="19">
        <f>IF(ISNUMBER(RU_Raw!AB119),RU_Raw!AB119,IF(ISNUMBER(RU_Raw!AB120),(AB118+RU_Raw!AB120)/2,IF(ISNUMBER(RU_Raw!AB121),AB118+(RU_Raw!AB121-AB118)/3,"")))</f>
        <v>161.6</v>
      </c>
      <c r="AC119" s="19">
        <f>IF(ISNUMBER(RU_Raw!AC119),RU_Raw!AC119,IF(ISNUMBER(RU_Raw!AC120),(AC118+RU_Raw!AC120)/2,IF(ISNUMBER(RU_Raw!AC121),AC118+(RU_Raw!AC121-AC118)/3,"")))</f>
        <v>166.3</v>
      </c>
      <c r="AD119" s="19">
        <f>IF(ISNUMBER(RU_Raw!AD119),RU_Raw!AD119,IF(ISNUMBER(RU_Raw!AD120),(AD118+RU_Raw!AD120)/2,IF(ISNUMBER(RU_Raw!AD121),AD118+(RU_Raw!AD121-AD118)/3,"")))</f>
        <v>171.4</v>
      </c>
      <c r="AE119" s="19">
        <f>IF(ISNUMBER(RU_Raw!AE119),RU_Raw!AE119,IF(ISNUMBER(RU_Raw!AE120),(AE118+RU_Raw!AE120)/2,IF(ISNUMBER(RU_Raw!AE121),AE118+(RU_Raw!AE121-AE118)/3,"")))</f>
        <v>169.7</v>
      </c>
      <c r="AF119" s="19">
        <f>IF(ISNUMBER(RU_Raw!AF119),RU_Raw!AF119,IF(ISNUMBER(RU_Raw!AF120),(AF118+RU_Raw!AF120)/2,IF(ISNUMBER(RU_Raw!AF121),AF118+(RU_Raw!AF121-AF118)/3,"")))</f>
        <v>168.4</v>
      </c>
      <c r="AG119" s="19">
        <f>IF(ISNUMBER(RU_Raw!AG119),RU_Raw!AG119,IF(ISNUMBER(RU_Raw!AG120),(AG118+RU_Raw!AG120)/2,IF(ISNUMBER(RU_Raw!AG121),AG118+(RU_Raw!AG121-AG118)/3,"")))</f>
        <v>173.4</v>
      </c>
      <c r="AH119" s="19">
        <f t="shared" si="3"/>
        <v>2091.3</v>
      </c>
    </row>
    <row r="120" spans="1:34">
      <c r="A120" s="6">
        <f>RU_Raw!A120</f>
        <v>2022</v>
      </c>
      <c r="B120" s="6">
        <f>RU_Raw!B120</f>
        <v>8</v>
      </c>
      <c r="C120" s="6" t="str">
        <f>RU_Raw!C120</f>
        <v>August</v>
      </c>
      <c r="D120" s="9">
        <f>RU_Raw!D120</f>
        <v>44774</v>
      </c>
      <c r="E120" s="6">
        <f>COUNTBLANK(RU_Raw!G120:AG120)</f>
        <v>0</v>
      </c>
      <c r="F120" s="6" t="str">
        <f t="shared" si="2"/>
        <v/>
      </c>
      <c r="G120" s="19">
        <f>IF(ISNUMBER(RU_Raw!G120),RU_Raw!G120,IF(ISNUMBER(RU_Raw!G121),(G119+RU_Raw!G121)/2,IF(ISNUMBER(RU_Raw!G122),G119+(RU_Raw!G122-G119)/3,"")))</f>
        <v>160.3</v>
      </c>
      <c r="H120" s="19">
        <f>IF(ISNUMBER(RU_Raw!H120),RU_Raw!H120,IF(ISNUMBER(RU_Raw!H121),(H119+RU_Raw!H121)/2,IF(ISNUMBER(RU_Raw!H122),H119+(RU_Raw!H122-H119)/3,"")))</f>
        <v>206.5</v>
      </c>
      <c r="I120" s="19">
        <f>IF(ISNUMBER(RU_Raw!I120),RU_Raw!I120,IF(ISNUMBER(RU_Raw!I121),(I119+RU_Raw!I121)/2,IF(ISNUMBER(RU_Raw!I122),I119+(RU_Raw!I122-I119)/3,"")))</f>
        <v>169.2</v>
      </c>
      <c r="J120" s="19">
        <f>IF(ISNUMBER(RU_Raw!J120),RU_Raw!J120,IF(ISNUMBER(RU_Raw!J121),(J119+RU_Raw!J121)/2,IF(ISNUMBER(RU_Raw!J122),J119+(RU_Raw!J122-J119)/3,"")))</f>
        <v>168.1</v>
      </c>
      <c r="K120" s="19">
        <f>IF(ISNUMBER(RU_Raw!K120),RU_Raw!K120,IF(ISNUMBER(RU_Raw!K121),(K119+RU_Raw!K121)/2,IF(ISNUMBER(RU_Raw!K122),K119+(RU_Raw!K122-K119)/3,"")))</f>
        <v>192.4</v>
      </c>
      <c r="L120" s="19">
        <f>IF(ISNUMBER(RU_Raw!L120),RU_Raw!L120,IF(ISNUMBER(RU_Raw!L121),(L119+RU_Raw!L121)/2,IF(ISNUMBER(RU_Raw!L122),L119+(RU_Raw!L122-L119)/3,"")))</f>
        <v>172.9</v>
      </c>
      <c r="M120" s="19">
        <f>IF(ISNUMBER(RU_Raw!M120),RU_Raw!M120,IF(ISNUMBER(RU_Raw!M121),(M119+RU_Raw!M121)/2,IF(ISNUMBER(RU_Raw!M122),M119+(RU_Raw!M122-M119)/3,"")))</f>
        <v>186.7</v>
      </c>
      <c r="N120" s="19">
        <f>IF(ISNUMBER(RU_Raw!N120),RU_Raw!N120,IF(ISNUMBER(RU_Raw!N121),(N119+RU_Raw!N121)/2,IF(ISNUMBER(RU_Raw!N122),N119+(RU_Raw!N122-N119)/3,"")))</f>
        <v>167.2</v>
      </c>
      <c r="O120" s="19">
        <f>IF(ISNUMBER(RU_Raw!O120),RU_Raw!O120,IF(ISNUMBER(RU_Raw!O121),(O119+RU_Raw!O121)/2,IF(ISNUMBER(RU_Raw!O122),O119+(RU_Raw!O122-O119)/3,"")))</f>
        <v>120.9</v>
      </c>
      <c r="P120" s="19">
        <f>IF(ISNUMBER(RU_Raw!P120),RU_Raw!P120,IF(ISNUMBER(RU_Raw!P121),(P119+RU_Raw!P121)/2,IF(ISNUMBER(RU_Raw!P122),P119+(RU_Raw!P122-P119)/3,"")))</f>
        <v>193.6</v>
      </c>
      <c r="Q120" s="19">
        <f>IF(ISNUMBER(RU_Raw!Q120),RU_Raw!Q120,IF(ISNUMBER(RU_Raw!Q121),(Q119+RU_Raw!Q121)/2,IF(ISNUMBER(RU_Raw!Q122),Q119+(RU_Raw!Q122-Q119)/3,"")))</f>
        <v>168.8</v>
      </c>
      <c r="R120" s="19">
        <f>IF(ISNUMBER(RU_Raw!R120),RU_Raw!R120,IF(ISNUMBER(RU_Raw!R121),(R119+RU_Raw!R121)/2,IF(ISNUMBER(RU_Raw!R122),R119+(RU_Raw!R122-R119)/3,"")))</f>
        <v>186.3</v>
      </c>
      <c r="S120" s="19">
        <f>IF(ISNUMBER(RU_Raw!S120),RU_Raw!S120,IF(ISNUMBER(RU_Raw!S121),(S119+RU_Raw!S121)/2,IF(ISNUMBER(RU_Raw!S122),S119+(RU_Raw!S122-S119)/3,"")))</f>
        <v>176.3</v>
      </c>
      <c r="T120" s="19">
        <f>IF(ISNUMBER(RU_Raw!T120),RU_Raw!T120,IF(ISNUMBER(RU_Raw!T121),(T119+RU_Raw!T121)/2,IF(ISNUMBER(RU_Raw!T122),T119+(RU_Raw!T122-T119)/3,"")))</f>
        <v>195</v>
      </c>
      <c r="U120" s="19">
        <f>IF(ISNUMBER(RU_Raw!U120),RU_Raw!U120,IF(ISNUMBER(RU_Raw!U121),(U119+RU_Raw!U121)/2,IF(ISNUMBER(RU_Raw!U122),U119+(RU_Raw!U122-U119)/3,"")))</f>
        <v>179.5</v>
      </c>
      <c r="V120" s="19">
        <f>IF(ISNUMBER(RU_Raw!V120),RU_Raw!V120,IF(ISNUMBER(RU_Raw!V121),(V119+RU_Raw!V121)/2,IF(ISNUMBER(RU_Raw!V122),V119+(RU_Raw!V122-V119)/3,"")))</f>
        <v>172.7</v>
      </c>
      <c r="W120" s="19">
        <f>IF(ISNUMBER(RU_Raw!W120),RU_Raw!W120,IF(ISNUMBER(RU_Raw!W121),(W119+RU_Raw!W121)/2,IF(ISNUMBER(RU_Raw!W122),W119+(RU_Raw!W122-W119)/3,"")))</f>
        <v>178.5</v>
      </c>
      <c r="X120" s="19">
        <f>IF(ISNUMBER(RU_Raw!X120),RU_Raw!X120,IF(ISNUMBER(RU_Raw!X121),(X119+RU_Raw!X121)/2,IF(ISNUMBER(RU_Raw!X122),X119+(RU_Raw!X122-X119)/3,"")))</f>
        <v>169</v>
      </c>
      <c r="Y120" s="19">
        <f>IF(ISNUMBER(RU_Raw!Y120),RU_Raw!Y120,IF(ISNUMBER(RU_Raw!Y121),(Y119+RU_Raw!Y121)/2,IF(ISNUMBER(RU_Raw!Y122),Y119+(RU_Raw!Y122-Y119)/3,"")))</f>
        <v>178.8</v>
      </c>
      <c r="Z120" s="19">
        <f>IF(ISNUMBER(RU_Raw!Z120),RU_Raw!Z120,IF(ISNUMBER(RU_Raw!Z121),(Z119+RU_Raw!Z121)/2,IF(ISNUMBER(RU_Raw!Z122),Z119+(RU_Raw!Z122-Z119)/3,"")))</f>
        <v>168.5</v>
      </c>
      <c r="AA120" s="19">
        <f>IF(ISNUMBER(RU_Raw!AA120),RU_Raw!AA120,IF(ISNUMBER(RU_Raw!AA121),(AA119+RU_Raw!AA121)/2,IF(ISNUMBER(RU_Raw!AA122),AA119+(RU_Raw!AA122-AA119)/3,"")))</f>
        <v>176.8</v>
      </c>
      <c r="AB120" s="19">
        <f>IF(ISNUMBER(RU_Raw!AB120),RU_Raw!AB120,IF(ISNUMBER(RU_Raw!AB121),(AB119+RU_Raw!AB121)/2,IF(ISNUMBER(RU_Raw!AB122),AB119+(RU_Raw!AB122-AB119)/3,"")))</f>
        <v>161.9</v>
      </c>
      <c r="AC120" s="19">
        <f>IF(ISNUMBER(RU_Raw!AC120),RU_Raw!AC120,IF(ISNUMBER(RU_Raw!AC121),(AC119+RU_Raw!AC121)/2,IF(ISNUMBER(RU_Raw!AC122),AC119+(RU_Raw!AC122-AC119)/3,"")))</f>
        <v>166.9</v>
      </c>
      <c r="AD120" s="19">
        <f>IF(ISNUMBER(RU_Raw!AD120),RU_Raw!AD120,IF(ISNUMBER(RU_Raw!AD121),(AD119+RU_Raw!AD121)/2,IF(ISNUMBER(RU_Raw!AD122),AD119+(RU_Raw!AD122-AD119)/3,"")))</f>
        <v>172.3</v>
      </c>
      <c r="AE120" s="19">
        <f>IF(ISNUMBER(RU_Raw!AE120),RU_Raw!AE120,IF(ISNUMBER(RU_Raw!AE121),(AE119+RU_Raw!AE121)/2,IF(ISNUMBER(RU_Raw!AE122),AE119+(RU_Raw!AE122-AE119)/3,"")))</f>
        <v>171.2</v>
      </c>
      <c r="AF120" s="19">
        <f>IF(ISNUMBER(RU_Raw!AF120),RU_Raw!AF120,IF(ISNUMBER(RU_Raw!AF121),(AF119+RU_Raw!AF121)/2,IF(ISNUMBER(RU_Raw!AF122),AF119+(RU_Raw!AF122-AF119)/3,"")))</f>
        <v>169.1</v>
      </c>
      <c r="AG120" s="19">
        <f>IF(ISNUMBER(RU_Raw!AG120),RU_Raw!AG120,IF(ISNUMBER(RU_Raw!AG121),(AG119+RU_Raw!AG121)/2,IF(ISNUMBER(RU_Raw!AG122),AG119+(RU_Raw!AG122-AG119)/3,"")))</f>
        <v>174.3</v>
      </c>
      <c r="AH120" s="19">
        <f t="shared" si="3"/>
        <v>2092.9</v>
      </c>
    </row>
    <row r="121" spans="1:34">
      <c r="A121" s="6">
        <f>RU_Raw!A121</f>
        <v>2022</v>
      </c>
      <c r="B121" s="6">
        <f>RU_Raw!B121</f>
        <v>9</v>
      </c>
      <c r="C121" s="6" t="str">
        <f>RU_Raw!C121</f>
        <v>September</v>
      </c>
      <c r="D121" s="9">
        <f>RU_Raw!D121</f>
        <v>44805</v>
      </c>
      <c r="E121" s="6">
        <f>COUNTBLANK(RU_Raw!G121:AG121)</f>
        <v>0</v>
      </c>
      <c r="F121" s="6" t="str">
        <f t="shared" si="2"/>
        <v/>
      </c>
      <c r="G121" s="19">
        <f>IF(ISNUMBER(RU_Raw!G121),RU_Raw!G121,IF(ISNUMBER(RU_Raw!G122),(G120+RU_Raw!G122)/2,IF(ISNUMBER(RU_Raw!G123),G120+(RU_Raw!G123-G120)/3,"")))</f>
        <v>163.5</v>
      </c>
      <c r="H121" s="19">
        <f>IF(ISNUMBER(RU_Raw!H121),RU_Raw!H121,IF(ISNUMBER(RU_Raw!H122),(H120+RU_Raw!H122)/2,IF(ISNUMBER(RU_Raw!H123),H120+(RU_Raw!H123-H120)/3,"")))</f>
        <v>209.2</v>
      </c>
      <c r="I121" s="19">
        <f>IF(ISNUMBER(RU_Raw!I121),RU_Raw!I121,IF(ISNUMBER(RU_Raw!I122),(I120+RU_Raw!I122)/2,IF(ISNUMBER(RU_Raw!I123),I120+(RU_Raw!I123-I120)/3,"")))</f>
        <v>169.7</v>
      </c>
      <c r="J121" s="19">
        <f>IF(ISNUMBER(RU_Raw!J121),RU_Raw!J121,IF(ISNUMBER(RU_Raw!J122),(J120+RU_Raw!J122)/2,IF(ISNUMBER(RU_Raw!J123),J120+(RU_Raw!J123-J120)/3,"")))</f>
        <v>169.7</v>
      </c>
      <c r="K121" s="19">
        <f>IF(ISNUMBER(RU_Raw!K121),RU_Raw!K121,IF(ISNUMBER(RU_Raw!K122),(K120+RU_Raw!K122)/2,IF(ISNUMBER(RU_Raw!K123),K120+(RU_Raw!K123-K120)/3,"")))</f>
        <v>188.7</v>
      </c>
      <c r="L121" s="19">
        <f>IF(ISNUMBER(RU_Raw!L121),RU_Raw!L121,IF(ISNUMBER(RU_Raw!L122),(L120+RU_Raw!L122)/2,IF(ISNUMBER(RU_Raw!L123),L120+(RU_Raw!L123-L120)/3,"")))</f>
        <v>165.7</v>
      </c>
      <c r="M121" s="19">
        <f>IF(ISNUMBER(RU_Raw!M121),RU_Raw!M121,IF(ISNUMBER(RU_Raw!M122),(M120+RU_Raw!M122)/2,IF(ISNUMBER(RU_Raw!M123),M120+(RU_Raw!M123-M120)/3,"")))</f>
        <v>191.8</v>
      </c>
      <c r="N121" s="19">
        <f>IF(ISNUMBER(RU_Raw!N121),RU_Raw!N121,IF(ISNUMBER(RU_Raw!N122),(N120+RU_Raw!N122)/2,IF(ISNUMBER(RU_Raw!N123),N120+(RU_Raw!N123-N120)/3,"")))</f>
        <v>169.1</v>
      </c>
      <c r="O121" s="19">
        <f>IF(ISNUMBER(RU_Raw!O121),RU_Raw!O121,IF(ISNUMBER(RU_Raw!O122),(O120+RU_Raw!O122)/2,IF(ISNUMBER(RU_Raw!O123),O120+(RU_Raw!O123-O120)/3,"")))</f>
        <v>121.6</v>
      </c>
      <c r="P121" s="19">
        <f>IF(ISNUMBER(RU_Raw!P121),RU_Raw!P121,IF(ISNUMBER(RU_Raw!P122),(P120+RU_Raw!P122)/2,IF(ISNUMBER(RU_Raw!P123),P120+(RU_Raw!P123-P120)/3,"")))</f>
        <v>197.3</v>
      </c>
      <c r="Q121" s="19">
        <f>IF(ISNUMBER(RU_Raw!Q121),RU_Raw!Q121,IF(ISNUMBER(RU_Raw!Q122),(Q120+RU_Raw!Q122)/2,IF(ISNUMBER(RU_Raw!Q123),Q120+(RU_Raw!Q123-Q120)/3,"")))</f>
        <v>169.4</v>
      </c>
      <c r="R121" s="19">
        <f>IF(ISNUMBER(RU_Raw!R121),RU_Raw!R121,IF(ISNUMBER(RU_Raw!R122),(R120+RU_Raw!R122)/2,IF(ISNUMBER(RU_Raw!R123),R120+(RU_Raw!R123-R120)/3,"")))</f>
        <v>187.4</v>
      </c>
      <c r="S121" s="19">
        <f>IF(ISNUMBER(RU_Raw!S121),RU_Raw!S121,IF(ISNUMBER(RU_Raw!S122),(S120+RU_Raw!S122)/2,IF(ISNUMBER(RU_Raw!S123),S120+(RU_Raw!S123-S120)/3,"")))</f>
        <v>177.8</v>
      </c>
      <c r="T121" s="19">
        <f>IF(ISNUMBER(RU_Raw!T121),RU_Raw!T121,IF(ISNUMBER(RU_Raw!T122),(T120+RU_Raw!T122)/2,IF(ISNUMBER(RU_Raw!T123),T120+(RU_Raw!T123-T120)/3,"")))</f>
        <v>195.9</v>
      </c>
      <c r="U121" s="19">
        <f>IF(ISNUMBER(RU_Raw!U121),RU_Raw!U121,IF(ISNUMBER(RU_Raw!U122),(U120+RU_Raw!U122)/2,IF(ISNUMBER(RU_Raw!U123),U120+(RU_Raw!U123-U120)/3,"")))</f>
        <v>180.9</v>
      </c>
      <c r="V121" s="19">
        <f>IF(ISNUMBER(RU_Raw!V121),RU_Raw!V121,IF(ISNUMBER(RU_Raw!V122),(V120+RU_Raw!V122)/2,IF(ISNUMBER(RU_Raw!V123),V120+(RU_Raw!V123-V120)/3,"")))</f>
        <v>174.3</v>
      </c>
      <c r="W121" s="19">
        <f>IF(ISNUMBER(RU_Raw!W121),RU_Raw!W121,IF(ISNUMBER(RU_Raw!W122),(W120+RU_Raw!W122)/2,IF(ISNUMBER(RU_Raw!W123),W120+(RU_Raw!W123-W120)/3,"")))</f>
        <v>179.9</v>
      </c>
      <c r="X121" s="19">
        <f>IF(ISNUMBER(RU_Raw!X121),RU_Raw!X121,IF(ISNUMBER(RU_Raw!X122),(X120+RU_Raw!X122)/2,IF(ISNUMBER(RU_Raw!X123),X120+(RU_Raw!X123-X120)/3,"")))</f>
        <v>169.5</v>
      </c>
      <c r="Y121" s="19">
        <f>IF(ISNUMBER(RU_Raw!Y121),RU_Raw!Y121,IF(ISNUMBER(RU_Raw!Y122),(Y120+RU_Raw!Y122)/2,IF(ISNUMBER(RU_Raw!Y123),Y120+(RU_Raw!Y123-Y120)/3,"")))</f>
        <v>179.5</v>
      </c>
      <c r="Z121" s="19">
        <f>IF(ISNUMBER(RU_Raw!Z121),RU_Raw!Z121,IF(ISNUMBER(RU_Raw!Z122),(Z120+RU_Raw!Z122)/2,IF(ISNUMBER(RU_Raw!Z123),Z120+(RU_Raw!Z123-Z120)/3,"")))</f>
        <v>169.5</v>
      </c>
      <c r="AA121" s="19">
        <f>IF(ISNUMBER(RU_Raw!AA121),RU_Raw!AA121,IF(ISNUMBER(RU_Raw!AA122),(AA120+RU_Raw!AA122)/2,IF(ISNUMBER(RU_Raw!AA123),AA120+(RU_Raw!AA123-AA120)/3,"")))</f>
        <v>177.8</v>
      </c>
      <c r="AB121" s="19">
        <f>IF(ISNUMBER(RU_Raw!AB121),RU_Raw!AB121,IF(ISNUMBER(RU_Raw!AB122),(AB120+RU_Raw!AB122)/2,IF(ISNUMBER(RU_Raw!AB123),AB120+(RU_Raw!AB123-AB120)/3,"")))</f>
        <v>162.3</v>
      </c>
      <c r="AC121" s="19">
        <f>IF(ISNUMBER(RU_Raw!AC121),RU_Raw!AC121,IF(ISNUMBER(RU_Raw!AC122),(AC120+RU_Raw!AC122)/2,IF(ISNUMBER(RU_Raw!AC123),AC120+(RU_Raw!AC123-AC120)/3,"")))</f>
        <v>167.6</v>
      </c>
      <c r="AD121" s="19">
        <f>IF(ISNUMBER(RU_Raw!AD121),RU_Raw!AD121,IF(ISNUMBER(RU_Raw!AD122),(AD120+RU_Raw!AD122)/2,IF(ISNUMBER(RU_Raw!AD123),AD120+(RU_Raw!AD123-AD120)/3,"")))</f>
        <v>173.1</v>
      </c>
      <c r="AE121" s="19">
        <f>IF(ISNUMBER(RU_Raw!AE121),RU_Raw!AE121,IF(ISNUMBER(RU_Raw!AE122),(AE120+RU_Raw!AE122)/2,IF(ISNUMBER(RU_Raw!AE123),AE120+(RU_Raw!AE123-AE120)/3,"")))</f>
        <v>170.9</v>
      </c>
      <c r="AF121" s="19">
        <f>IF(ISNUMBER(RU_Raw!AF121),RU_Raw!AF121,IF(ISNUMBER(RU_Raw!AF122),(AF120+RU_Raw!AF122)/2,IF(ISNUMBER(RU_Raw!AF123),AF120+(RU_Raw!AF123-AF120)/3,"")))</f>
        <v>169.7</v>
      </c>
      <c r="AG121" s="19">
        <f>IF(ISNUMBER(RU_Raw!AG121),RU_Raw!AG121,IF(ISNUMBER(RU_Raw!AG122),(AG120+RU_Raw!AG122)/2,IF(ISNUMBER(RU_Raw!AG123),AG120+(RU_Raw!AG123-AG120)/3,"")))</f>
        <v>175.3</v>
      </c>
      <c r="AH121" s="19">
        <f t="shared" si="3"/>
        <v>2103.1</v>
      </c>
    </row>
    <row r="122" spans="1:34">
      <c r="A122" s="6">
        <f>RU_Raw!A122</f>
        <v>2022</v>
      </c>
      <c r="B122" s="6">
        <f>RU_Raw!B122</f>
        <v>10</v>
      </c>
      <c r="C122" s="6" t="str">
        <f>RU_Raw!C122</f>
        <v>October</v>
      </c>
      <c r="D122" s="9">
        <f>RU_Raw!D122</f>
        <v>44835</v>
      </c>
      <c r="E122" s="6">
        <f>COUNTBLANK(RU_Raw!G122:AG122)</f>
        <v>0</v>
      </c>
      <c r="F122" s="6" t="str">
        <f t="shared" si="2"/>
        <v/>
      </c>
      <c r="G122" s="19">
        <f>IF(ISNUMBER(RU_Raw!G122),RU_Raw!G122,IF(ISNUMBER(RU_Raw!G123),(G121+RU_Raw!G123)/2,IF(ISNUMBER(RU_Raw!G124),G121+(RU_Raw!G124-G121)/3,"")))</f>
        <v>165.2</v>
      </c>
      <c r="H122" s="19">
        <f>IF(ISNUMBER(RU_Raw!H122),RU_Raw!H122,IF(ISNUMBER(RU_Raw!H123),(H121+RU_Raw!H123)/2,IF(ISNUMBER(RU_Raw!H124),H121+(RU_Raw!H124-H121)/3,"")))</f>
        <v>210.9</v>
      </c>
      <c r="I122" s="19">
        <f>IF(ISNUMBER(RU_Raw!I122),RU_Raw!I122,IF(ISNUMBER(RU_Raw!I123),(I121+RU_Raw!I123)/2,IF(ISNUMBER(RU_Raw!I124),I121+(RU_Raw!I124-I121)/3,"")))</f>
        <v>170.9</v>
      </c>
      <c r="J122" s="19">
        <f>IF(ISNUMBER(RU_Raw!J122),RU_Raw!J122,IF(ISNUMBER(RU_Raw!J123),(J121+RU_Raw!J123)/2,IF(ISNUMBER(RU_Raw!J124),J121+(RU_Raw!J124-J121)/3,"")))</f>
        <v>170.9</v>
      </c>
      <c r="K122" s="19">
        <f>IF(ISNUMBER(RU_Raw!K122),RU_Raw!K122,IF(ISNUMBER(RU_Raw!K123),(K121+RU_Raw!K123)/2,IF(ISNUMBER(RU_Raw!K124),K121+(RU_Raw!K124-K121)/3,"")))</f>
        <v>186.5</v>
      </c>
      <c r="L122" s="19">
        <f>IF(ISNUMBER(RU_Raw!L122),RU_Raw!L122,IF(ISNUMBER(RU_Raw!L123),(L121+RU_Raw!L123)/2,IF(ISNUMBER(RU_Raw!L124),L121+(RU_Raw!L124-L121)/3,"")))</f>
        <v>163.8</v>
      </c>
      <c r="M122" s="19">
        <f>IF(ISNUMBER(RU_Raw!M122),RU_Raw!M122,IF(ISNUMBER(RU_Raw!M123),(M121+RU_Raw!M123)/2,IF(ISNUMBER(RU_Raw!M124),M121+(RU_Raw!M124-M121)/3,"")))</f>
        <v>199.7</v>
      </c>
      <c r="N122" s="19">
        <f>IF(ISNUMBER(RU_Raw!N122),RU_Raw!N122,IF(ISNUMBER(RU_Raw!N123),(N121+RU_Raw!N123)/2,IF(ISNUMBER(RU_Raw!N124),N121+(RU_Raw!N124-N121)/3,"")))</f>
        <v>169.8</v>
      </c>
      <c r="O122" s="19">
        <f>IF(ISNUMBER(RU_Raw!O122),RU_Raw!O122,IF(ISNUMBER(RU_Raw!O123),(O121+RU_Raw!O123)/2,IF(ISNUMBER(RU_Raw!O124),O121+(RU_Raw!O124-O121)/3,"")))</f>
        <v>121.9</v>
      </c>
      <c r="P122" s="19">
        <f>IF(ISNUMBER(RU_Raw!P122),RU_Raw!P122,IF(ISNUMBER(RU_Raw!P123),(P121+RU_Raw!P123)/2,IF(ISNUMBER(RU_Raw!P124),P121+(RU_Raw!P124-P121)/3,"")))</f>
        <v>199.9</v>
      </c>
      <c r="Q122" s="19">
        <f>IF(ISNUMBER(RU_Raw!Q122),RU_Raw!Q122,IF(ISNUMBER(RU_Raw!Q123),(Q121+RU_Raw!Q123)/2,IF(ISNUMBER(RU_Raw!Q124),Q121+(RU_Raw!Q124-Q121)/3,"")))</f>
        <v>169.9</v>
      </c>
      <c r="R122" s="19">
        <f>IF(ISNUMBER(RU_Raw!R122),RU_Raw!R122,IF(ISNUMBER(RU_Raw!R123),(R121+RU_Raw!R123)/2,IF(ISNUMBER(RU_Raw!R124),R121+(RU_Raw!R124-R121)/3,"")))</f>
        <v>188.3</v>
      </c>
      <c r="S122" s="19">
        <f>IF(ISNUMBER(RU_Raw!S122),RU_Raw!S122,IF(ISNUMBER(RU_Raw!S123),(S121+RU_Raw!S123)/2,IF(ISNUMBER(RU_Raw!S124),S121+(RU_Raw!S124-S121)/3,"")))</f>
        <v>179.6</v>
      </c>
      <c r="T122" s="19">
        <f>IF(ISNUMBER(RU_Raw!T122),RU_Raw!T122,IF(ISNUMBER(RU_Raw!T123),(T121+RU_Raw!T123)/2,IF(ISNUMBER(RU_Raw!T124),T121+(RU_Raw!T124-T121)/3,"")))</f>
        <v>196.3</v>
      </c>
      <c r="U122" s="19">
        <f>IF(ISNUMBER(RU_Raw!U122),RU_Raw!U122,IF(ISNUMBER(RU_Raw!U123),(U121+RU_Raw!U123)/2,IF(ISNUMBER(RU_Raw!U124),U121+(RU_Raw!U124-U121)/3,"")))</f>
        <v>181.9</v>
      </c>
      <c r="V122" s="19">
        <f>IF(ISNUMBER(RU_Raw!V122),RU_Raw!V122,IF(ISNUMBER(RU_Raw!V123),(V121+RU_Raw!V123)/2,IF(ISNUMBER(RU_Raw!V124),V121+(RU_Raw!V124-V121)/3,"")))</f>
        <v>175.3</v>
      </c>
      <c r="W122" s="19">
        <f>IF(ISNUMBER(RU_Raw!W122),RU_Raw!W122,IF(ISNUMBER(RU_Raw!W123),(W121+RU_Raw!W123)/2,IF(ISNUMBER(RU_Raw!W124),W121+(RU_Raw!W124-W121)/3,"")))</f>
        <v>181</v>
      </c>
      <c r="X122" s="19">
        <f>IF(ISNUMBER(RU_Raw!X122),RU_Raw!X122,IF(ISNUMBER(RU_Raw!X123),(X121+RU_Raw!X123)/2,IF(ISNUMBER(RU_Raw!X124),X121+(RU_Raw!X124-X121)/3,"")))</f>
        <v>171.2</v>
      </c>
      <c r="Y122" s="19">
        <f>IF(ISNUMBER(RU_Raw!Y122),RU_Raw!Y122,IF(ISNUMBER(RU_Raw!Y123),(Y121+RU_Raw!Y123)/2,IF(ISNUMBER(RU_Raw!Y124),Y121+(RU_Raw!Y124-Y121)/3,"")))</f>
        <v>180.5</v>
      </c>
      <c r="Z122" s="19">
        <f>IF(ISNUMBER(RU_Raw!Z122),RU_Raw!Z122,IF(ISNUMBER(RU_Raw!Z123),(Z121+RU_Raw!Z123)/2,IF(ISNUMBER(RU_Raw!Z124),Z121+(RU_Raw!Z124-Z121)/3,"")))</f>
        <v>170.4</v>
      </c>
      <c r="AA122" s="19">
        <f>IF(ISNUMBER(RU_Raw!AA122),RU_Raw!AA122,IF(ISNUMBER(RU_Raw!AA123),(AA121+RU_Raw!AA123)/2,IF(ISNUMBER(RU_Raw!AA124),AA121+(RU_Raw!AA124-AA121)/3,"")))</f>
        <v>178.7</v>
      </c>
      <c r="AB122" s="19">
        <f>IF(ISNUMBER(RU_Raw!AB122),RU_Raw!AB122,IF(ISNUMBER(RU_Raw!AB123),(AB121+RU_Raw!AB123)/2,IF(ISNUMBER(RU_Raw!AB124),AB121+(RU_Raw!AB124-AB121)/3,"")))</f>
        <v>162.9</v>
      </c>
      <c r="AC122" s="19">
        <f>IF(ISNUMBER(RU_Raw!AC122),RU_Raw!AC122,IF(ISNUMBER(RU_Raw!AC123),(AC121+RU_Raw!AC123)/2,IF(ISNUMBER(RU_Raw!AC124),AC121+(RU_Raw!AC124-AC121)/3,"")))</f>
        <v>168.2</v>
      </c>
      <c r="AD122" s="19">
        <f>IF(ISNUMBER(RU_Raw!AD122),RU_Raw!AD122,IF(ISNUMBER(RU_Raw!AD123),(AD121+RU_Raw!AD123)/2,IF(ISNUMBER(RU_Raw!AD124),AD121+(RU_Raw!AD124-AD121)/3,"")))</f>
        <v>173.4</v>
      </c>
      <c r="AE122" s="19">
        <f>IF(ISNUMBER(RU_Raw!AE122),RU_Raw!AE122,IF(ISNUMBER(RU_Raw!AE123),(AE121+RU_Raw!AE123)/2,IF(ISNUMBER(RU_Raw!AE124),AE121+(RU_Raw!AE124-AE121)/3,"")))</f>
        <v>172.1</v>
      </c>
      <c r="AF122" s="19">
        <f>IF(ISNUMBER(RU_Raw!AF122),RU_Raw!AF122,IF(ISNUMBER(RU_Raw!AF123),(AF121+RU_Raw!AF123)/2,IF(ISNUMBER(RU_Raw!AF124),AF121+(RU_Raw!AF124-AF121)/3,"")))</f>
        <v>170.5</v>
      </c>
      <c r="AG122" s="19">
        <f>IF(ISNUMBER(RU_Raw!AG122),RU_Raw!AG122,IF(ISNUMBER(RU_Raw!AG123),(AG121+RU_Raw!AG123)/2,IF(ISNUMBER(RU_Raw!AG124),AG121+(RU_Raw!AG124-AG121)/3,"")))</f>
        <v>176.7</v>
      </c>
      <c r="AH122" s="19">
        <f t="shared" si="3"/>
        <v>2117.7</v>
      </c>
    </row>
    <row r="123" spans="1:34">
      <c r="A123" s="6">
        <f>RU_Raw!A123</f>
        <v>2022</v>
      </c>
      <c r="B123" s="6">
        <f>RU_Raw!B123</f>
        <v>11</v>
      </c>
      <c r="C123" s="6" t="str">
        <f>RU_Raw!C123</f>
        <v>November</v>
      </c>
      <c r="D123" s="9">
        <f>RU_Raw!D123</f>
        <v>44866</v>
      </c>
      <c r="E123" s="6">
        <f>COUNTBLANK(RU_Raw!G123:AG123)</f>
        <v>0</v>
      </c>
      <c r="F123" s="6" t="str">
        <f t="shared" si="2"/>
        <v/>
      </c>
      <c r="G123" s="19">
        <f>IF(ISNUMBER(RU_Raw!G123),RU_Raw!G123,IF(ISNUMBER(RU_Raw!G124),(G122+RU_Raw!G124)/2,IF(ISNUMBER(RU_Raw!G125),G122+(RU_Raw!G125-G122)/3,"")))</f>
        <v>167.4</v>
      </c>
      <c r="H123" s="19">
        <f>IF(ISNUMBER(RU_Raw!H123),RU_Raw!H123,IF(ISNUMBER(RU_Raw!H124),(H122+RU_Raw!H124)/2,IF(ISNUMBER(RU_Raw!H125),H122+(RU_Raw!H125-H122)/3,"")))</f>
        <v>209.4</v>
      </c>
      <c r="I123" s="19">
        <f>IF(ISNUMBER(RU_Raw!I123),RU_Raw!I123,IF(ISNUMBER(RU_Raw!I124),(I122+RU_Raw!I124)/2,IF(ISNUMBER(RU_Raw!I125),I122+(RU_Raw!I125-I122)/3,"")))</f>
        <v>181.4</v>
      </c>
      <c r="J123" s="19">
        <f>IF(ISNUMBER(RU_Raw!J123),RU_Raw!J123,IF(ISNUMBER(RU_Raw!J124),(J122+RU_Raw!J124)/2,IF(ISNUMBER(RU_Raw!J125),J122+(RU_Raw!J125-J122)/3,"")))</f>
        <v>172.3</v>
      </c>
      <c r="K123" s="19">
        <f>IF(ISNUMBER(RU_Raw!K123),RU_Raw!K123,IF(ISNUMBER(RU_Raw!K124),(K122+RU_Raw!K124)/2,IF(ISNUMBER(RU_Raw!K125),K122+(RU_Raw!K125-K122)/3,"")))</f>
        <v>188.9</v>
      </c>
      <c r="L123" s="19">
        <f>IF(ISNUMBER(RU_Raw!L123),RU_Raw!L123,IF(ISNUMBER(RU_Raw!L124),(L122+RU_Raw!L124)/2,IF(ISNUMBER(RU_Raw!L125),L122+(RU_Raw!L125-L122)/3,"")))</f>
        <v>160.7</v>
      </c>
      <c r="M123" s="19">
        <f>IF(ISNUMBER(RU_Raw!M123),RU_Raw!M123,IF(ISNUMBER(RU_Raw!M124),(M122+RU_Raw!M124)/2,IF(ISNUMBER(RU_Raw!M125),M122+(RU_Raw!M125-M122)/3,"")))</f>
        <v>183.1</v>
      </c>
      <c r="N123" s="19">
        <f>IF(ISNUMBER(RU_Raw!N123),RU_Raw!N123,IF(ISNUMBER(RU_Raw!N124),(N122+RU_Raw!N124)/2,IF(ISNUMBER(RU_Raw!N125),N122+(RU_Raw!N125-N122)/3,"")))</f>
        <v>170.5</v>
      </c>
      <c r="O123" s="19">
        <f>IF(ISNUMBER(RU_Raw!O123),RU_Raw!O123,IF(ISNUMBER(RU_Raw!O124),(O122+RU_Raw!O124)/2,IF(ISNUMBER(RU_Raw!O125),O122+(RU_Raw!O125-O122)/3,"")))</f>
        <v>122.1</v>
      </c>
      <c r="P123" s="19">
        <f>IF(ISNUMBER(RU_Raw!P123),RU_Raw!P123,IF(ISNUMBER(RU_Raw!P124),(P122+RU_Raw!P124)/2,IF(ISNUMBER(RU_Raw!P125),P122+(RU_Raw!P125-P122)/3,"")))</f>
        <v>202.8</v>
      </c>
      <c r="Q123" s="19">
        <f>IF(ISNUMBER(RU_Raw!Q123),RU_Raw!Q123,IF(ISNUMBER(RU_Raw!Q124),(Q122+RU_Raw!Q124)/2,IF(ISNUMBER(RU_Raw!Q125),Q122+(RU_Raw!Q125-Q122)/3,"")))</f>
        <v>170.4</v>
      </c>
      <c r="R123" s="19">
        <f>IF(ISNUMBER(RU_Raw!R123),RU_Raw!R123,IF(ISNUMBER(RU_Raw!R124),(R122+RU_Raw!R124)/2,IF(ISNUMBER(RU_Raw!R125),R122+(RU_Raw!R125-R122)/3,"")))</f>
        <v>189.5</v>
      </c>
      <c r="S123" s="19">
        <f>IF(ISNUMBER(RU_Raw!S123),RU_Raw!S123,IF(ISNUMBER(RU_Raw!S124),(S122+RU_Raw!S124)/2,IF(ISNUMBER(RU_Raw!S125),S122+(RU_Raw!S125-S122)/3,"")))</f>
        <v>178.3</v>
      </c>
      <c r="T123" s="19">
        <f>IF(ISNUMBER(RU_Raw!T123),RU_Raw!T123,IF(ISNUMBER(RU_Raw!T124),(T122+RU_Raw!T124)/2,IF(ISNUMBER(RU_Raw!T125),T122+(RU_Raw!T125-T122)/3,"")))</f>
        <v>196.9</v>
      </c>
      <c r="U123" s="19">
        <f>IF(ISNUMBER(RU_Raw!U123),RU_Raw!U123,IF(ISNUMBER(RU_Raw!U124),(U122+RU_Raw!U124)/2,IF(ISNUMBER(RU_Raw!U125),U122+(RU_Raw!U125-U122)/3,"")))</f>
        <v>183.1</v>
      </c>
      <c r="V123" s="19">
        <f>IF(ISNUMBER(RU_Raw!V123),RU_Raw!V123,IF(ISNUMBER(RU_Raw!V124),(V122+RU_Raw!V124)/2,IF(ISNUMBER(RU_Raw!V125),V122+(RU_Raw!V125-V122)/3,"")))</f>
        <v>176.2</v>
      </c>
      <c r="W123" s="19">
        <f>IF(ISNUMBER(RU_Raw!W123),RU_Raw!W123,IF(ISNUMBER(RU_Raw!W124),(W122+RU_Raw!W124)/2,IF(ISNUMBER(RU_Raw!W125),W122+(RU_Raw!W125-W122)/3,"")))</f>
        <v>182.1</v>
      </c>
      <c r="X123" s="19">
        <f>IF(ISNUMBER(RU_Raw!X123),RU_Raw!X123,IF(ISNUMBER(RU_Raw!X124),(X122+RU_Raw!X124)/2,IF(ISNUMBER(RU_Raw!X125),X122+(RU_Raw!X125-X122)/3,"")))</f>
        <v>171.8</v>
      </c>
      <c r="Y123" s="19">
        <f>IF(ISNUMBER(RU_Raw!Y123),RU_Raw!Y123,IF(ISNUMBER(RU_Raw!Y124),(Y122+RU_Raw!Y124)/2,IF(ISNUMBER(RU_Raw!Y125),Y122+(RU_Raw!Y125-Y122)/3,"")))</f>
        <v>181.3</v>
      </c>
      <c r="Z123" s="19">
        <f>IF(ISNUMBER(RU_Raw!Z123),RU_Raw!Z123,IF(ISNUMBER(RU_Raw!Z124),(Z122+RU_Raw!Z124)/2,IF(ISNUMBER(RU_Raw!Z125),Z122+(RU_Raw!Z125-Z122)/3,"")))</f>
        <v>171.4</v>
      </c>
      <c r="AA123" s="19">
        <f>IF(ISNUMBER(RU_Raw!AA123),RU_Raw!AA123,IF(ISNUMBER(RU_Raw!AA124),(AA122+RU_Raw!AA124)/2,IF(ISNUMBER(RU_Raw!AA125),AA122+(RU_Raw!AA125-AA122)/3,"")))</f>
        <v>179.8</v>
      </c>
      <c r="AB123" s="19">
        <f>IF(ISNUMBER(RU_Raw!AB123),RU_Raw!AB123,IF(ISNUMBER(RU_Raw!AB124),(AB122+RU_Raw!AB124)/2,IF(ISNUMBER(RU_Raw!AB125),AB122+(RU_Raw!AB125-AB122)/3,"")))</f>
        <v>163</v>
      </c>
      <c r="AC123" s="19">
        <f>IF(ISNUMBER(RU_Raw!AC123),RU_Raw!AC123,IF(ISNUMBER(RU_Raw!AC124),(AC122+RU_Raw!AC124)/2,IF(ISNUMBER(RU_Raw!AC125),AC122+(RU_Raw!AC125-AC122)/3,"")))</f>
        <v>168.5</v>
      </c>
      <c r="AD123" s="19">
        <f>IF(ISNUMBER(RU_Raw!AD123),RU_Raw!AD123,IF(ISNUMBER(RU_Raw!AD124),(AD122+RU_Raw!AD124)/2,IF(ISNUMBER(RU_Raw!AD125),AD122+(RU_Raw!AD125-AD122)/3,"")))</f>
        <v>173.7</v>
      </c>
      <c r="AE123" s="19">
        <f>IF(ISNUMBER(RU_Raw!AE123),RU_Raw!AE123,IF(ISNUMBER(RU_Raw!AE124),(AE122+RU_Raw!AE124)/2,IF(ISNUMBER(RU_Raw!AE125),AE122+(RU_Raw!AE125-AE122)/3,"")))</f>
        <v>173.6</v>
      </c>
      <c r="AF123" s="19">
        <f>IF(ISNUMBER(RU_Raw!AF123),RU_Raw!AF123,IF(ISNUMBER(RU_Raw!AF124),(AF122+RU_Raw!AF124)/2,IF(ISNUMBER(RU_Raw!AF125),AF122+(RU_Raw!AF125-AF122)/3,"")))</f>
        <v>171.1</v>
      </c>
      <c r="AG123" s="19">
        <f>IF(ISNUMBER(RU_Raw!AG123),RU_Raw!AG123,IF(ISNUMBER(RU_Raw!AG124),(AG122+RU_Raw!AG124)/2,IF(ISNUMBER(RU_Raw!AG125),AG122+(RU_Raw!AG125-AG122)/3,"")))</f>
        <v>176.5</v>
      </c>
      <c r="AH123" s="19">
        <f t="shared" si="3"/>
        <v>2118.5</v>
      </c>
    </row>
    <row r="124" spans="1:34">
      <c r="A124" s="6">
        <f>RU_Raw!A124</f>
        <v>2022</v>
      </c>
      <c r="B124" s="6">
        <f>RU_Raw!B124</f>
        <v>12</v>
      </c>
      <c r="C124" s="6" t="str">
        <f>RU_Raw!C124</f>
        <v>December</v>
      </c>
      <c r="D124" s="9">
        <f>RU_Raw!D124</f>
        <v>44896</v>
      </c>
      <c r="E124" s="6">
        <f>COUNTBLANK(RU_Raw!G124:AG124)</f>
        <v>0</v>
      </c>
      <c r="F124" s="6" t="str">
        <f t="shared" si="2"/>
        <v/>
      </c>
      <c r="G124" s="19">
        <f>IF(ISNUMBER(RU_Raw!G124),RU_Raw!G124,IF(ISNUMBER(RU_Raw!G125),(G123+RU_Raw!G125)/2,IF(ISNUMBER(RU_Raw!G126),G123+(RU_Raw!G126-G123)/3,"")))</f>
        <v>169.2</v>
      </c>
      <c r="H124" s="19">
        <f>IF(ISNUMBER(RU_Raw!H124),RU_Raw!H124,IF(ISNUMBER(RU_Raw!H125),(H123+RU_Raw!H125)/2,IF(ISNUMBER(RU_Raw!H126),H123+(RU_Raw!H126-H123)/3,"")))</f>
        <v>209</v>
      </c>
      <c r="I124" s="19">
        <f>IF(ISNUMBER(RU_Raw!I124),RU_Raw!I124,IF(ISNUMBER(RU_Raw!I125),(I123+RU_Raw!I125)/2,IF(ISNUMBER(RU_Raw!I126),I123+(RU_Raw!I126-I123)/3,"")))</f>
        <v>190.2</v>
      </c>
      <c r="J124" s="19">
        <f>IF(ISNUMBER(RU_Raw!J124),RU_Raw!J124,IF(ISNUMBER(RU_Raw!J125),(J123+RU_Raw!J125)/2,IF(ISNUMBER(RU_Raw!J126),J123+(RU_Raw!J126-J123)/3,"")))</f>
        <v>173.6</v>
      </c>
      <c r="K124" s="19">
        <f>IF(ISNUMBER(RU_Raw!K124),RU_Raw!K124,IF(ISNUMBER(RU_Raw!K125),(K123+RU_Raw!K125)/2,IF(ISNUMBER(RU_Raw!K126),K123+(RU_Raw!K126-K123)/3,"")))</f>
        <v>188.5</v>
      </c>
      <c r="L124" s="19">
        <f>IF(ISNUMBER(RU_Raw!L124),RU_Raw!L124,IF(ISNUMBER(RU_Raw!L125),(L123+RU_Raw!L125)/2,IF(ISNUMBER(RU_Raw!L126),L123+(RU_Raw!L126-L123)/3,"")))</f>
        <v>158</v>
      </c>
      <c r="M124" s="19">
        <f>IF(ISNUMBER(RU_Raw!M124),RU_Raw!M124,IF(ISNUMBER(RU_Raw!M125),(M123+RU_Raw!M125)/2,IF(ISNUMBER(RU_Raw!M126),M123+(RU_Raw!M126-M123)/3,"")))</f>
        <v>159.9</v>
      </c>
      <c r="N124" s="19">
        <f>IF(ISNUMBER(RU_Raw!N124),RU_Raw!N124,IF(ISNUMBER(RU_Raw!N125),(N123+RU_Raw!N125)/2,IF(ISNUMBER(RU_Raw!N126),N123+(RU_Raw!N126-N123)/3,"")))</f>
        <v>170.8</v>
      </c>
      <c r="O124" s="19">
        <f>IF(ISNUMBER(RU_Raw!O124),RU_Raw!O124,IF(ISNUMBER(RU_Raw!O125),(O123+RU_Raw!O125)/2,IF(ISNUMBER(RU_Raw!O126),O123+(RU_Raw!O126-O123)/3,"")))</f>
        <v>121.8</v>
      </c>
      <c r="P124" s="19">
        <f>IF(ISNUMBER(RU_Raw!P124),RU_Raw!P124,IF(ISNUMBER(RU_Raw!P125),(P123+RU_Raw!P125)/2,IF(ISNUMBER(RU_Raw!P126),P123+(RU_Raw!P126-P123)/3,"")))</f>
        <v>205.2</v>
      </c>
      <c r="Q124" s="19">
        <f>IF(ISNUMBER(RU_Raw!Q124),RU_Raw!Q124,IF(ISNUMBER(RU_Raw!Q125),(Q123+RU_Raw!Q125)/2,IF(ISNUMBER(RU_Raw!Q126),Q123+(RU_Raw!Q126-Q123)/3,"")))</f>
        <v>171</v>
      </c>
      <c r="R124" s="19">
        <f>IF(ISNUMBER(RU_Raw!R124),RU_Raw!R124,IF(ISNUMBER(RU_Raw!R125),(R123+RU_Raw!R125)/2,IF(ISNUMBER(RU_Raw!R126),R123+(RU_Raw!R126-R123)/3,"")))</f>
        <v>190.3</v>
      </c>
      <c r="S124" s="19">
        <f>IF(ISNUMBER(RU_Raw!S124),RU_Raw!S124,IF(ISNUMBER(RU_Raw!S125),(S123+RU_Raw!S125)/2,IF(ISNUMBER(RU_Raw!S126),S123+(RU_Raw!S126-S123)/3,"")))</f>
        <v>175.9</v>
      </c>
      <c r="T124" s="19">
        <f>IF(ISNUMBER(RU_Raw!T124),RU_Raw!T124,IF(ISNUMBER(RU_Raw!T125),(T123+RU_Raw!T125)/2,IF(ISNUMBER(RU_Raw!T126),T123+(RU_Raw!T126-T123)/3,"")))</f>
        <v>197.3</v>
      </c>
      <c r="U124" s="19">
        <f>IF(ISNUMBER(RU_Raw!U124),RU_Raw!U124,IF(ISNUMBER(RU_Raw!U125),(U123+RU_Raw!U125)/2,IF(ISNUMBER(RU_Raw!U126),U123+(RU_Raw!U126-U123)/3,"")))</f>
        <v>184</v>
      </c>
      <c r="V124" s="19">
        <f>IF(ISNUMBER(RU_Raw!V124),RU_Raw!V124,IF(ISNUMBER(RU_Raw!V125),(V123+RU_Raw!V125)/2,IF(ISNUMBER(RU_Raw!V126),V123+(RU_Raw!V126-V123)/3,"")))</f>
        <v>177</v>
      </c>
      <c r="W124" s="19">
        <f>IF(ISNUMBER(RU_Raw!W124),RU_Raw!W124,IF(ISNUMBER(RU_Raw!W125),(W123+RU_Raw!W125)/2,IF(ISNUMBER(RU_Raw!W126),W123+(RU_Raw!W126-W123)/3,"")))</f>
        <v>183</v>
      </c>
      <c r="X124" s="19">
        <f>IF(ISNUMBER(RU_Raw!X124),RU_Raw!X124,IF(ISNUMBER(RU_Raw!X125),(X123+RU_Raw!X125)/2,IF(ISNUMBER(RU_Raw!X126),X123+(RU_Raw!X126-X123)/3,"")))</f>
        <v>170.7</v>
      </c>
      <c r="Y124" s="19">
        <f>IF(ISNUMBER(RU_Raw!Y124),RU_Raw!Y124,IF(ISNUMBER(RU_Raw!Y125),(Y123+RU_Raw!Y125)/2,IF(ISNUMBER(RU_Raw!Y126),Y123+(RU_Raw!Y126-Y123)/3,"")))</f>
        <v>182</v>
      </c>
      <c r="Z124" s="19">
        <f>IF(ISNUMBER(RU_Raw!Z124),RU_Raw!Z124,IF(ISNUMBER(RU_Raw!Z125),(Z123+RU_Raw!Z125)/2,IF(ISNUMBER(RU_Raw!Z126),Z123+(RU_Raw!Z126-Z123)/3,"")))</f>
        <v>172.1</v>
      </c>
      <c r="AA124" s="19">
        <f>IF(ISNUMBER(RU_Raw!AA124),RU_Raw!AA124,IF(ISNUMBER(RU_Raw!AA125),(AA123+RU_Raw!AA125)/2,IF(ISNUMBER(RU_Raw!AA126),AA123+(RU_Raw!AA126-AA123)/3,"")))</f>
        <v>181.1</v>
      </c>
      <c r="AB124" s="19">
        <f>IF(ISNUMBER(RU_Raw!AB124),RU_Raw!AB124,IF(ISNUMBER(RU_Raw!AB125),(AB123+RU_Raw!AB125)/2,IF(ISNUMBER(RU_Raw!AB126),AB123+(RU_Raw!AB126-AB123)/3,"")))</f>
        <v>163.4</v>
      </c>
      <c r="AC124" s="19">
        <f>IF(ISNUMBER(RU_Raw!AC124),RU_Raw!AC124,IF(ISNUMBER(RU_Raw!AC125),(AC123+RU_Raw!AC125)/2,IF(ISNUMBER(RU_Raw!AC126),AC123+(RU_Raw!AC126-AC123)/3,"")))</f>
        <v>168.9</v>
      </c>
      <c r="AD124" s="19">
        <f>IF(ISNUMBER(RU_Raw!AD124),RU_Raw!AD124,IF(ISNUMBER(RU_Raw!AD125),(AD123+RU_Raw!AD125)/2,IF(ISNUMBER(RU_Raw!AD126),AD123+(RU_Raw!AD126-AD123)/3,"")))</f>
        <v>174.1</v>
      </c>
      <c r="AE124" s="19">
        <f>IF(ISNUMBER(RU_Raw!AE124),RU_Raw!AE124,IF(ISNUMBER(RU_Raw!AE125),(AE123+RU_Raw!AE125)/2,IF(ISNUMBER(RU_Raw!AE126),AE123+(RU_Raw!AE126-AE123)/3,"")))</f>
        <v>175.8</v>
      </c>
      <c r="AF124" s="19">
        <f>IF(ISNUMBER(RU_Raw!AF124),RU_Raw!AF124,IF(ISNUMBER(RU_Raw!AF125),(AF123+RU_Raw!AF125)/2,IF(ISNUMBER(RU_Raw!AF126),AF123+(RU_Raw!AF126-AF123)/3,"")))</f>
        <v>172</v>
      </c>
      <c r="AG124" s="19">
        <f>IF(ISNUMBER(RU_Raw!AG124),RU_Raw!AG124,IF(ISNUMBER(RU_Raw!AG125),(AG123+RU_Raw!AG125)/2,IF(ISNUMBER(RU_Raw!AG126),AG123+(RU_Raw!AG126-AG123)/3,"")))</f>
        <v>175.7</v>
      </c>
      <c r="AH124" s="19">
        <f t="shared" si="3"/>
        <v>2107.5</v>
      </c>
    </row>
    <row r="125" spans="1:34">
      <c r="A125" s="6">
        <f>RU_Raw!A125</f>
        <v>2023</v>
      </c>
      <c r="B125" s="6">
        <f>RU_Raw!B125</f>
        <v>1</v>
      </c>
      <c r="C125" s="6" t="str">
        <f>RU_Raw!C125</f>
        <v>January</v>
      </c>
      <c r="D125" s="9">
        <f>RU_Raw!D125</f>
        <v>44927</v>
      </c>
      <c r="E125" s="6">
        <f>COUNTBLANK(RU_Raw!G125:AG125)</f>
        <v>0</v>
      </c>
      <c r="F125" s="6" t="str">
        <f t="shared" si="2"/>
        <v/>
      </c>
      <c r="G125" s="19">
        <f>IF(ISNUMBER(RU_Raw!G125),RU_Raw!G125,IF(ISNUMBER(RU_Raw!G126),(G124+RU_Raw!G126)/2,IF(ISNUMBER(RU_Raw!G127),G124+(RU_Raw!G127-G124)/3,"")))</f>
        <v>173.8</v>
      </c>
      <c r="H125" s="19">
        <f>IF(ISNUMBER(RU_Raw!H125),RU_Raw!H125,IF(ISNUMBER(RU_Raw!H126),(H124+RU_Raw!H126)/2,IF(ISNUMBER(RU_Raw!H127),H124+(RU_Raw!H127-H124)/3,"")))</f>
        <v>210.7</v>
      </c>
      <c r="I125" s="19">
        <f>IF(ISNUMBER(RU_Raw!I125),RU_Raw!I125,IF(ISNUMBER(RU_Raw!I126),(I124+RU_Raw!I126)/2,IF(ISNUMBER(RU_Raw!I127),I124+(RU_Raw!I127-I124)/3,"")))</f>
        <v>194.5</v>
      </c>
      <c r="J125" s="19">
        <f>IF(ISNUMBER(RU_Raw!J125),RU_Raw!J125,IF(ISNUMBER(RU_Raw!J126),(J124+RU_Raw!J126)/2,IF(ISNUMBER(RU_Raw!J127),J124+(RU_Raw!J127-J124)/3,"")))</f>
        <v>174.6</v>
      </c>
      <c r="K125" s="19">
        <f>IF(ISNUMBER(RU_Raw!K125),RU_Raw!K125,IF(ISNUMBER(RU_Raw!K126),(K124+RU_Raw!K126)/2,IF(ISNUMBER(RU_Raw!K127),K124+(RU_Raw!K127-K124)/3,"")))</f>
        <v>187.2</v>
      </c>
      <c r="L125" s="19">
        <f>IF(ISNUMBER(RU_Raw!L125),RU_Raw!L125,IF(ISNUMBER(RU_Raw!L126),(L124+RU_Raw!L126)/2,IF(ISNUMBER(RU_Raw!L127),L124+(RU_Raw!L127-L124)/3,"")))</f>
        <v>158.3</v>
      </c>
      <c r="M125" s="19">
        <f>IF(ISNUMBER(RU_Raw!M125),RU_Raw!M125,IF(ISNUMBER(RU_Raw!M126),(M124+RU_Raw!M126)/2,IF(ISNUMBER(RU_Raw!M127),M124+(RU_Raw!M127-M124)/3,"")))</f>
        <v>153.9</v>
      </c>
      <c r="N125" s="19">
        <f>IF(ISNUMBER(RU_Raw!N125),RU_Raw!N125,IF(ISNUMBER(RU_Raw!N126),(N124+RU_Raw!N126)/2,IF(ISNUMBER(RU_Raw!N127),N124+(RU_Raw!N127-N124)/3,"")))</f>
        <v>170.9</v>
      </c>
      <c r="O125" s="19">
        <f>IF(ISNUMBER(RU_Raw!O125),RU_Raw!O125,IF(ISNUMBER(RU_Raw!O126),(O124+RU_Raw!O126)/2,IF(ISNUMBER(RU_Raw!O127),O124+(RU_Raw!O127-O124)/3,"")))</f>
        <v>121.1</v>
      </c>
      <c r="P125" s="19">
        <f>IF(ISNUMBER(RU_Raw!P125),RU_Raw!P125,IF(ISNUMBER(RU_Raw!P126),(P124+RU_Raw!P126)/2,IF(ISNUMBER(RU_Raw!P127),P124+(RU_Raw!P127-P124)/3,"")))</f>
        <v>208.4</v>
      </c>
      <c r="Q125" s="19">
        <f>IF(ISNUMBER(RU_Raw!Q125),RU_Raw!Q125,IF(ISNUMBER(RU_Raw!Q126),(Q124+RU_Raw!Q126)/2,IF(ISNUMBER(RU_Raw!Q127),Q124+(RU_Raw!Q127-Q124)/3,"")))</f>
        <v>171.4</v>
      </c>
      <c r="R125" s="19">
        <f>IF(ISNUMBER(RU_Raw!R125),RU_Raw!R125,IF(ISNUMBER(RU_Raw!R126),(R124+RU_Raw!R126)/2,IF(ISNUMBER(RU_Raw!R127),R124+(RU_Raw!R127-R124)/3,"")))</f>
        <v>191.2</v>
      </c>
      <c r="S125" s="19">
        <f>IF(ISNUMBER(RU_Raw!S125),RU_Raw!S125,IF(ISNUMBER(RU_Raw!S126),(S124+RU_Raw!S126)/2,IF(ISNUMBER(RU_Raw!S127),S124+(RU_Raw!S127-S124)/3,"")))</f>
        <v>176.7</v>
      </c>
      <c r="T125" s="19">
        <f>IF(ISNUMBER(RU_Raw!T125),RU_Raw!T125,IF(ISNUMBER(RU_Raw!T126),(T124+RU_Raw!T126)/2,IF(ISNUMBER(RU_Raw!T127),T124+(RU_Raw!T127-T124)/3,"")))</f>
        <v>198.2</v>
      </c>
      <c r="U125" s="19">
        <f>IF(ISNUMBER(RU_Raw!U125),RU_Raw!U125,IF(ISNUMBER(RU_Raw!U126),(U124+RU_Raw!U126)/2,IF(ISNUMBER(RU_Raw!U127),U124+(RU_Raw!U127-U124)/3,"")))</f>
        <v>184.9</v>
      </c>
      <c r="V125" s="19">
        <f>IF(ISNUMBER(RU_Raw!V125),RU_Raw!V125,IF(ISNUMBER(RU_Raw!V126),(V124+RU_Raw!V126)/2,IF(ISNUMBER(RU_Raw!V127),V124+(RU_Raw!V127-V124)/3,"")))</f>
        <v>177.6</v>
      </c>
      <c r="W125" s="19">
        <f>IF(ISNUMBER(RU_Raw!W125),RU_Raw!W125,IF(ISNUMBER(RU_Raw!W126),(W124+RU_Raw!W126)/2,IF(ISNUMBER(RU_Raw!W127),W124+(RU_Raw!W127-W124)/3,"")))</f>
        <v>183.8</v>
      </c>
      <c r="X125" s="19">
        <f>IF(ISNUMBER(RU_Raw!X125),RU_Raw!X125,IF(ISNUMBER(RU_Raw!X126),(X124+RU_Raw!X126)/2,IF(ISNUMBER(RU_Raw!X127),X124+(RU_Raw!X127-X124)/3,"")))</f>
        <v>172.1</v>
      </c>
      <c r="Y125" s="19">
        <f>IF(ISNUMBER(RU_Raw!Y125),RU_Raw!Y125,IF(ISNUMBER(RU_Raw!Y126),(Y124+RU_Raw!Y126)/2,IF(ISNUMBER(RU_Raw!Y127),Y124+(RU_Raw!Y127-Y124)/3,"")))</f>
        <v>182</v>
      </c>
      <c r="Z125" s="19">
        <f>IF(ISNUMBER(RU_Raw!Z125),RU_Raw!Z125,IF(ISNUMBER(RU_Raw!Z126),(Z124+RU_Raw!Z126)/2,IF(ISNUMBER(RU_Raw!Z127),Z124+(RU_Raw!Z127-Z124)/3,"")))</f>
        <v>172.9</v>
      </c>
      <c r="AA125" s="19">
        <f>IF(ISNUMBER(RU_Raw!AA125),RU_Raw!AA125,IF(ISNUMBER(RU_Raw!AA126),(AA124+RU_Raw!AA126)/2,IF(ISNUMBER(RU_Raw!AA127),AA124+(RU_Raw!AA127-AA124)/3,"")))</f>
        <v>182.3</v>
      </c>
      <c r="AB125" s="19">
        <f>IF(ISNUMBER(RU_Raw!AB125),RU_Raw!AB125,IF(ISNUMBER(RU_Raw!AB126),(AB124+RU_Raw!AB126)/2,IF(ISNUMBER(RU_Raw!AB127),AB124+(RU_Raw!AB127-AB124)/3,"")))</f>
        <v>163.6</v>
      </c>
      <c r="AC125" s="19">
        <f>IF(ISNUMBER(RU_Raw!AC125),RU_Raw!AC125,IF(ISNUMBER(RU_Raw!AC126),(AC124+RU_Raw!AC126)/2,IF(ISNUMBER(RU_Raw!AC127),AC124+(RU_Raw!AC127-AC124)/3,"")))</f>
        <v>169.5</v>
      </c>
      <c r="AD125" s="19">
        <f>IF(ISNUMBER(RU_Raw!AD125),RU_Raw!AD125,IF(ISNUMBER(RU_Raw!AD126),(AD124+RU_Raw!AD126)/2,IF(ISNUMBER(RU_Raw!AD127),AD124+(RU_Raw!AD127-AD124)/3,"")))</f>
        <v>174.3</v>
      </c>
      <c r="AE125" s="19">
        <f>IF(ISNUMBER(RU_Raw!AE125),RU_Raw!AE125,IF(ISNUMBER(RU_Raw!AE126),(AE124+RU_Raw!AE126)/2,IF(ISNUMBER(RU_Raw!AE127),AE124+(RU_Raw!AE127-AE124)/3,"")))</f>
        <v>178.6</v>
      </c>
      <c r="AF125" s="19">
        <f>IF(ISNUMBER(RU_Raw!AF125),RU_Raw!AF125,IF(ISNUMBER(RU_Raw!AF126),(AF124+RU_Raw!AF126)/2,IF(ISNUMBER(RU_Raw!AF127),AF124+(RU_Raw!AF127-AF124)/3,"")))</f>
        <v>172.8</v>
      </c>
      <c r="AG125" s="19">
        <f>IF(ISNUMBER(RU_Raw!AG125),RU_Raw!AG125,IF(ISNUMBER(RU_Raw!AG126),(AG124+RU_Raw!AG126)/2,IF(ISNUMBER(RU_Raw!AG127),AG124+(RU_Raw!AG127-AG124)/3,"")))</f>
        <v>176.5</v>
      </c>
      <c r="AH125" s="19">
        <f t="shared" si="3"/>
        <v>2116</v>
      </c>
    </row>
    <row r="126" spans="1:34">
      <c r="A126" s="6">
        <f>RU_Raw!A126</f>
        <v>2023</v>
      </c>
      <c r="B126" s="6">
        <f>RU_Raw!B126</f>
        <v>2</v>
      </c>
      <c r="C126" s="6" t="str">
        <f>RU_Raw!C126</f>
        <v>February</v>
      </c>
      <c r="D126" s="9">
        <f>RU_Raw!D126</f>
        <v>44958</v>
      </c>
      <c r="E126" s="6">
        <f>COUNTBLANK(RU_Raw!G126:AG126)</f>
        <v>0</v>
      </c>
      <c r="F126" s="6" t="str">
        <f t="shared" si="2"/>
        <v/>
      </c>
      <c r="G126" s="19">
        <f>IF(ISNUMBER(RU_Raw!G126),RU_Raw!G126,IF(ISNUMBER(RU_Raw!G127),(G125+RU_Raw!G127)/2,IF(ISNUMBER(RU_Raw!G128),G125+(RU_Raw!G128-G125)/3,"")))</f>
        <v>174.4</v>
      </c>
      <c r="H126" s="19">
        <f>IF(ISNUMBER(RU_Raw!H126),RU_Raw!H126,IF(ISNUMBER(RU_Raw!H127),(H125+RU_Raw!H127)/2,IF(ISNUMBER(RU_Raw!H128),H125+(RU_Raw!H128-H125)/3,"")))</f>
        <v>207.7</v>
      </c>
      <c r="I126" s="19">
        <f>IF(ISNUMBER(RU_Raw!I126),RU_Raw!I126,IF(ISNUMBER(RU_Raw!I127),(I125+RU_Raw!I127)/2,IF(ISNUMBER(RU_Raw!I128),I125+(RU_Raw!I128-I125)/3,"")))</f>
        <v>175.2</v>
      </c>
      <c r="J126" s="19">
        <f>IF(ISNUMBER(RU_Raw!J126),RU_Raw!J126,IF(ISNUMBER(RU_Raw!J127),(J125+RU_Raw!J127)/2,IF(ISNUMBER(RU_Raw!J128),J125+(RU_Raw!J128-J125)/3,"")))</f>
        <v>177.3</v>
      </c>
      <c r="K126" s="19">
        <f>IF(ISNUMBER(RU_Raw!K126),RU_Raw!K126,IF(ISNUMBER(RU_Raw!K127),(K125+RU_Raw!K127)/2,IF(ISNUMBER(RU_Raw!K128),K125+(RU_Raw!K128-K125)/3,"")))</f>
        <v>179.3</v>
      </c>
      <c r="L126" s="19">
        <f>IF(ISNUMBER(RU_Raw!L126),RU_Raw!L126,IF(ISNUMBER(RU_Raw!L127),(L125+RU_Raw!L127)/2,IF(ISNUMBER(RU_Raw!L128),L125+(RU_Raw!L128-L125)/3,"")))</f>
        <v>169.5</v>
      </c>
      <c r="M126" s="19">
        <f>IF(ISNUMBER(RU_Raw!M126),RU_Raw!M126,IF(ISNUMBER(RU_Raw!M127),(M125+RU_Raw!M127)/2,IF(ISNUMBER(RU_Raw!M128),M125+(RU_Raw!M128-M125)/3,"")))</f>
        <v>152.7</v>
      </c>
      <c r="N126" s="19">
        <f>IF(ISNUMBER(RU_Raw!N126),RU_Raw!N126,IF(ISNUMBER(RU_Raw!N127),(N125+RU_Raw!N127)/2,IF(ISNUMBER(RU_Raw!N128),N125+(RU_Raw!N128-N125)/3,"")))</f>
        <v>171</v>
      </c>
      <c r="O126" s="19">
        <f>IF(ISNUMBER(RU_Raw!O126),RU_Raw!O126,IF(ISNUMBER(RU_Raw!O127),(O125+RU_Raw!O127)/2,IF(ISNUMBER(RU_Raw!O128),O125+(RU_Raw!O128-O125)/3,"")))</f>
        <v>120</v>
      </c>
      <c r="P126" s="19">
        <f>IF(ISNUMBER(RU_Raw!P126),RU_Raw!P126,IF(ISNUMBER(RU_Raw!P127),(P125+RU_Raw!P127)/2,IF(ISNUMBER(RU_Raw!P128),P125+(RU_Raw!P128-P125)/3,"")))</f>
        <v>209.7</v>
      </c>
      <c r="Q126" s="19">
        <f>IF(ISNUMBER(RU_Raw!Q126),RU_Raw!Q126,IF(ISNUMBER(RU_Raw!Q127),(Q125+RU_Raw!Q127)/2,IF(ISNUMBER(RU_Raw!Q128),Q125+(RU_Raw!Q128-Q125)/3,"")))</f>
        <v>172.3</v>
      </c>
      <c r="R126" s="19">
        <f>IF(ISNUMBER(RU_Raw!R126),RU_Raw!R126,IF(ISNUMBER(RU_Raw!R127),(R125+RU_Raw!R127)/2,IF(ISNUMBER(RU_Raw!R128),R125+(RU_Raw!R128-R125)/3,"")))</f>
        <v>193</v>
      </c>
      <c r="S126" s="19">
        <f>IF(ISNUMBER(RU_Raw!S126),RU_Raw!S126,IF(ISNUMBER(RU_Raw!S127),(S125+RU_Raw!S127)/2,IF(ISNUMBER(RU_Raw!S128),S125+(RU_Raw!S128-S125)/3,"")))</f>
        <v>177</v>
      </c>
      <c r="T126" s="19">
        <f>IF(ISNUMBER(RU_Raw!T126),RU_Raw!T126,IF(ISNUMBER(RU_Raw!T127),(T125+RU_Raw!T127)/2,IF(ISNUMBER(RU_Raw!T128),T125+(RU_Raw!T128-T125)/3,"")))</f>
        <v>199.5</v>
      </c>
      <c r="U126" s="19">
        <f>IF(ISNUMBER(RU_Raw!U126),RU_Raw!U126,IF(ISNUMBER(RU_Raw!U127),(U125+RU_Raw!U127)/2,IF(ISNUMBER(RU_Raw!U128),U125+(RU_Raw!U128-U125)/3,"")))</f>
        <v>186.2</v>
      </c>
      <c r="V126" s="19">
        <f>IF(ISNUMBER(RU_Raw!V126),RU_Raw!V126,IF(ISNUMBER(RU_Raw!V127),(V125+RU_Raw!V127)/2,IF(ISNUMBER(RU_Raw!V128),V125+(RU_Raw!V128-V125)/3,"")))</f>
        <v>178.7</v>
      </c>
      <c r="W126" s="19">
        <f>IF(ISNUMBER(RU_Raw!W126),RU_Raw!W126,IF(ISNUMBER(RU_Raw!W127),(W125+RU_Raw!W127)/2,IF(ISNUMBER(RU_Raw!W128),W125+(RU_Raw!W128-W125)/3,"")))</f>
        <v>185.1</v>
      </c>
      <c r="X126" s="19">
        <f>IF(ISNUMBER(RU_Raw!X126),RU_Raw!X126,IF(ISNUMBER(RU_Raw!X127),(X125+RU_Raw!X127)/2,IF(ISNUMBER(RU_Raw!X128),X125+(RU_Raw!X128-X125)/3,"")))</f>
        <v>173.5</v>
      </c>
      <c r="Y126" s="19">
        <f>IF(ISNUMBER(RU_Raw!Y126),RU_Raw!Y126,IF(ISNUMBER(RU_Raw!Y127),(Y125+RU_Raw!Y127)/2,IF(ISNUMBER(RU_Raw!Y128),Y125+(RU_Raw!Y128-Y125)/3,"")))</f>
        <v>182.1</v>
      </c>
      <c r="Z126" s="19">
        <f>IF(ISNUMBER(RU_Raw!Z126),RU_Raw!Z126,IF(ISNUMBER(RU_Raw!Z127),(Z125+RU_Raw!Z127)/2,IF(ISNUMBER(RU_Raw!Z128),Z125+(RU_Raw!Z128-Z125)/3,"")))</f>
        <v>174.2</v>
      </c>
      <c r="AA126" s="19">
        <f>IF(ISNUMBER(RU_Raw!AA126),RU_Raw!AA126,IF(ISNUMBER(RU_Raw!AA127),(AA125+RU_Raw!AA127)/2,IF(ISNUMBER(RU_Raw!AA128),AA125+(RU_Raw!AA128-AA125)/3,"")))</f>
        <v>184.4</v>
      </c>
      <c r="AB126" s="19">
        <f>IF(ISNUMBER(RU_Raw!AB126),RU_Raw!AB126,IF(ISNUMBER(RU_Raw!AB127),(AB125+RU_Raw!AB127)/2,IF(ISNUMBER(RU_Raw!AB128),AB125+(RU_Raw!AB128-AB125)/3,"")))</f>
        <v>164.2</v>
      </c>
      <c r="AC126" s="19">
        <f>IF(ISNUMBER(RU_Raw!AC126),RU_Raw!AC126,IF(ISNUMBER(RU_Raw!AC127),(AC125+RU_Raw!AC127)/2,IF(ISNUMBER(RU_Raw!AC128),AC125+(RU_Raw!AC128-AC125)/3,"")))</f>
        <v>170.3</v>
      </c>
      <c r="AD126" s="19">
        <f>IF(ISNUMBER(RU_Raw!AD126),RU_Raw!AD126,IF(ISNUMBER(RU_Raw!AD127),(AD125+RU_Raw!AD127)/2,IF(ISNUMBER(RU_Raw!AD128),AD125+(RU_Raw!AD128-AD125)/3,"")))</f>
        <v>175</v>
      </c>
      <c r="AE126" s="19">
        <f>IF(ISNUMBER(RU_Raw!AE126),RU_Raw!AE126,IF(ISNUMBER(RU_Raw!AE127),(AE125+RU_Raw!AE127)/2,IF(ISNUMBER(RU_Raw!AE128),AE125+(RU_Raw!AE128-AE125)/3,"")))</f>
        <v>181</v>
      </c>
      <c r="AF126" s="19">
        <f>IF(ISNUMBER(RU_Raw!AF126),RU_Raw!AF126,IF(ISNUMBER(RU_Raw!AF127),(AF125+RU_Raw!AF127)/2,IF(ISNUMBER(RU_Raw!AF128),AF125+(RU_Raw!AF128-AF125)/3,"")))</f>
        <v>174.1</v>
      </c>
      <c r="AG126" s="19">
        <f>IF(ISNUMBER(RU_Raw!AG126),RU_Raw!AG126,IF(ISNUMBER(RU_Raw!AG127),(AG125+RU_Raw!AG127)/2,IF(ISNUMBER(RU_Raw!AG128),AG125+(RU_Raw!AG128-AG125)/3,"")))</f>
        <v>177.2</v>
      </c>
      <c r="AH126" s="19">
        <f t="shared" si="3"/>
        <v>2102.1</v>
      </c>
    </row>
    <row r="127" spans="1:34">
      <c r="A127" s="6">
        <f>RU_Raw!A127</f>
        <v>2023</v>
      </c>
      <c r="B127" s="6">
        <f>RU_Raw!B127</f>
        <v>3</v>
      </c>
      <c r="C127" s="6" t="str">
        <f>RU_Raw!C127</f>
        <v>March</v>
      </c>
      <c r="D127" s="9">
        <f>RU_Raw!D127</f>
        <v>44986</v>
      </c>
      <c r="E127" s="6">
        <f>COUNTBLANK(RU_Raw!G127:AG127)</f>
        <v>0</v>
      </c>
      <c r="F127" s="6" t="str">
        <f t="shared" si="2"/>
        <v/>
      </c>
      <c r="G127" s="19">
        <f>IF(ISNUMBER(RU_Raw!G127),RU_Raw!G127,IF(ISNUMBER(RU_Raw!G128),(G126+RU_Raw!G128)/2,IF(ISNUMBER(RU_Raw!G129),G126+(RU_Raw!G129-G126)/3,"")))</f>
        <v>174.4</v>
      </c>
      <c r="H127" s="19">
        <f>IF(ISNUMBER(RU_Raw!H127),RU_Raw!H127,IF(ISNUMBER(RU_Raw!H128),(H126+RU_Raw!H128)/2,IF(ISNUMBER(RU_Raw!H129),H126+(RU_Raw!H129-H126)/3,"")))</f>
        <v>207.7</v>
      </c>
      <c r="I127" s="19">
        <f>IF(ISNUMBER(RU_Raw!I127),RU_Raw!I127,IF(ISNUMBER(RU_Raw!I128),(I126+RU_Raw!I128)/2,IF(ISNUMBER(RU_Raw!I129),I126+(RU_Raw!I129-I126)/3,"")))</f>
        <v>175.2</v>
      </c>
      <c r="J127" s="19">
        <f>IF(ISNUMBER(RU_Raw!J127),RU_Raw!J127,IF(ISNUMBER(RU_Raw!J128),(J126+RU_Raw!J128)/2,IF(ISNUMBER(RU_Raw!J129),J126+(RU_Raw!J129-J126)/3,"")))</f>
        <v>177.3</v>
      </c>
      <c r="K127" s="19">
        <f>IF(ISNUMBER(RU_Raw!K127),RU_Raw!K127,IF(ISNUMBER(RU_Raw!K128),(K126+RU_Raw!K128)/2,IF(ISNUMBER(RU_Raw!K129),K126+(RU_Raw!K129-K126)/3,"")))</f>
        <v>179.2</v>
      </c>
      <c r="L127" s="19">
        <f>IF(ISNUMBER(RU_Raw!L127),RU_Raw!L127,IF(ISNUMBER(RU_Raw!L128),(L126+RU_Raw!L128)/2,IF(ISNUMBER(RU_Raw!L129),L126+(RU_Raw!L129-L126)/3,"")))</f>
        <v>169.5</v>
      </c>
      <c r="M127" s="19">
        <f>IF(ISNUMBER(RU_Raw!M127),RU_Raw!M127,IF(ISNUMBER(RU_Raw!M128),(M126+RU_Raw!M128)/2,IF(ISNUMBER(RU_Raw!M129),M126+(RU_Raw!M129-M126)/3,"")))</f>
        <v>152.8</v>
      </c>
      <c r="N127" s="19">
        <f>IF(ISNUMBER(RU_Raw!N127),RU_Raw!N127,IF(ISNUMBER(RU_Raw!N128),(N126+RU_Raw!N128)/2,IF(ISNUMBER(RU_Raw!N129),N126+(RU_Raw!N129-N126)/3,"")))</f>
        <v>171.1</v>
      </c>
      <c r="O127" s="19">
        <f>IF(ISNUMBER(RU_Raw!O127),RU_Raw!O127,IF(ISNUMBER(RU_Raw!O128),(O126+RU_Raw!O128)/2,IF(ISNUMBER(RU_Raw!O129),O126+(RU_Raw!O129-O126)/3,"")))</f>
        <v>120</v>
      </c>
      <c r="P127" s="19">
        <f>IF(ISNUMBER(RU_Raw!P127),RU_Raw!P127,IF(ISNUMBER(RU_Raw!P128),(P126+RU_Raw!P128)/2,IF(ISNUMBER(RU_Raw!P129),P126+(RU_Raw!P129-P126)/3,"")))</f>
        <v>209.7</v>
      </c>
      <c r="Q127" s="19">
        <f>IF(ISNUMBER(RU_Raw!Q127),RU_Raw!Q127,IF(ISNUMBER(RU_Raw!Q128),(Q126+RU_Raw!Q128)/2,IF(ISNUMBER(RU_Raw!Q129),Q126+(RU_Raw!Q129-Q126)/3,"")))</f>
        <v>172.3</v>
      </c>
      <c r="R127" s="19">
        <f>IF(ISNUMBER(RU_Raw!R127),RU_Raw!R127,IF(ISNUMBER(RU_Raw!R128),(R126+RU_Raw!R128)/2,IF(ISNUMBER(RU_Raw!R129),R126+(RU_Raw!R129-R126)/3,"")))</f>
        <v>193</v>
      </c>
      <c r="S127" s="19">
        <f>IF(ISNUMBER(RU_Raw!S127),RU_Raw!S127,IF(ISNUMBER(RU_Raw!S128),(S126+RU_Raw!S128)/2,IF(ISNUMBER(RU_Raw!S129),S126+(RU_Raw!S129-S126)/3,"")))</f>
        <v>177</v>
      </c>
      <c r="T127" s="19">
        <f>IF(ISNUMBER(RU_Raw!T127),RU_Raw!T127,IF(ISNUMBER(RU_Raw!T128),(T126+RU_Raw!T128)/2,IF(ISNUMBER(RU_Raw!T129),T126+(RU_Raw!T129-T126)/3,"")))</f>
        <v>199.5</v>
      </c>
      <c r="U127" s="19">
        <f>IF(ISNUMBER(RU_Raw!U127),RU_Raw!U127,IF(ISNUMBER(RU_Raw!U128),(U126+RU_Raw!U128)/2,IF(ISNUMBER(RU_Raw!U129),U126+(RU_Raw!U129-U126)/3,"")))</f>
        <v>186.1</v>
      </c>
      <c r="V127" s="19">
        <f>IF(ISNUMBER(RU_Raw!V127),RU_Raw!V127,IF(ISNUMBER(RU_Raw!V128),(V126+RU_Raw!V128)/2,IF(ISNUMBER(RU_Raw!V129),V126+(RU_Raw!V129-V126)/3,"")))</f>
        <v>178.7</v>
      </c>
      <c r="W127" s="19">
        <f>IF(ISNUMBER(RU_Raw!W127),RU_Raw!W127,IF(ISNUMBER(RU_Raw!W128),(W126+RU_Raw!W128)/2,IF(ISNUMBER(RU_Raw!W129),W126+(RU_Raw!W129-W126)/3,"")))</f>
        <v>185.1</v>
      </c>
      <c r="X127" s="19">
        <f>IF(ISNUMBER(RU_Raw!X127),RU_Raw!X127,IF(ISNUMBER(RU_Raw!X128),(X126+RU_Raw!X128)/2,IF(ISNUMBER(RU_Raw!X129),X126+(RU_Raw!X129-X126)/3,"")))</f>
        <v>173.5</v>
      </c>
      <c r="Y127" s="19">
        <f>IF(ISNUMBER(RU_Raw!Y127),RU_Raw!Y127,IF(ISNUMBER(RU_Raw!Y128),(Y126+RU_Raw!Y128)/2,IF(ISNUMBER(RU_Raw!Y129),Y126+(RU_Raw!Y129-Y126)/3,"")))</f>
        <v>181.9</v>
      </c>
      <c r="Z127" s="19">
        <f>IF(ISNUMBER(RU_Raw!Z127),RU_Raw!Z127,IF(ISNUMBER(RU_Raw!Z128),(Z126+RU_Raw!Z128)/2,IF(ISNUMBER(RU_Raw!Z129),Z126+(RU_Raw!Z129-Z126)/3,"")))</f>
        <v>174.2</v>
      </c>
      <c r="AA127" s="19">
        <f>IF(ISNUMBER(RU_Raw!AA127),RU_Raw!AA127,IF(ISNUMBER(RU_Raw!AA128),(AA126+RU_Raw!AA128)/2,IF(ISNUMBER(RU_Raw!AA129),AA126+(RU_Raw!AA129-AA126)/3,"")))</f>
        <v>184.4</v>
      </c>
      <c r="AB127" s="19">
        <f>IF(ISNUMBER(RU_Raw!AB127),RU_Raw!AB127,IF(ISNUMBER(RU_Raw!AB128),(AB126+RU_Raw!AB128)/2,IF(ISNUMBER(RU_Raw!AB129),AB126+(RU_Raw!AB129-AB126)/3,"")))</f>
        <v>164.2</v>
      </c>
      <c r="AC127" s="19">
        <f>IF(ISNUMBER(RU_Raw!AC127),RU_Raw!AC127,IF(ISNUMBER(RU_Raw!AC128),(AC126+RU_Raw!AC128)/2,IF(ISNUMBER(RU_Raw!AC129),AC126+(RU_Raw!AC129-AC126)/3,"")))</f>
        <v>170.3</v>
      </c>
      <c r="AD127" s="19">
        <f>IF(ISNUMBER(RU_Raw!AD127),RU_Raw!AD127,IF(ISNUMBER(RU_Raw!AD128),(AD126+RU_Raw!AD128)/2,IF(ISNUMBER(RU_Raw!AD129),AD126+(RU_Raw!AD129-AD126)/3,"")))</f>
        <v>175</v>
      </c>
      <c r="AE127" s="19">
        <f>IF(ISNUMBER(RU_Raw!AE127),RU_Raw!AE127,IF(ISNUMBER(RU_Raw!AE128),(AE126+RU_Raw!AE128)/2,IF(ISNUMBER(RU_Raw!AE129),AE126+(RU_Raw!AE129-AE126)/3,"")))</f>
        <v>181</v>
      </c>
      <c r="AF127" s="19">
        <f>IF(ISNUMBER(RU_Raw!AF127),RU_Raw!AF127,IF(ISNUMBER(RU_Raw!AF128),(AF126+RU_Raw!AF128)/2,IF(ISNUMBER(RU_Raw!AF129),AF126+(RU_Raw!AF129-AF126)/3,"")))</f>
        <v>174.1</v>
      </c>
      <c r="AG127" s="19">
        <f>IF(ISNUMBER(RU_Raw!AG127),RU_Raw!AG127,IF(ISNUMBER(RU_Raw!AG128),(AG126+RU_Raw!AG128)/2,IF(ISNUMBER(RU_Raw!AG129),AG126+(RU_Raw!AG129-AG126)/3,"")))</f>
        <v>177.2</v>
      </c>
      <c r="AH127" s="19">
        <f t="shared" si="3"/>
        <v>2102.2</v>
      </c>
    </row>
    <row r="128" spans="1:34">
      <c r="A128" s="6">
        <f>RU_Raw!A128</f>
        <v>2023</v>
      </c>
      <c r="B128" s="6">
        <f>RU_Raw!B128</f>
        <v>4</v>
      </c>
      <c r="C128" s="6" t="str">
        <f>RU_Raw!C128</f>
        <v>April</v>
      </c>
      <c r="D128" s="9">
        <f>RU_Raw!D128</f>
        <v>45017</v>
      </c>
      <c r="E128" s="6">
        <f>COUNTBLANK(RU_Raw!G128:AG128)</f>
        <v>0</v>
      </c>
      <c r="F128" s="6" t="str">
        <f t="shared" si="2"/>
        <v/>
      </c>
      <c r="G128" s="19">
        <f>IF(ISNUMBER(RU_Raw!G128),RU_Raw!G128,IF(ISNUMBER(RU_Raw!G129),(G127+RU_Raw!G129)/2,IF(ISNUMBER(RU_Raw!G130),G127+(RU_Raw!G130-G127)/3,"")))</f>
        <v>173.8</v>
      </c>
      <c r="H128" s="19">
        <f>IF(ISNUMBER(RU_Raw!H128),RU_Raw!H128,IF(ISNUMBER(RU_Raw!H129),(H127+RU_Raw!H129)/2,IF(ISNUMBER(RU_Raw!H130),H127+(RU_Raw!H130-H127)/3,"")))</f>
        <v>209.3</v>
      </c>
      <c r="I128" s="19">
        <f>IF(ISNUMBER(RU_Raw!I128),RU_Raw!I128,IF(ISNUMBER(RU_Raw!I129),(I127+RU_Raw!I129)/2,IF(ISNUMBER(RU_Raw!I130),I127+(RU_Raw!I130-I127)/3,"")))</f>
        <v>169.6</v>
      </c>
      <c r="J128" s="19">
        <f>IF(ISNUMBER(RU_Raw!J128),RU_Raw!J128,IF(ISNUMBER(RU_Raw!J129),(J127+RU_Raw!J129)/2,IF(ISNUMBER(RU_Raw!J130),J127+(RU_Raw!J130-J127)/3,"")))</f>
        <v>178.4</v>
      </c>
      <c r="K128" s="19">
        <f>IF(ISNUMBER(RU_Raw!K128),RU_Raw!K128,IF(ISNUMBER(RU_Raw!K129),(K127+RU_Raw!K129)/2,IF(ISNUMBER(RU_Raw!K130),K127+(RU_Raw!K130-K127)/3,"")))</f>
        <v>174.9</v>
      </c>
      <c r="L128" s="19">
        <f>IF(ISNUMBER(RU_Raw!L128),RU_Raw!L128,IF(ISNUMBER(RU_Raw!L129),(L127+RU_Raw!L129)/2,IF(ISNUMBER(RU_Raw!L130),L127+(RU_Raw!L130-L127)/3,"")))</f>
        <v>176.3</v>
      </c>
      <c r="M128" s="19">
        <f>IF(ISNUMBER(RU_Raw!M128),RU_Raw!M128,IF(ISNUMBER(RU_Raw!M129),(M127+RU_Raw!M129)/2,IF(ISNUMBER(RU_Raw!M130),M127+(RU_Raw!M130-M127)/3,"")))</f>
        <v>155.4</v>
      </c>
      <c r="N128" s="19">
        <f>IF(ISNUMBER(RU_Raw!N128),RU_Raw!N128,IF(ISNUMBER(RU_Raw!N129),(N127+RU_Raw!N129)/2,IF(ISNUMBER(RU_Raw!N130),N127+(RU_Raw!N130-N127)/3,"")))</f>
        <v>173.4</v>
      </c>
      <c r="O128" s="19">
        <f>IF(ISNUMBER(RU_Raw!O128),RU_Raw!O128,IF(ISNUMBER(RU_Raw!O129),(O127+RU_Raw!O129)/2,IF(ISNUMBER(RU_Raw!O130),O127+(RU_Raw!O130-O127)/3,"")))</f>
        <v>121.3</v>
      </c>
      <c r="P128" s="19">
        <f>IF(ISNUMBER(RU_Raw!P128),RU_Raw!P128,IF(ISNUMBER(RU_Raw!P129),(P127+RU_Raw!P129)/2,IF(ISNUMBER(RU_Raw!P130),P127+(RU_Raw!P130-P127)/3,"")))</f>
        <v>212.9</v>
      </c>
      <c r="Q128" s="19">
        <f>IF(ISNUMBER(RU_Raw!Q128),RU_Raw!Q128,IF(ISNUMBER(RU_Raw!Q129),(Q127+RU_Raw!Q129)/2,IF(ISNUMBER(RU_Raw!Q130),Q127+(RU_Raw!Q130-Q127)/3,"")))</f>
        <v>172.9</v>
      </c>
      <c r="R128" s="19">
        <f>IF(ISNUMBER(RU_Raw!R128),RU_Raw!R128,IF(ISNUMBER(RU_Raw!R129),(R127+RU_Raw!R129)/2,IF(ISNUMBER(RU_Raw!R130),R127+(RU_Raw!R130-R127)/3,"")))</f>
        <v>193.5</v>
      </c>
      <c r="S128" s="19">
        <f>IF(ISNUMBER(RU_Raw!S128),RU_Raw!S128,IF(ISNUMBER(RU_Raw!S129),(S127+RU_Raw!S129)/2,IF(ISNUMBER(RU_Raw!S130),S127+(RU_Raw!S130-S127)/3,"")))</f>
        <v>177.9</v>
      </c>
      <c r="T128" s="19">
        <f>IF(ISNUMBER(RU_Raw!T128),RU_Raw!T128,IF(ISNUMBER(RU_Raw!T129),(T127+RU_Raw!T129)/2,IF(ISNUMBER(RU_Raw!T130),T127+(RU_Raw!T130-T127)/3,"")))</f>
        <v>200.6</v>
      </c>
      <c r="U128" s="19">
        <f>IF(ISNUMBER(RU_Raw!U128),RU_Raw!U128,IF(ISNUMBER(RU_Raw!U129),(U127+RU_Raw!U129)/2,IF(ISNUMBER(RU_Raw!U130),U127+(RU_Raw!U130-U127)/3,"")))</f>
        <v>186.9</v>
      </c>
      <c r="V128" s="19">
        <f>IF(ISNUMBER(RU_Raw!V128),RU_Raw!V128,IF(ISNUMBER(RU_Raw!V129),(V127+RU_Raw!V129)/2,IF(ISNUMBER(RU_Raw!V130),V127+(RU_Raw!V130-V127)/3,"")))</f>
        <v>179.2</v>
      </c>
      <c r="W128" s="19">
        <f>IF(ISNUMBER(RU_Raw!W128),RU_Raw!W128,IF(ISNUMBER(RU_Raw!W129),(W127+RU_Raw!W129)/2,IF(ISNUMBER(RU_Raw!W130),W127+(RU_Raw!W130-W127)/3,"")))</f>
        <v>185.7</v>
      </c>
      <c r="X128" s="19">
        <f>IF(ISNUMBER(RU_Raw!X128),RU_Raw!X128,IF(ISNUMBER(RU_Raw!X129),(X127+RU_Raw!X129)/2,IF(ISNUMBER(RU_Raw!X130),X127+(RU_Raw!X130-X127)/3,"")))</f>
        <v>175.2</v>
      </c>
      <c r="Y128" s="19">
        <f>IF(ISNUMBER(RU_Raw!Y128),RU_Raw!Y128,IF(ISNUMBER(RU_Raw!Y129),(Y127+RU_Raw!Y129)/2,IF(ISNUMBER(RU_Raw!Y130),Y127+(RU_Raw!Y130-Y127)/3,"")))</f>
        <v>181.7</v>
      </c>
      <c r="Z128" s="19">
        <f>IF(ISNUMBER(RU_Raw!Z128),RU_Raw!Z128,IF(ISNUMBER(RU_Raw!Z129),(Z127+RU_Raw!Z129)/2,IF(ISNUMBER(RU_Raw!Z130),Z127+(RU_Raw!Z130-Z127)/3,"")))</f>
        <v>174.6</v>
      </c>
      <c r="AA128" s="19">
        <f>IF(ISNUMBER(RU_Raw!AA128),RU_Raw!AA128,IF(ISNUMBER(RU_Raw!AA129),(AA127+RU_Raw!AA129)/2,IF(ISNUMBER(RU_Raw!AA130),AA127+(RU_Raw!AA130-AA127)/3,"")))</f>
        <v>185</v>
      </c>
      <c r="AB128" s="19">
        <f>IF(ISNUMBER(RU_Raw!AB128),RU_Raw!AB128,IF(ISNUMBER(RU_Raw!AB129),(AB127+RU_Raw!AB129)/2,IF(ISNUMBER(RU_Raw!AB130),AB127+(RU_Raw!AB130-AB127)/3,"")))</f>
        <v>164.5</v>
      </c>
      <c r="AC128" s="19">
        <f>IF(ISNUMBER(RU_Raw!AC128),RU_Raw!AC128,IF(ISNUMBER(RU_Raw!AC129),(AC127+RU_Raw!AC129)/2,IF(ISNUMBER(RU_Raw!AC130),AC127+(RU_Raw!AC130-AC127)/3,"")))</f>
        <v>170.7</v>
      </c>
      <c r="AD128" s="19">
        <f>IF(ISNUMBER(RU_Raw!AD128),RU_Raw!AD128,IF(ISNUMBER(RU_Raw!AD129),(AD127+RU_Raw!AD129)/2,IF(ISNUMBER(RU_Raw!AD130),AD127+(RU_Raw!AD130-AD127)/3,"")))</f>
        <v>176.4</v>
      </c>
      <c r="AE128" s="19">
        <f>IF(ISNUMBER(RU_Raw!AE128),RU_Raw!AE128,IF(ISNUMBER(RU_Raw!AE129),(AE127+RU_Raw!AE129)/2,IF(ISNUMBER(RU_Raw!AE130),AE127+(RU_Raw!AE130-AE127)/3,"")))</f>
        <v>184</v>
      </c>
      <c r="AF128" s="19">
        <f>IF(ISNUMBER(RU_Raw!AF128),RU_Raw!AF128,IF(ISNUMBER(RU_Raw!AF129),(AF127+RU_Raw!AF129)/2,IF(ISNUMBER(RU_Raw!AF130),AF127+(RU_Raw!AF130-AF127)/3,"")))</f>
        <v>175</v>
      </c>
      <c r="AG128" s="19">
        <f>IF(ISNUMBER(RU_Raw!AG128),RU_Raw!AG128,IF(ISNUMBER(RU_Raw!AG129),(AG127+RU_Raw!AG129)/2,IF(ISNUMBER(RU_Raw!AG130),AG127+(RU_Raw!AG130-AG127)/3,"")))</f>
        <v>178.1</v>
      </c>
      <c r="AH128" s="19">
        <f t="shared" si="3"/>
        <v>2111.7</v>
      </c>
    </row>
    <row r="129" spans="1:34">
      <c r="A129" s="6">
        <f>RU_Raw!A129</f>
        <v>2023</v>
      </c>
      <c r="B129" s="6">
        <f>RU_Raw!B129</f>
        <v>5</v>
      </c>
      <c r="C129" s="6" t="str">
        <f>RU_Raw!C129</f>
        <v>May</v>
      </c>
      <c r="D129" s="9">
        <f>RU_Raw!D129</f>
        <v>45047</v>
      </c>
      <c r="E129" s="6">
        <f>COUNTBLANK(RU_Raw!G129:AG129)</f>
        <v>0</v>
      </c>
      <c r="F129" s="6" t="str">
        <f t="shared" si="2"/>
        <v/>
      </c>
      <c r="G129" s="19">
        <f>IF(ISNUMBER(RU_Raw!G129),RU_Raw!G129,IF(ISNUMBER(RU_Raw!G130),(G128+RU_Raw!G130)/2,IF(ISNUMBER(RU_Raw!G131),G128+(RU_Raw!G131-G128)/3,"")))</f>
        <v>173.7</v>
      </c>
      <c r="H129" s="19">
        <f>IF(ISNUMBER(RU_Raw!H129),RU_Raw!H129,IF(ISNUMBER(RU_Raw!H130),(H128+RU_Raw!H130)/2,IF(ISNUMBER(RU_Raw!H131),H128+(RU_Raw!H131-H128)/3,"")))</f>
        <v>214.3</v>
      </c>
      <c r="I129" s="19">
        <f>IF(ISNUMBER(RU_Raw!I129),RU_Raw!I129,IF(ISNUMBER(RU_Raw!I130),(I128+RU_Raw!I130)/2,IF(ISNUMBER(RU_Raw!I131),I128+(RU_Raw!I131-I128)/3,"")))</f>
        <v>173.2</v>
      </c>
      <c r="J129" s="19">
        <f>IF(ISNUMBER(RU_Raw!J129),RU_Raw!J129,IF(ISNUMBER(RU_Raw!J130),(J128+RU_Raw!J130)/2,IF(ISNUMBER(RU_Raw!J131),J128+(RU_Raw!J131-J128)/3,"")))</f>
        <v>179.5</v>
      </c>
      <c r="K129" s="19">
        <f>IF(ISNUMBER(RU_Raw!K129),RU_Raw!K129,IF(ISNUMBER(RU_Raw!K130),(K128+RU_Raw!K130)/2,IF(ISNUMBER(RU_Raw!K131),K128+(RU_Raw!K131-K128)/3,"")))</f>
        <v>170</v>
      </c>
      <c r="L129" s="19">
        <f>IF(ISNUMBER(RU_Raw!L129),RU_Raw!L129,IF(ISNUMBER(RU_Raw!L130),(L128+RU_Raw!L130)/2,IF(ISNUMBER(RU_Raw!L131),L128+(RU_Raw!L131-L128)/3,"")))</f>
        <v>172.2</v>
      </c>
      <c r="M129" s="19">
        <f>IF(ISNUMBER(RU_Raw!M129),RU_Raw!M129,IF(ISNUMBER(RU_Raw!M130),(M128+RU_Raw!M130)/2,IF(ISNUMBER(RU_Raw!M131),M128+(RU_Raw!M131-M128)/3,"")))</f>
        <v>161</v>
      </c>
      <c r="N129" s="19">
        <f>IF(ISNUMBER(RU_Raw!N129),RU_Raw!N129,IF(ISNUMBER(RU_Raw!N130),(N128+RU_Raw!N130)/2,IF(ISNUMBER(RU_Raw!N131),N128+(RU_Raw!N131-N128)/3,"")))</f>
        <v>175.6</v>
      </c>
      <c r="O129" s="19">
        <f>IF(ISNUMBER(RU_Raw!O129),RU_Raw!O129,IF(ISNUMBER(RU_Raw!O130),(O128+RU_Raw!O130)/2,IF(ISNUMBER(RU_Raw!O131),O128+(RU_Raw!O131-O128)/3,"")))</f>
        <v>122.7</v>
      </c>
      <c r="P129" s="19">
        <f>IF(ISNUMBER(RU_Raw!P129),RU_Raw!P129,IF(ISNUMBER(RU_Raw!P130),(P128+RU_Raw!P130)/2,IF(ISNUMBER(RU_Raw!P131),P128+(RU_Raw!P131-P128)/3,"")))</f>
        <v>218</v>
      </c>
      <c r="Q129" s="19">
        <f>IF(ISNUMBER(RU_Raw!Q129),RU_Raw!Q129,IF(ISNUMBER(RU_Raw!Q130),(Q128+RU_Raw!Q130)/2,IF(ISNUMBER(RU_Raw!Q131),Q128+(RU_Raw!Q131-Q128)/3,"")))</f>
        <v>173.4</v>
      </c>
      <c r="R129" s="19">
        <f>IF(ISNUMBER(RU_Raw!R129),RU_Raw!R129,IF(ISNUMBER(RU_Raw!R130),(R128+RU_Raw!R130)/2,IF(ISNUMBER(RU_Raw!R131),R128+(RU_Raw!R131-R128)/3,"")))</f>
        <v>194.2</v>
      </c>
      <c r="S129" s="19">
        <f>IF(ISNUMBER(RU_Raw!S129),RU_Raw!S129,IF(ISNUMBER(RU_Raw!S130),(S128+RU_Raw!S130)/2,IF(ISNUMBER(RU_Raw!S131),S128+(RU_Raw!S131-S128)/3,"")))</f>
        <v>179.1</v>
      </c>
      <c r="T129" s="19">
        <f>IF(ISNUMBER(RU_Raw!T129),RU_Raw!T129,IF(ISNUMBER(RU_Raw!T130),(T128+RU_Raw!T130)/2,IF(ISNUMBER(RU_Raw!T131),T128+(RU_Raw!T131-T128)/3,"")))</f>
        <v>201</v>
      </c>
      <c r="U129" s="19">
        <f>IF(ISNUMBER(RU_Raw!U129),RU_Raw!U129,IF(ISNUMBER(RU_Raw!U130),(U128+RU_Raw!U130)/2,IF(ISNUMBER(RU_Raw!U131),U128+(RU_Raw!U131-U128)/3,"")))</f>
        <v>187.3</v>
      </c>
      <c r="V129" s="19">
        <f>IF(ISNUMBER(RU_Raw!V129),RU_Raw!V129,IF(ISNUMBER(RU_Raw!V130),(V128+RU_Raw!V130)/2,IF(ISNUMBER(RU_Raw!V131),V128+(RU_Raw!V131-V128)/3,"")))</f>
        <v>179.7</v>
      </c>
      <c r="W129" s="19">
        <f>IF(ISNUMBER(RU_Raw!W129),RU_Raw!W129,IF(ISNUMBER(RU_Raw!W130),(W128+RU_Raw!W130)/2,IF(ISNUMBER(RU_Raw!W131),W128+(RU_Raw!W131-W128)/3,"")))</f>
        <v>186.2</v>
      </c>
      <c r="X129" s="19">
        <f>IF(ISNUMBER(RU_Raw!X129),RU_Raw!X129,IF(ISNUMBER(RU_Raw!X130),(X128+RU_Raw!X130)/2,IF(ISNUMBER(RU_Raw!X131),X128+(RU_Raw!X131-X128)/3,"")))</f>
        <v>175.6</v>
      </c>
      <c r="Y129" s="19">
        <f>IF(ISNUMBER(RU_Raw!Y129),RU_Raw!Y129,IF(ISNUMBER(RU_Raw!Y130),(Y128+RU_Raw!Y130)/2,IF(ISNUMBER(RU_Raw!Y131),Y128+(RU_Raw!Y131-Y128)/3,"")))</f>
        <v>182.8</v>
      </c>
      <c r="Z129" s="19">
        <f>IF(ISNUMBER(RU_Raw!Z129),RU_Raw!Z129,IF(ISNUMBER(RU_Raw!Z130),(Z128+RU_Raw!Z130)/2,IF(ISNUMBER(RU_Raw!Z131),Z128+(RU_Raw!Z131-Z128)/3,"")))</f>
        <v>175.2</v>
      </c>
      <c r="AA129" s="19">
        <f>IF(ISNUMBER(RU_Raw!AA129),RU_Raw!AA129,IF(ISNUMBER(RU_Raw!AA130),(AA128+RU_Raw!AA130)/2,IF(ISNUMBER(RU_Raw!AA131),AA128+(RU_Raw!AA131-AA128)/3,"")))</f>
        <v>185.7</v>
      </c>
      <c r="AB129" s="19">
        <f>IF(ISNUMBER(RU_Raw!AB129),RU_Raw!AB129,IF(ISNUMBER(RU_Raw!AB130),(AB128+RU_Raw!AB130)/2,IF(ISNUMBER(RU_Raw!AB131),AB128+(RU_Raw!AB131-AB128)/3,"")))</f>
        <v>164.8</v>
      </c>
      <c r="AC129" s="19">
        <f>IF(ISNUMBER(RU_Raw!AC129),RU_Raw!AC129,IF(ISNUMBER(RU_Raw!AC130),(AC128+RU_Raw!AC130)/2,IF(ISNUMBER(RU_Raw!AC131),AC128+(RU_Raw!AC131-AC128)/3,"")))</f>
        <v>171.2</v>
      </c>
      <c r="AD129" s="19">
        <f>IF(ISNUMBER(RU_Raw!AD129),RU_Raw!AD129,IF(ISNUMBER(RU_Raw!AD130),(AD128+RU_Raw!AD130)/2,IF(ISNUMBER(RU_Raw!AD131),AD128+(RU_Raw!AD131-AD128)/3,"")))</f>
        <v>177.1</v>
      </c>
      <c r="AE129" s="19">
        <f>IF(ISNUMBER(RU_Raw!AE129),RU_Raw!AE129,IF(ISNUMBER(RU_Raw!AE130),(AE128+RU_Raw!AE130)/2,IF(ISNUMBER(RU_Raw!AE131),AE128+(RU_Raw!AE131-AE128)/3,"")))</f>
        <v>185.2</v>
      </c>
      <c r="AF129" s="19">
        <f>IF(ISNUMBER(RU_Raw!AF129),RU_Raw!AF129,IF(ISNUMBER(RU_Raw!AF130),(AF128+RU_Raw!AF130)/2,IF(ISNUMBER(RU_Raw!AF131),AF128+(RU_Raw!AF131-AF128)/3,"")))</f>
        <v>175.7</v>
      </c>
      <c r="AG129" s="19">
        <f>IF(ISNUMBER(RU_Raw!AG129),RU_Raw!AG129,IF(ISNUMBER(RU_Raw!AG130),(AG128+RU_Raw!AG130)/2,IF(ISNUMBER(RU_Raw!AG131),AG128+(RU_Raw!AG131-AG128)/3,"")))</f>
        <v>179.1</v>
      </c>
      <c r="AH129" s="19">
        <f t="shared" si="3"/>
        <v>2127.8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9"/>
  <sheetViews>
    <sheetView workbookViewId="0">
      <pane xSplit="6" ySplit="4" topLeftCell="M5" activePane="bottomRight" state="frozen"/>
      <selection/>
      <selection pane="topRight"/>
      <selection pane="bottomLeft"/>
      <selection pane="bottomRight" activeCell="AH6" sqref="AH6"/>
    </sheetView>
  </sheetViews>
  <sheetFormatPr defaultColWidth="8.67592592592593" defaultRowHeight="14.4"/>
  <cols>
    <col min="1" max="34" width="12" customWidth="1"/>
  </cols>
  <sheetData>
    <row r="1" ht="17.4" spans="1:34">
      <c r="A1" s="1" t="s">
        <v>74</v>
      </c>
    </row>
    <row r="2" spans="1:34">
      <c r="A2" s="2" t="s">
        <v>75</v>
      </c>
    </row>
    <row r="4" ht="54.75" customHeight="1" spans="1:34">
      <c r="A4" s="8" t="s">
        <v>19</v>
      </c>
      <c r="B4" s="8" t="s">
        <v>66</v>
      </c>
      <c r="C4" s="8" t="s">
        <v>20</v>
      </c>
      <c r="D4" s="8" t="s">
        <v>67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44</v>
      </c>
      <c r="AE4" s="8" t="s">
        <v>45</v>
      </c>
      <c r="AF4" s="8" t="s">
        <v>46</v>
      </c>
      <c r="AG4" s="8" t="s">
        <v>47</v>
      </c>
      <c r="AH4" s="8" t="s">
        <v>73</v>
      </c>
    </row>
    <row r="5" spans="1:34">
      <c r="A5" s="6">
        <f>RU_Clean!A5</f>
        <v>2013</v>
      </c>
      <c r="B5" s="6">
        <f>RU_Clean!B5</f>
        <v>1</v>
      </c>
      <c r="C5" s="6" t="str">
        <f>RU_Clean!C5</f>
        <v>January</v>
      </c>
      <c r="D5" s="9">
        <f>RU_Clean!D5</f>
        <v>41275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>
      <c r="A6" s="6">
        <f>RU_Clean!A6</f>
        <v>2013</v>
      </c>
      <c r="B6" s="6">
        <f>RU_Clean!B6</f>
        <v>2</v>
      </c>
      <c r="C6" s="6" t="str">
        <f>RU_Clean!C6</f>
        <v>February</v>
      </c>
      <c r="D6" s="9">
        <f>RU_Clean!D6</f>
        <v>41306</v>
      </c>
      <c r="E6" s="6"/>
      <c r="F6" s="6"/>
      <c r="G6" s="12">
        <f>IF(AND(ISNUMBER(RU_Clean!G6),ISNUMBER(RU_Clean!G5)),(RU_Clean!G6-RU_Clean!G5)/RU_Clean!G5*100,"")</f>
        <v>1.8450184501845</v>
      </c>
      <c r="H6" s="12">
        <f>IF(AND(ISNUMBER(RU_Clean!H6),ISNUMBER(RU_Clean!H5)),(RU_Clean!H6-RU_Clean!H5)/RU_Clean!H5*100,"")</f>
        <v>2.70270270270271</v>
      </c>
      <c r="I6" s="12">
        <f>IF(AND(ISNUMBER(RU_Clean!I6),ISNUMBER(RU_Clean!I5)),(RU_Clean!I6-RU_Clean!I5)/RU_Clean!I5*100,"")</f>
        <v>2.54545454545454</v>
      </c>
      <c r="J6" s="12">
        <f>IF(AND(ISNUMBER(RU_Clean!J6),ISNUMBER(RU_Clean!J5)),(RU_Clean!J6-RU_Clean!J5)/RU_Clean!J5*100,"")</f>
        <v>0.478927203065134</v>
      </c>
      <c r="K6" s="12">
        <f>IF(AND(ISNUMBER(RU_Clean!K6),ISNUMBER(RU_Clean!K5)),(RU_Clean!K6-RU_Clean!K5)/RU_Clean!K5*100,"")</f>
        <v>0.380589914367275</v>
      </c>
      <c r="L6" s="12">
        <f>IF(AND(ISNUMBER(RU_Clean!L6),ISNUMBER(RU_Clean!L5)),(RU_Clean!L6-RU_Clean!L5)/RU_Clean!L5*100,"")</f>
        <v>0.387596899224798</v>
      </c>
      <c r="M6" s="12">
        <f>IF(AND(ISNUMBER(RU_Clean!M6),ISNUMBER(RU_Clean!M5)),(RU_Clean!M6-RU_Clean!M5)/RU_Clean!M5*100,"")</f>
        <v>0.978473581213307</v>
      </c>
      <c r="N6" s="12">
        <f>IF(AND(ISNUMBER(RU_Clean!N6),ISNUMBER(RU_Clean!N5)),(RU_Clean!N6-RU_Clean!N5)/RU_Clean!N5*100,"")</f>
        <v>-0.660377358490569</v>
      </c>
      <c r="O6" s="12">
        <f>IF(AND(ISNUMBER(RU_Clean!O6),ISNUMBER(RU_Clean!O5)),(RU_Clean!O6-RU_Clean!O5)/RU_Clean!O5*100,"")</f>
        <v>-1.03578154425613</v>
      </c>
      <c r="P6" s="12">
        <f>IF(AND(ISNUMBER(RU_Clean!P6),ISNUMBER(RU_Clean!P5)),(RU_Clean!P6-RU_Clean!P5)/RU_Clean!P5*100,"")</f>
        <v>0.0973709834469273</v>
      </c>
      <c r="Q6" s="12">
        <f>IF(AND(ISNUMBER(RU_Clean!Q6),ISNUMBER(RU_Clean!Q5)),(RU_Clean!Q6-RU_Clean!Q5)/RU_Clean!Q5*100,"")</f>
        <v>0.571973307912292</v>
      </c>
      <c r="R6" s="12">
        <f>IF(AND(ISNUMBER(RU_Clean!R6),ISNUMBER(RU_Clean!R5)),(RU_Clean!R6-RU_Clean!R5)/RU_Clean!R5*100,"")</f>
        <v>0.931966449207829</v>
      </c>
      <c r="S6" s="12">
        <f>IF(AND(ISNUMBER(RU_Clean!S6),ISNUMBER(RU_Clean!S5)),(RU_Clean!S6-RU_Clean!S5)/RU_Clean!S5*100,"")</f>
        <v>0.946969696969697</v>
      </c>
      <c r="T6" s="12">
        <f>IF(AND(ISNUMBER(RU_Clean!T6),ISNUMBER(RU_Clean!T5)),(RU_Clean!T6-RU_Clean!T5)/RU_Clean!T5*100,"")</f>
        <v>0.570884871550912</v>
      </c>
      <c r="U6" s="12">
        <f>IF(AND(ISNUMBER(RU_Clean!U6),ISNUMBER(RU_Clean!U5)),(RU_Clean!U6-RU_Clean!U5)/RU_Clean!U5*100,"")</f>
        <v>0.564440263405464</v>
      </c>
      <c r="V6" s="12">
        <f>IF(AND(ISNUMBER(RU_Clean!V6),ISNUMBER(RU_Clean!V5)),(RU_Clean!V6-RU_Clean!V5)/RU_Clean!V5*100,"")</f>
        <v>0.4739336492891</v>
      </c>
      <c r="W6" s="12">
        <f>IF(AND(ISNUMBER(RU_Clean!W6),ISNUMBER(RU_Clean!W5)),(RU_Clean!W6-RU_Clean!W5)/RU_Clean!W5*100,"")</f>
        <v>0.564971751412424</v>
      </c>
      <c r="X6" s="12">
        <f>IF(AND(ISNUMBER(RU_Clean!X6),ISNUMBER(RU_Clean!X5)),(RU_Clean!X6-RU_Clean!X5)/RU_Clean!X5*100,"")</f>
        <v>0.0997008973080843</v>
      </c>
      <c r="Y6" s="12">
        <f>IF(AND(ISNUMBER(RU_Clean!Y6),ISNUMBER(RU_Clean!Y5)),(RU_Clean!Y6-RU_Clean!Y5)/RU_Clean!Y5*100,"")</f>
        <v>0.4739336492891</v>
      </c>
      <c r="Z6" s="12">
        <f>IF(AND(ISNUMBER(RU_Clean!Z6),ISNUMBER(RU_Clean!Z5)),(RU_Clean!Z6-RU_Clean!Z5)/RU_Clean!Z5*100,"")</f>
        <v>0.381679389312983</v>
      </c>
      <c r="AA6" s="12">
        <f>IF(AND(ISNUMBER(RU_Clean!AA6),ISNUMBER(RU_Clean!AA5)),(RU_Clean!AA6-RU_Clean!AA5)/RU_Clean!AA5*100,"")</f>
        <v>0.480769230769231</v>
      </c>
      <c r="AB6" s="12">
        <f>IF(AND(ISNUMBER(RU_Clean!AB6),ISNUMBER(RU_Clean!AB5)),(RU_Clean!AB6-RU_Clean!AB5)/RU_Clean!AB5*100,"")</f>
        <v>0.968992248062015</v>
      </c>
      <c r="AC6" s="12">
        <f>IF(AND(ISNUMBER(RU_Clean!AC6),ISNUMBER(RU_Clean!AC5)),(RU_Clean!AC6-RU_Clean!AC5)/RU_Clean!AC5*100,"")</f>
        <v>0.484966052376334</v>
      </c>
      <c r="AD6" s="12">
        <f>IF(AND(ISNUMBER(RU_Clean!AD6),ISNUMBER(RU_Clean!AD5)),(RU_Clean!AD6-RU_Clean!AD5)/RU_Clean!AD5*100,"")</f>
        <v>0.289575289575301</v>
      </c>
      <c r="AE6" s="12">
        <f>IF(AND(ISNUMBER(RU_Clean!AE6),ISNUMBER(RU_Clean!AE5)),(RU_Clean!AE6-RU_Clean!AE5)/RU_Clean!AE5*100,"")</f>
        <v>0</v>
      </c>
      <c r="AF6" s="12">
        <f>IF(AND(ISNUMBER(RU_Clean!AF6),ISNUMBER(RU_Clean!AF5)),(RU_Clean!AF6-RU_Clean!AF5)/RU_Clean!AF5*100,"")</f>
        <v>0.481231953801732</v>
      </c>
      <c r="AG6" s="12">
        <f>IF(AND(ISNUMBER(RU_Clean!AG6),ISNUMBER(RU_Clean!AG5)),(RU_Clean!AG6-RU_Clean!AG5)/RU_Clean!AG5*100,"")</f>
        <v>0.669216061185471</v>
      </c>
      <c r="AH6" s="12">
        <f>IF(AND(ISNUMBER(RU_Clean!AH6),ISNUMBER(RU_Clean!AH5)),(RU_Clean!AH6-RU_Clean!AH5)/RU_Clean!AH5*100,"")</f>
        <v>0.780941863216838</v>
      </c>
    </row>
    <row r="7" spans="1:34">
      <c r="A7" s="6">
        <f>RU_Clean!A7</f>
        <v>2013</v>
      </c>
      <c r="B7" s="6">
        <f>RU_Clean!B7</f>
        <v>3</v>
      </c>
      <c r="C7" s="6" t="str">
        <f>RU_Clean!C7</f>
        <v>March</v>
      </c>
      <c r="D7" s="9">
        <f>RU_Clean!D7</f>
        <v>41334</v>
      </c>
      <c r="E7" s="6"/>
      <c r="F7" s="6"/>
      <c r="G7" s="12">
        <f>IF(AND(ISNUMBER(RU_Clean!G7),ISNUMBER(RU_Clean!G6)),(RU_Clean!G7-RU_Clean!G6)/RU_Clean!G6*100,"")</f>
        <v>0.905797101449275</v>
      </c>
      <c r="H7" s="12">
        <f>IF(AND(ISNUMBER(RU_Clean!H7),ISNUMBER(RU_Clean!H6)),(RU_Clean!H7-RU_Clean!H6)/RU_Clean!H6*100,"")</f>
        <v>-0.453720508166969</v>
      </c>
      <c r="I7" s="12">
        <f>IF(AND(ISNUMBER(RU_Clean!I7),ISNUMBER(RU_Clean!I6)),(RU_Clean!I7-RU_Clean!I6)/RU_Clean!I6*100,"")</f>
        <v>-1.41843971631205</v>
      </c>
      <c r="J7" s="12">
        <f>IF(AND(ISNUMBER(RU_Clean!J7),ISNUMBER(RU_Clean!J6)),(RU_Clean!J7-RU_Clean!J6)/RU_Clean!J6*100,"")</f>
        <v>0.190657769304088</v>
      </c>
      <c r="K7" s="12">
        <f>IF(AND(ISNUMBER(RU_Clean!K7),ISNUMBER(RU_Clean!K6)),(RU_Clean!K7-RU_Clean!K6)/RU_Clean!K6*100,"")</f>
        <v>-0.568720379146914</v>
      </c>
      <c r="L7" s="12">
        <f>IF(AND(ISNUMBER(RU_Clean!L7),ISNUMBER(RU_Clean!L6)),(RU_Clean!L7-RU_Clean!L6)/RU_Clean!L6*100,"")</f>
        <v>1.64092664092664</v>
      </c>
      <c r="M7" s="12">
        <f>IF(AND(ISNUMBER(RU_Clean!M7),ISNUMBER(RU_Clean!M6)),(RU_Clean!M7-RU_Clean!M6)/RU_Clean!M6*100,"")</f>
        <v>-0.968992248062015</v>
      </c>
      <c r="N7" s="12">
        <f>IF(AND(ISNUMBER(RU_Clean!N7),ISNUMBER(RU_Clean!N6)),(RU_Clean!N7-RU_Clean!N6)/RU_Clean!N6*100,"")</f>
        <v>-0.284900284900282</v>
      </c>
      <c r="O7" s="12">
        <f>IF(AND(ISNUMBER(RU_Clean!O7),ISNUMBER(RU_Clean!O6)),(RU_Clean!O7-RU_Clean!O6)/RU_Clean!O6*100,"")</f>
        <v>-0.856327307326348</v>
      </c>
      <c r="P7" s="12">
        <f>IF(AND(ISNUMBER(RU_Clean!P7),ISNUMBER(RU_Clean!P6)),(RU_Clean!P7-RU_Clean!P6)/RU_Clean!P6*100,"")</f>
        <v>0.194552529182882</v>
      </c>
      <c r="Q7" s="12">
        <f>IF(AND(ISNUMBER(RU_Clean!Q7),ISNUMBER(RU_Clean!Q6)),(RU_Clean!Q7-RU_Clean!Q6)/RU_Clean!Q6*100,"")</f>
        <v>0.663507109004742</v>
      </c>
      <c r="R7" s="12">
        <f>IF(AND(ISNUMBER(RU_Clean!R7),ISNUMBER(RU_Clean!R6)),(RU_Clean!R7-RU_Clean!R6)/RU_Clean!R6*100,"")</f>
        <v>0.554016620498623</v>
      </c>
      <c r="S7" s="12">
        <f>IF(AND(ISNUMBER(RU_Clean!S7),ISNUMBER(RU_Clean!S6)),(RU_Clean!S7-RU_Clean!S6)/RU_Clean!S6*100,"")</f>
        <v>0.281425891181999</v>
      </c>
      <c r="T7" s="12">
        <f>IF(AND(ISNUMBER(RU_Clean!T7),ISNUMBER(RU_Clean!T6)),(RU_Clean!T7-RU_Clean!T6)/RU_Clean!T6*100,"")</f>
        <v>0.851466414380314</v>
      </c>
      <c r="U7" s="12">
        <f>IF(AND(ISNUMBER(RU_Clean!U7),ISNUMBER(RU_Clean!U6)),(RU_Clean!U7-RU_Clean!U6)/RU_Clean!U6*100,"")</f>
        <v>0.467726847521048</v>
      </c>
      <c r="V7" s="12">
        <f>IF(AND(ISNUMBER(RU_Clean!V7),ISNUMBER(RU_Clean!V6)),(RU_Clean!V7-RU_Clean!V6)/RU_Clean!V6*100,"")</f>
        <v>0.471698113207547</v>
      </c>
      <c r="W7" s="12">
        <f>IF(AND(ISNUMBER(RU_Clean!W7),ISNUMBER(RU_Clean!W6)),(RU_Clean!W7-RU_Clean!W6)/RU_Clean!W6*100,"")</f>
        <v>0.468164794007491</v>
      </c>
      <c r="X7" s="12">
        <f>IF(AND(ISNUMBER(RU_Clean!X7),ISNUMBER(RU_Clean!X6)),(RU_Clean!X7-RU_Clean!X6)/RU_Clean!X6*100,"")</f>
        <v>0</v>
      </c>
      <c r="Y7" s="12">
        <f>IF(AND(ISNUMBER(RU_Clean!Y7),ISNUMBER(RU_Clean!Y6)),(RU_Clean!Y7-RU_Clean!Y6)/RU_Clean!Y6*100,"")</f>
        <v>0.0943396226415041</v>
      </c>
      <c r="Z7" s="12">
        <f>IF(AND(ISNUMBER(RU_Clean!Z7),ISNUMBER(RU_Clean!Z6)),(RU_Clean!Z7-RU_Clean!Z6)/RU_Clean!Z6*100,"")</f>
        <v>0.380228136882121</v>
      </c>
      <c r="AA7" s="12">
        <f>IF(AND(ISNUMBER(RU_Clean!AA7),ISNUMBER(RU_Clean!AA6)),(RU_Clean!AA7-RU_Clean!AA6)/RU_Clean!AA6*100,"")</f>
        <v>0.38277511961723</v>
      </c>
      <c r="AB7" s="12">
        <f>IF(AND(ISNUMBER(RU_Clean!AB7),ISNUMBER(RU_Clean!AB6)),(RU_Clean!AB7-RU_Clean!AB6)/RU_Clean!AB6*100,"")</f>
        <v>0.863723608445289</v>
      </c>
      <c r="AC7" s="12">
        <f>IF(AND(ISNUMBER(RU_Clean!AC7),ISNUMBER(RU_Clean!AC6)),(RU_Clean!AC7-RU_Clean!AC6)/RU_Clean!AC6*100,"")</f>
        <v>0.0965250965251048</v>
      </c>
      <c r="AD7" s="12">
        <f>IF(AND(ISNUMBER(RU_Clean!AD7),ISNUMBER(RU_Clean!AD6)),(RU_Clean!AD7-RU_Clean!AD6)/RU_Clean!AD6*100,"")</f>
        <v>0.096246390760341</v>
      </c>
      <c r="AE7" s="12">
        <f>IF(AND(ISNUMBER(RU_Clean!AE7),ISNUMBER(RU_Clean!AE6)),(RU_Clean!AE7-RU_Clean!AE6)/RU_Clean!AE6*100,"")</f>
        <v>-0.191387559808615</v>
      </c>
      <c r="AF7" s="12">
        <f>IF(AND(ISNUMBER(RU_Clean!AF7),ISNUMBER(RU_Clean!AF6)),(RU_Clean!AF7-RU_Clean!AF6)/RU_Clean!AF6*100,"")</f>
        <v>0.287356321839078</v>
      </c>
      <c r="AG7" s="12">
        <f>IF(AND(ISNUMBER(RU_Clean!AG7),ISNUMBER(RU_Clean!AG6)),(RU_Clean!AG7-RU_Clean!AG6)/RU_Clean!AG6*100,"")</f>
        <v>0.189933523266859</v>
      </c>
      <c r="AH7" s="12">
        <f>IF(AND(ISNUMBER(RU_Clean!AH7),ISNUMBER(RU_Clean!AH6)),(RU_Clean!AH7-RU_Clean!AH6)/RU_Clean!AH6*100,"")</f>
        <v>-0.0391358797745773</v>
      </c>
    </row>
    <row r="8" spans="1:34">
      <c r="A8" s="6">
        <f>RU_Clean!A8</f>
        <v>2013</v>
      </c>
      <c r="B8" s="6">
        <f>RU_Clean!B8</f>
        <v>4</v>
      </c>
      <c r="C8" s="6" t="str">
        <f>RU_Clean!C8</f>
        <v>April</v>
      </c>
      <c r="D8" s="9">
        <f>RU_Clean!D8</f>
        <v>41365</v>
      </c>
      <c r="E8" s="6"/>
      <c r="F8" s="6"/>
      <c r="G8" s="12">
        <f>IF(AND(ISNUMBER(RU_Clean!G8),ISNUMBER(RU_Clean!G7)),(RU_Clean!G8-RU_Clean!G7)/RU_Clean!G7*100,"")</f>
        <v>0.179533213644514</v>
      </c>
      <c r="H8" s="12">
        <f>IF(AND(ISNUMBER(RU_Clean!H8),ISNUMBER(RU_Clean!H7)),(RU_Clean!H8-RU_Clean!H7)/RU_Clean!H7*100,"")</f>
        <v>1.09389243391067</v>
      </c>
      <c r="I8" s="12">
        <f>IF(AND(ISNUMBER(RU_Clean!I8),ISNUMBER(RU_Clean!I7)),(RU_Clean!I8-RU_Clean!I7)/RU_Clean!I7*100,"")</f>
        <v>-4.13669064748202</v>
      </c>
      <c r="J8" s="12">
        <f>IF(AND(ISNUMBER(RU_Clean!J8),ISNUMBER(RU_Clean!J7)),(RU_Clean!J8-RU_Clean!J7)/RU_Clean!J7*100,"")</f>
        <v>0.570884871550912</v>
      </c>
      <c r="K8" s="12">
        <f>IF(AND(ISNUMBER(RU_Clean!K8),ISNUMBER(RU_Clean!K7)),(RU_Clean!K8-RU_Clean!K7)/RU_Clean!K7*100,"")</f>
        <v>-0.476644423260248</v>
      </c>
      <c r="L8" s="12">
        <f>IF(AND(ISNUMBER(RU_Clean!L8),ISNUMBER(RU_Clean!L7)),(RU_Clean!L8-RU_Clean!L7)/RU_Clean!L7*100,"")</f>
        <v>3.41880341880343</v>
      </c>
      <c r="M8" s="12">
        <f>IF(AND(ISNUMBER(RU_Clean!M8),ISNUMBER(RU_Clean!M7)),(RU_Clean!M8-RU_Clean!M7)/RU_Clean!M7*100,"")</f>
        <v>3.22896281800391</v>
      </c>
      <c r="N8" s="12">
        <f>IF(AND(ISNUMBER(RU_Clean!N8),ISNUMBER(RU_Clean!N7)),(RU_Clean!N8-RU_Clean!N7)/RU_Clean!N7*100,"")</f>
        <v>0.285714285714283</v>
      </c>
      <c r="O8" s="12">
        <f>IF(AND(ISNUMBER(RU_Clean!O8),ISNUMBER(RU_Clean!O7)),(RU_Clean!O8-RU_Clean!O7)/RU_Clean!O7*100,"")</f>
        <v>-0.67178502879079</v>
      </c>
      <c r="P8" s="12">
        <f>IF(AND(ISNUMBER(RU_Clean!P8),ISNUMBER(RU_Clean!P7)),(RU_Clean!P8-RU_Clean!P7)/RU_Clean!P7*100,"")</f>
        <v>0.291262135922327</v>
      </c>
      <c r="Q8" s="12">
        <f>IF(AND(ISNUMBER(RU_Clean!Q8),ISNUMBER(RU_Clean!Q7)),(RU_Clean!Q8-RU_Clean!Q7)/RU_Clean!Q7*100,"")</f>
        <v>0.941619585687382</v>
      </c>
      <c r="R8" s="12">
        <f>IF(AND(ISNUMBER(RU_Clean!R8),ISNUMBER(RU_Clean!R7)),(RU_Clean!R8-RU_Clean!R7)/RU_Clean!R7*100,"")</f>
        <v>0.642791551882451</v>
      </c>
      <c r="S8" s="12">
        <f>IF(AND(ISNUMBER(RU_Clean!S8),ISNUMBER(RU_Clean!S7)),(RU_Clean!S8-RU_Clean!S7)/RU_Clean!S7*100,"")</f>
        <v>0.748362956033674</v>
      </c>
      <c r="T8" s="12">
        <f>IF(AND(ISNUMBER(RU_Clean!T8),ISNUMBER(RU_Clean!T7)),(RU_Clean!T8-RU_Clean!T7)/RU_Clean!T7*100,"")</f>
        <v>0.844277673545972</v>
      </c>
      <c r="U8" s="12">
        <f>IF(AND(ISNUMBER(RU_Clean!U8),ISNUMBER(RU_Clean!U7)),(RU_Clean!U8-RU_Clean!U7)/RU_Clean!U7*100,"")</f>
        <v>0.55865921787709</v>
      </c>
      <c r="V8" s="12">
        <f>IF(AND(ISNUMBER(RU_Clean!V8),ISNUMBER(RU_Clean!V7)),(RU_Clean!V8-RU_Clean!V7)/RU_Clean!V7*100,"")</f>
        <v>0.469483568075117</v>
      </c>
      <c r="W8" s="12">
        <f>IF(AND(ISNUMBER(RU_Clean!W8),ISNUMBER(RU_Clean!W7)),(RU_Clean!W8-RU_Clean!W7)/RU_Clean!W7*100,"")</f>
        <v>0.559179869524705</v>
      </c>
      <c r="X8" s="12">
        <f>IF(AND(ISNUMBER(RU_Clean!X8),ISNUMBER(RU_Clean!X7)),(RU_Clean!X8-RU_Clean!X7)/RU_Clean!X7*100,"")</f>
        <v>0.0996015936254923</v>
      </c>
      <c r="Y8" s="12">
        <f>IF(AND(ISNUMBER(RU_Clean!Y8),ISNUMBER(RU_Clean!Y7)),(RU_Clean!Y8-RU_Clean!Y7)/RU_Clean!Y7*100,"")</f>
        <v>0.377002827521212</v>
      </c>
      <c r="Z8" s="12">
        <f>IF(AND(ISNUMBER(RU_Clean!Z8),ISNUMBER(RU_Clean!Z7)),(RU_Clean!Z8-RU_Clean!Z7)/RU_Clean!Z7*100,"")</f>
        <v>0.662878787878791</v>
      </c>
      <c r="AA8" s="12">
        <f>IF(AND(ISNUMBER(RU_Clean!AA8),ISNUMBER(RU_Clean!AA7)),(RU_Clean!AA8-RU_Clean!AA7)/RU_Clean!AA7*100,"")</f>
        <v>0.38131553860819</v>
      </c>
      <c r="AB8" s="12">
        <f>IF(AND(ISNUMBER(RU_Clean!AB8),ISNUMBER(RU_Clean!AB7)),(RU_Clean!AB8-RU_Clean!AB7)/RU_Clean!AB7*100,"")</f>
        <v>-0.380589914367261</v>
      </c>
      <c r="AC8" s="12">
        <f>IF(AND(ISNUMBER(RU_Clean!AC8),ISNUMBER(RU_Clean!AC7)),(RU_Clean!AC8-RU_Clean!AC7)/RU_Clean!AC7*100,"")</f>
        <v>0.482160077145612</v>
      </c>
      <c r="AD8" s="12">
        <f>IF(AND(ISNUMBER(RU_Clean!AD8),ISNUMBER(RU_Clean!AD7)),(RU_Clean!AD8-RU_Clean!AD7)/RU_Clean!AD7*100,"")</f>
        <v>0.961538461538462</v>
      </c>
      <c r="AE8" s="12">
        <f>IF(AND(ISNUMBER(RU_Clean!AE8),ISNUMBER(RU_Clean!AE7)),(RU_Clean!AE8-RU_Clean!AE7)/RU_Clean!AE7*100,"")</f>
        <v>-1.34228187919462</v>
      </c>
      <c r="AF8" s="12">
        <f>IF(AND(ISNUMBER(RU_Clean!AF8),ISNUMBER(RU_Clean!AF7)),(RU_Clean!AF8-RU_Clean!AF7)/RU_Clean!AF7*100,"")</f>
        <v>0.0955109837631273</v>
      </c>
      <c r="AG8" s="12">
        <f>IF(AND(ISNUMBER(RU_Clean!AG8),ISNUMBER(RU_Clean!AG7)),(RU_Clean!AG8-RU_Clean!AG7)/RU_Clean!AG7*100,"")</f>
        <v>0.568720379146914</v>
      </c>
      <c r="AH8" s="12">
        <f>IF(AND(ISNUMBER(RU_Clean!AH8),ISNUMBER(RU_Clean!AH7)),(RU_Clean!AH8-RU_Clean!AH7)/RU_Clean!AH7*100,"")</f>
        <v>0.422832980972505</v>
      </c>
    </row>
    <row r="9" spans="1:34">
      <c r="A9" s="6">
        <f>RU_Clean!A9</f>
        <v>2013</v>
      </c>
      <c r="B9" s="6">
        <f>RU_Clean!B9</f>
        <v>5</v>
      </c>
      <c r="C9" s="6" t="str">
        <f>RU_Clean!C9</f>
        <v>May</v>
      </c>
      <c r="D9" s="9">
        <f>RU_Clean!D9</f>
        <v>41395</v>
      </c>
      <c r="E9" s="6"/>
      <c r="F9" s="6"/>
      <c r="G9" s="12">
        <f>IF(AND(ISNUMBER(RU_Clean!G9),ISNUMBER(RU_Clean!G8)),(RU_Clean!G9-RU_Clean!G8)/RU_Clean!G8*100,"")</f>
        <v>0.627240143369178</v>
      </c>
      <c r="H9" s="12">
        <f>IF(AND(ISNUMBER(RU_Clean!H9),ISNUMBER(RU_Clean!H8)),(RU_Clean!H9-RU_Clean!H8)/RU_Clean!H8*100,"")</f>
        <v>0.360685302073933</v>
      </c>
      <c r="I9" s="12">
        <f>IF(AND(ISNUMBER(RU_Clean!I9),ISNUMBER(RU_Clean!I8)),(RU_Clean!I9-RU_Clean!I8)/RU_Clean!I8*100,"")</f>
        <v>-1.78236397748592</v>
      </c>
      <c r="J9" s="12">
        <f>IF(AND(ISNUMBER(RU_Clean!J9),ISNUMBER(RU_Clean!J8)),(RU_Clean!J9-RU_Clean!J8)/RU_Clean!J8*100,"")</f>
        <v>1.0406811731315</v>
      </c>
      <c r="K9" s="12">
        <f>IF(AND(ISNUMBER(RU_Clean!K9),ISNUMBER(RU_Clean!K8)),(RU_Clean!K9-RU_Clean!K8)/RU_Clean!K8*100,"")</f>
        <v>-0.478927203065134</v>
      </c>
      <c r="L9" s="12">
        <f>IF(AND(ISNUMBER(RU_Clean!L9),ISNUMBER(RU_Clean!L8)),(RU_Clean!L9-RU_Clean!L8)/RU_Clean!L8*100,"")</f>
        <v>0.367309458218541</v>
      </c>
      <c r="M9" s="12">
        <f>IF(AND(ISNUMBER(RU_Clean!M9),ISNUMBER(RU_Clean!M8)),(RU_Clean!M9-RU_Clean!M8)/RU_Clean!M8*100,"")</f>
        <v>7.01421800947868</v>
      </c>
      <c r="N9" s="12">
        <f>IF(AND(ISNUMBER(RU_Clean!N9),ISNUMBER(RU_Clean!N8)),(RU_Clean!N9-RU_Clean!N8)/RU_Clean!N8*100,"")</f>
        <v>0.474833808167141</v>
      </c>
      <c r="O9" s="12">
        <f>IF(AND(ISNUMBER(RU_Clean!O9),ISNUMBER(RU_Clean!O8)),(RU_Clean!O9-RU_Clean!O8)/RU_Clean!O8*100,"")</f>
        <v>-0.386473429951696</v>
      </c>
      <c r="P9" s="12">
        <f>IF(AND(ISNUMBER(RU_Clean!P9),ISNUMBER(RU_Clean!P8)),(RU_Clean!P9-RU_Clean!P8)/RU_Clean!P8*100,"")</f>
        <v>0.968054211035818</v>
      </c>
      <c r="Q9" s="12">
        <f>IF(AND(ISNUMBER(RU_Clean!Q9),ISNUMBER(RU_Clean!Q8)),(RU_Clean!Q9-RU_Clean!Q8)/RU_Clean!Q8*100,"")</f>
        <v>0.839552238805962</v>
      </c>
      <c r="R9" s="12">
        <f>IF(AND(ISNUMBER(RU_Clean!R9),ISNUMBER(RU_Clean!R8)),(RU_Clean!R9-RU_Clean!R8)/RU_Clean!R8*100,"")</f>
        <v>0.821167883211684</v>
      </c>
      <c r="S9" s="12">
        <f>IF(AND(ISNUMBER(RU_Clean!S9),ISNUMBER(RU_Clean!S8)),(RU_Clean!S9-RU_Clean!S8)/RU_Clean!S8*100,"")</f>
        <v>1.39275766016713</v>
      </c>
      <c r="T9" s="12">
        <f>IF(AND(ISNUMBER(RU_Clean!T9),ISNUMBER(RU_Clean!T8)),(RU_Clean!T9-RU_Clean!T8)/RU_Clean!T8*100,"")</f>
        <v>1.02325581395348</v>
      </c>
      <c r="U9" s="12">
        <f>IF(AND(ISNUMBER(RU_Clean!U9),ISNUMBER(RU_Clean!U8)),(RU_Clean!U9-RU_Clean!U8)/RU_Clean!U8*100,"")</f>
        <v>0.648148148148151</v>
      </c>
      <c r="V9" s="12">
        <f>IF(AND(ISNUMBER(RU_Clean!V9),ISNUMBER(RU_Clean!V8)),(RU_Clean!V9-RU_Clean!V8)/RU_Clean!V8*100,"")</f>
        <v>0.37383177570094</v>
      </c>
      <c r="W9" s="12">
        <f>IF(AND(ISNUMBER(RU_Clean!W9),ISNUMBER(RU_Clean!W8)),(RU_Clean!W9-RU_Clean!W8)/RU_Clean!W8*100,"")</f>
        <v>0.556070435588503</v>
      </c>
      <c r="X9" s="12">
        <f>IF(AND(ISNUMBER(RU_Clean!X9),ISNUMBER(RU_Clean!X8)),(RU_Clean!X9-RU_Clean!X8)/RU_Clean!X8*100,"")</f>
        <v>0</v>
      </c>
      <c r="Y9" s="12">
        <f>IF(AND(ISNUMBER(RU_Clean!Y9),ISNUMBER(RU_Clean!Y8)),(RU_Clean!Y9-RU_Clean!Y8)/RU_Clean!Y8*100,"")</f>
        <v>0.845070422535217</v>
      </c>
      <c r="Z9" s="12">
        <f>IF(AND(ISNUMBER(RU_Clean!Z9),ISNUMBER(RU_Clean!Z8)),(RU_Clean!Z9-RU_Clean!Z8)/RU_Clean!Z8*100,"")</f>
        <v>0.564440263405464</v>
      </c>
      <c r="AA9" s="12">
        <f>IF(AND(ISNUMBER(RU_Clean!AA9),ISNUMBER(RU_Clean!AA8)),(RU_Clean!AA9-RU_Clean!AA8)/RU_Clean!AA8*100,"")</f>
        <v>0.569800569800578</v>
      </c>
      <c r="AB9" s="12">
        <f>IF(AND(ISNUMBER(RU_Clean!AB9),ISNUMBER(RU_Clean!AB8)),(RU_Clean!AB9-RU_Clean!AB8)/RU_Clean!AB8*100,"")</f>
        <v>-0.668576886341932</v>
      </c>
      <c r="AC9" s="12">
        <f>IF(AND(ISNUMBER(RU_Clean!AC9),ISNUMBER(RU_Clean!AC8)),(RU_Clean!AC9-RU_Clean!AC8)/RU_Clean!AC8*100,"")</f>
        <v>0.575815738963526</v>
      </c>
      <c r="AD9" s="12">
        <f>IF(AND(ISNUMBER(RU_Clean!AD9),ISNUMBER(RU_Clean!AD8)),(RU_Clean!AD9-RU_Clean!AD8)/RU_Clean!AD8*100,"")</f>
        <v>0.571428571428566</v>
      </c>
      <c r="AE9" s="12">
        <f>IF(AND(ISNUMBER(RU_Clean!AE9),ISNUMBER(RU_Clean!AE8)),(RU_Clean!AE9-RU_Clean!AE8)/RU_Clean!AE8*100,"")</f>
        <v>-0.583090379008755</v>
      </c>
      <c r="AF9" s="12">
        <f>IF(AND(ISNUMBER(RU_Clean!AF9),ISNUMBER(RU_Clean!AF8)),(RU_Clean!AF9-RU_Clean!AF8)/RU_Clean!AF8*100,"")</f>
        <v>0</v>
      </c>
      <c r="AG9" s="12">
        <f>IF(AND(ISNUMBER(RU_Clean!AG9),ISNUMBER(RU_Clean!AG8)),(RU_Clean!AG9-RU_Clean!AG8)/RU_Clean!AG8*100,"")</f>
        <v>0.754005655042424</v>
      </c>
      <c r="AH9" s="12">
        <f>IF(AND(ISNUMBER(RU_Clean!AH9),ISNUMBER(RU_Clean!AH8)),(RU_Clean!AH9-RU_Clean!AH8)/RU_Clean!AH8*100,"")</f>
        <v>0.81871345029238</v>
      </c>
    </row>
    <row r="10" spans="1:34">
      <c r="A10" s="6">
        <f>RU_Clean!A10</f>
        <v>2013</v>
      </c>
      <c r="B10" s="6">
        <f>RU_Clean!B10</f>
        <v>6</v>
      </c>
      <c r="C10" s="6" t="str">
        <f>RU_Clean!C10</f>
        <v>June</v>
      </c>
      <c r="D10" s="9">
        <f>RU_Clean!D10</f>
        <v>41426</v>
      </c>
      <c r="E10" s="6"/>
      <c r="F10" s="6"/>
      <c r="G10" s="12">
        <f>IF(AND(ISNUMBER(RU_Clean!G10),ISNUMBER(RU_Clean!G9)),(RU_Clean!G10-RU_Clean!G9)/RU_Clean!G9*100,"")</f>
        <v>1.33570792520036</v>
      </c>
      <c r="H10" s="12">
        <f>IF(AND(ISNUMBER(RU_Clean!H10),ISNUMBER(RU_Clean!H9)),(RU_Clean!H10-RU_Clean!H9)/RU_Clean!H9*100,"")</f>
        <v>3.2345013477089</v>
      </c>
      <c r="I10" s="12">
        <f>IF(AND(ISNUMBER(RU_Clean!I10),ISNUMBER(RU_Clean!I9)),(RU_Clean!I10-RU_Clean!I9)/RU_Clean!I9*100,"")</f>
        <v>4.87106017191977</v>
      </c>
      <c r="J10" s="12">
        <f>IF(AND(ISNUMBER(RU_Clean!J10),ISNUMBER(RU_Clean!J9)),(RU_Clean!J10-RU_Clean!J9)/RU_Clean!J9*100,"")</f>
        <v>1.02996254681649</v>
      </c>
      <c r="K10" s="12">
        <f>IF(AND(ISNUMBER(RU_Clean!K10),ISNUMBER(RU_Clean!K9)),(RU_Clean!K10-RU_Clean!K9)/RU_Clean!K9*100,"")</f>
        <v>0.288739172281037</v>
      </c>
      <c r="L10" s="12">
        <f>IF(AND(ISNUMBER(RU_Clean!L10),ISNUMBER(RU_Clean!L9)),(RU_Clean!L10-RU_Clean!L9)/RU_Clean!L9*100,"")</f>
        <v>1.28087831655993</v>
      </c>
      <c r="M10" s="12">
        <f>IF(AND(ISNUMBER(RU_Clean!M10),ISNUMBER(RU_Clean!M9)),(RU_Clean!M10-RU_Clean!M9)/RU_Clean!M9*100,"")</f>
        <v>12.2232063773251</v>
      </c>
      <c r="N10" s="12">
        <f>IF(AND(ISNUMBER(RU_Clean!N10),ISNUMBER(RU_Clean!N9)),(RU_Clean!N10-RU_Clean!N9)/RU_Clean!N9*100,"")</f>
        <v>0.472589792060492</v>
      </c>
      <c r="O10" s="12">
        <f>IF(AND(ISNUMBER(RU_Clean!O10),ISNUMBER(RU_Clean!O9)),(RU_Clean!O10-RU_Clean!O9)/RU_Clean!O9*100,"")</f>
        <v>0.096993210475275</v>
      </c>
      <c r="P10" s="12">
        <f>IF(AND(ISNUMBER(RU_Clean!P10),ISNUMBER(RU_Clean!P9)),(RU_Clean!P10-RU_Clean!P9)/RU_Clean!P9*100,"")</f>
        <v>1.34228187919464</v>
      </c>
      <c r="Q10" s="12">
        <f>IF(AND(ISNUMBER(RU_Clean!Q10),ISNUMBER(RU_Clean!Q9)),(RU_Clean!Q10-RU_Clean!Q9)/RU_Clean!Q9*100,"")</f>
        <v>0.832562442183169</v>
      </c>
      <c r="R10" s="12">
        <f>IF(AND(ISNUMBER(RU_Clean!R10),ISNUMBER(RU_Clean!R9)),(RU_Clean!R10-RU_Clean!R9)/RU_Clean!R9*100,"")</f>
        <v>0.995475113122167</v>
      </c>
      <c r="S10" s="12">
        <f>IF(AND(ISNUMBER(RU_Clean!S10),ISNUMBER(RU_Clean!S9)),(RU_Clean!S10-RU_Clean!S9)/RU_Clean!S9*100,"")</f>
        <v>2.74725274725275</v>
      </c>
      <c r="T10" s="12">
        <f>IF(AND(ISNUMBER(RU_Clean!T10),ISNUMBER(RU_Clean!T9)),(RU_Clean!T10-RU_Clean!T9)/RU_Clean!T9*100,"")</f>
        <v>0.828729281767961</v>
      </c>
      <c r="U10" s="12">
        <f>IF(AND(ISNUMBER(RU_Clean!U10),ISNUMBER(RU_Clean!U9)),(RU_Clean!U10-RU_Clean!U9)/RU_Clean!U9*100,"")</f>
        <v>0.73597056117755</v>
      </c>
      <c r="V10" s="12">
        <f>IF(AND(ISNUMBER(RU_Clean!V10),ISNUMBER(RU_Clean!V9)),(RU_Clean!V10-RU_Clean!V9)/RU_Clean!V9*100,"")</f>
        <v>0.651769087523267</v>
      </c>
      <c r="W10" s="12">
        <f>IF(AND(ISNUMBER(RU_Clean!W10),ISNUMBER(RU_Clean!W9)),(RU_Clean!W10-RU_Clean!W9)/RU_Clean!W9*100,"")</f>
        <v>0.73732718894009</v>
      </c>
      <c r="X10" s="12">
        <f>IF(AND(ISNUMBER(RU_Clean!X10),ISNUMBER(RU_Clean!X9)),(RU_Clean!X10-RU_Clean!X9)/RU_Clean!X9*100,"")</f>
        <v>6.06965174129353</v>
      </c>
      <c r="Y10" s="12">
        <f>IF(AND(ISNUMBER(RU_Clean!Y10),ISNUMBER(RU_Clean!Y9)),(RU_Clean!Y10-RU_Clean!Y9)/RU_Clean!Y9*100,"")</f>
        <v>0.837988826815634</v>
      </c>
      <c r="Z10" s="12">
        <f>IF(AND(ISNUMBER(RU_Clean!Z10),ISNUMBER(RU_Clean!Z9)),(RU_Clean!Z10-RU_Clean!Z9)/RU_Clean!Z9*100,"")</f>
        <v>0.654817586529456</v>
      </c>
      <c r="AA10" s="12">
        <f>IF(AND(ISNUMBER(RU_Clean!AA10),ISNUMBER(RU_Clean!AA9)),(RU_Clean!AA10-RU_Clean!AA9)/RU_Clean!AA9*100,"")</f>
        <v>0.472143531633617</v>
      </c>
      <c r="AB10" s="12">
        <f>IF(AND(ISNUMBER(RU_Clean!AB10),ISNUMBER(RU_Clean!AB9)),(RU_Clean!AB10-RU_Clean!AB9)/RU_Clean!AB9*100,"")</f>
        <v>1.0576923076923</v>
      </c>
      <c r="AC10" s="12">
        <f>IF(AND(ISNUMBER(RU_Clean!AC10),ISNUMBER(RU_Clean!AC9)),(RU_Clean!AC10-RU_Clean!AC9)/RU_Clean!AC9*100,"")</f>
        <v>0.572519083969474</v>
      </c>
      <c r="AD10" s="12">
        <f>IF(AND(ISNUMBER(RU_Clean!AD10),ISNUMBER(RU_Clean!AD9)),(RU_Clean!AD10-RU_Clean!AD9)/RU_Clean!AD9*100,"")</f>
        <v>1.70454545454547</v>
      </c>
      <c r="AE10" s="12">
        <f>IF(AND(ISNUMBER(RU_Clean!AE10),ISNUMBER(RU_Clean!AE9)),(RU_Clean!AE10-RU_Clean!AE9)/RU_Clean!AE9*100,"")</f>
        <v>0.488758553274682</v>
      </c>
      <c r="AF10" s="12">
        <f>IF(AND(ISNUMBER(RU_Clean!AF10),ISNUMBER(RU_Clean!AF9)),(RU_Clean!AF10-RU_Clean!AF9)/RU_Clean!AF9*100,"")</f>
        <v>0.954198473282443</v>
      </c>
      <c r="AG10" s="12">
        <f>IF(AND(ISNUMBER(RU_Clean!AG10),ISNUMBER(RU_Clean!AG9)),(RU_Clean!AG10-RU_Clean!AG9)/RU_Clean!AG9*100,"")</f>
        <v>2.24508886810102</v>
      </c>
      <c r="AH10" s="12">
        <f>IF(AND(ISNUMBER(RU_Clean!AH10),ISNUMBER(RU_Clean!AH9)),(RU_Clean!AH10-RU_Clean!AH9)/RU_Clean!AH9*100,"")</f>
        <v>2.38205723124518</v>
      </c>
    </row>
    <row r="11" spans="1:34">
      <c r="A11" s="6">
        <f>RU_Clean!A11</f>
        <v>2013</v>
      </c>
      <c r="B11" s="6">
        <f>RU_Clean!B11</f>
        <v>7</v>
      </c>
      <c r="C11" s="6" t="str">
        <f>RU_Clean!C11</f>
        <v>July</v>
      </c>
      <c r="D11" s="9">
        <f>RU_Clean!D11</f>
        <v>41456</v>
      </c>
      <c r="E11" s="6"/>
      <c r="F11" s="6"/>
      <c r="G11" s="12">
        <f>IF(AND(ISNUMBER(RU_Clean!G11),ISNUMBER(RU_Clean!G10)),(RU_Clean!G11-RU_Clean!G10)/RU_Clean!G10*100,"")</f>
        <v>0.878734622144113</v>
      </c>
      <c r="H11" s="12">
        <f>IF(AND(ISNUMBER(RU_Clean!H11),ISNUMBER(RU_Clean!H10)),(RU_Clean!H11-RU_Clean!H10)/RU_Clean!H10*100,"")</f>
        <v>1.30548302872063</v>
      </c>
      <c r="I11" s="12">
        <f>IF(AND(ISNUMBER(RU_Clean!I11),ISNUMBER(RU_Clean!I10)),(RU_Clean!I11-RU_Clean!I10)/RU_Clean!I10*100,"")</f>
        <v>1.91256830601094</v>
      </c>
      <c r="J11" s="12">
        <f>IF(AND(ISNUMBER(RU_Clean!J11),ISNUMBER(RU_Clean!J10)),(RU_Clean!J11-RU_Clean!J10)/RU_Clean!J10*100,"")</f>
        <v>0.92678405931418</v>
      </c>
      <c r="K11" s="12">
        <f>IF(AND(ISNUMBER(RU_Clean!K11),ISNUMBER(RU_Clean!K10)),(RU_Clean!K11-RU_Clean!K10)/RU_Clean!K10*100,"")</f>
        <v>0.0959692898272498</v>
      </c>
      <c r="L11" s="12">
        <f>IF(AND(ISNUMBER(RU_Clean!L11),ISNUMBER(RU_Clean!L10)),(RU_Clean!L11-RU_Clean!L10)/RU_Clean!L10*100,"")</f>
        <v>0.903342366757001</v>
      </c>
      <c r="M11" s="12">
        <f>IF(AND(ISNUMBER(RU_Clean!M11),ISNUMBER(RU_Clean!M10)),(RU_Clean!M11-RU_Clean!M10)/RU_Clean!M10*100,"")</f>
        <v>10.4972375690608</v>
      </c>
      <c r="N11" s="12">
        <f>IF(AND(ISNUMBER(RU_Clean!N11),ISNUMBER(RU_Clean!N10)),(RU_Clean!N11-RU_Clean!N10)/RU_Clean!N10*100,"")</f>
        <v>0.0940733772342507</v>
      </c>
      <c r="O11" s="12">
        <f>IF(AND(ISNUMBER(RU_Clean!O11),ISNUMBER(RU_Clean!O10)),(RU_Clean!O11-RU_Clean!O10)/RU_Clean!O10*100,"")</f>
        <v>0.096899224806196</v>
      </c>
      <c r="P11" s="12">
        <f>IF(AND(ISNUMBER(RU_Clean!P11),ISNUMBER(RU_Clean!P10)),(RU_Clean!P11-RU_Clean!P10)/RU_Clean!P10*100,"")</f>
        <v>1.0406811731315</v>
      </c>
      <c r="Q11" s="12">
        <f>IF(AND(ISNUMBER(RU_Clean!Q11),ISNUMBER(RU_Clean!Q10)),(RU_Clean!Q11-RU_Clean!Q10)/RU_Clean!Q10*100,"")</f>
        <v>0.550458715596325</v>
      </c>
      <c r="R11" s="12">
        <f>IF(AND(ISNUMBER(RU_Clean!R11),ISNUMBER(RU_Clean!R10)),(RU_Clean!R11-RU_Clean!R10)/RU_Clean!R10*100,"")</f>
        <v>0.896057347670251</v>
      </c>
      <c r="S11" s="12">
        <f>IF(AND(ISNUMBER(RU_Clean!S11),ISNUMBER(RU_Clean!S10)),(RU_Clean!S11-RU_Clean!S10)/RU_Clean!S10*100,"")</f>
        <v>2.22816399286987</v>
      </c>
      <c r="T11" s="12">
        <f>IF(AND(ISNUMBER(RU_Clean!T11),ISNUMBER(RU_Clean!T10)),(RU_Clean!T11-RU_Clean!T10)/RU_Clean!T10*100,"")</f>
        <v>0.730593607305933</v>
      </c>
      <c r="U11" s="12">
        <f>IF(AND(ISNUMBER(RU_Clean!U11),ISNUMBER(RU_Clean!U10)),(RU_Clean!U11-RU_Clean!U10)/RU_Clean!U10*100,"")</f>
        <v>0.639269406392697</v>
      </c>
      <c r="V11" s="12">
        <f>IF(AND(ISNUMBER(RU_Clean!V11),ISNUMBER(RU_Clean!V10)),(RU_Clean!V11-RU_Clean!V10)/RU_Clean!V10*100,"")</f>
        <v>0.647548566142463</v>
      </c>
      <c r="W11" s="12">
        <f>IF(AND(ISNUMBER(RU_Clean!W11),ISNUMBER(RU_Clean!W10)),(RU_Clean!W11-RU_Clean!W10)/RU_Clean!W10*100,"")</f>
        <v>0.640439158279966</v>
      </c>
      <c r="X11" s="12">
        <f>IF(AND(ISNUMBER(RU_Clean!X11),ISNUMBER(RU_Clean!X10)),(RU_Clean!X11-RU_Clean!X10)/RU_Clean!X10*100,"")</f>
        <v>1.03189493433397</v>
      </c>
      <c r="Y11" s="12">
        <f>IF(AND(ISNUMBER(RU_Clean!Y11),ISNUMBER(RU_Clean!Y10)),(RU_Clean!Y11-RU_Clean!Y10)/RU_Clean!Y10*100,"")</f>
        <v>0.831024930747928</v>
      </c>
      <c r="Z11" s="12">
        <f>IF(AND(ISNUMBER(RU_Clean!Z11),ISNUMBER(RU_Clean!Z10)),(RU_Clean!Z11-RU_Clean!Z10)/RU_Clean!Z10*100,"")</f>
        <v>0.557620817843874</v>
      </c>
      <c r="AA11" s="12">
        <f>IF(AND(ISNUMBER(RU_Clean!AA11),ISNUMBER(RU_Clean!AA10)),(RU_Clean!AA11-RU_Clean!AA10)/RU_Clean!AA10*100,"")</f>
        <v>0.563909774436085</v>
      </c>
      <c r="AB11" s="12">
        <f>IF(AND(ISNUMBER(RU_Clean!AB11),ISNUMBER(RU_Clean!AB10)),(RU_Clean!AB11-RU_Clean!AB10)/RU_Clean!AB10*100,"")</f>
        <v>1.90294957183635</v>
      </c>
      <c r="AC11" s="12">
        <f>IF(AND(ISNUMBER(RU_Clean!AC11),ISNUMBER(RU_Clean!AC10)),(RU_Clean!AC11-RU_Clean!AC10)/RU_Clean!AC10*100,"")</f>
        <v>0.664136622390881</v>
      </c>
      <c r="AD11" s="12">
        <f>IF(AND(ISNUMBER(RU_Clean!AD11),ISNUMBER(RU_Clean!AD10)),(RU_Clean!AD11-RU_Clean!AD10)/RU_Clean!AD10*100,"")</f>
        <v>1.58286778398509</v>
      </c>
      <c r="AE11" s="12">
        <f>IF(AND(ISNUMBER(RU_Clean!AE11),ISNUMBER(RU_Clean!AE10)),(RU_Clean!AE11-RU_Clean!AE10)/RU_Clean!AE10*100,"")</f>
        <v>0</v>
      </c>
      <c r="AF11" s="12">
        <f>IF(AND(ISNUMBER(RU_Clean!AF11),ISNUMBER(RU_Clean!AF10)),(RU_Clean!AF11-RU_Clean!AF10)/RU_Clean!AF10*100,"")</f>
        <v>1.03969754253309</v>
      </c>
      <c r="AG11" s="12">
        <f>IF(AND(ISNUMBER(RU_Clean!AG11),ISNUMBER(RU_Clean!AG10)),(RU_Clean!AG11-RU_Clean!AG10)/RU_Clean!AG10*100,"")</f>
        <v>1.55535224153706</v>
      </c>
      <c r="AH11" s="12">
        <f>IF(AND(ISNUMBER(RU_Clean!AH11),ISNUMBER(RU_Clean!AH10)),(RU_Clean!AH11-RU_Clean!AH10)/RU_Clean!AH10*100,"")</f>
        <v>1.72986856020546</v>
      </c>
    </row>
    <row r="12" spans="1:34">
      <c r="A12" s="6">
        <f>RU_Clean!A12</f>
        <v>2013</v>
      </c>
      <c r="B12" s="6">
        <f>RU_Clean!B12</f>
        <v>8</v>
      </c>
      <c r="C12" s="6" t="str">
        <f>RU_Clean!C12</f>
        <v>August</v>
      </c>
      <c r="D12" s="9">
        <f>RU_Clean!D12</f>
        <v>41487</v>
      </c>
      <c r="E12" s="6"/>
      <c r="F12" s="6"/>
      <c r="G12" s="12">
        <f>IF(AND(ISNUMBER(RU_Clean!G12),ISNUMBER(RU_Clean!G11)),(RU_Clean!G12-RU_Clean!G11)/RU_Clean!G11*100,"")</f>
        <v>0.696864111498255</v>
      </c>
      <c r="H12" s="12">
        <f>IF(AND(ISNUMBER(RU_Clean!H12),ISNUMBER(RU_Clean!H11)),(RU_Clean!H12-RU_Clean!H11)/RU_Clean!H11*100,"")</f>
        <v>0.687285223367695</v>
      </c>
      <c r="I12" s="12">
        <f>IF(AND(ISNUMBER(RU_Clean!I12),ISNUMBER(RU_Clean!I11)),(RU_Clean!I12-RU_Clean!I11)/RU_Clean!I11*100,"")</f>
        <v>-0.178731009830208</v>
      </c>
      <c r="J12" s="12">
        <f>IF(AND(ISNUMBER(RU_Clean!J12),ISNUMBER(RU_Clean!J11)),(RU_Clean!J12-RU_Clean!J11)/RU_Clean!J11*100,"")</f>
        <v>0.642791551882451</v>
      </c>
      <c r="K12" s="12">
        <f>IF(AND(ISNUMBER(RU_Clean!K12),ISNUMBER(RU_Clean!K11)),(RU_Clean!K12-RU_Clean!K11)/RU_Clean!K11*100,"")</f>
        <v>0.191754554170664</v>
      </c>
      <c r="L12" s="12">
        <f>IF(AND(ISNUMBER(RU_Clean!L12),ISNUMBER(RU_Clean!L11)),(RU_Clean!L12-RU_Clean!L11)/RU_Clean!L11*100,"")</f>
        <v>-1.70098478066249</v>
      </c>
      <c r="M12" s="12">
        <f>IF(AND(ISNUMBER(RU_Clean!M12),ISNUMBER(RU_Clean!M11)),(RU_Clean!M12-RU_Clean!M11)/RU_Clean!M11*100,"")</f>
        <v>8.42857142857144</v>
      </c>
      <c r="N12" s="12">
        <f>IF(AND(ISNUMBER(RU_Clean!N12),ISNUMBER(RU_Clean!N11)),(RU_Clean!N12-RU_Clean!N11)/RU_Clean!N11*100,"")</f>
        <v>0.0939849624060097</v>
      </c>
      <c r="O12" s="12">
        <f>IF(AND(ISNUMBER(RU_Clean!O12),ISNUMBER(RU_Clean!O11)),(RU_Clean!O12-RU_Clean!O11)/RU_Clean!O11*100,"")</f>
        <v>-0.193610842207166</v>
      </c>
      <c r="P12" s="12">
        <f>IF(AND(ISNUMBER(RU_Clean!P12),ISNUMBER(RU_Clean!P11)),(RU_Clean!P12-RU_Clean!P11)/RU_Clean!P11*100,"")</f>
        <v>0.561797752808997</v>
      </c>
      <c r="Q12" s="12">
        <f>IF(AND(ISNUMBER(RU_Clean!Q12),ISNUMBER(RU_Clean!Q11)),(RU_Clean!Q12-RU_Clean!Q11)/RU_Clean!Q11*100,"")</f>
        <v>0.54744525547446</v>
      </c>
      <c r="R12" s="12">
        <f>IF(AND(ISNUMBER(RU_Clean!R12),ISNUMBER(RU_Clean!R11)),(RU_Clean!R12-RU_Clean!R11)/RU_Clean!R11*100,"")</f>
        <v>0.710479573712266</v>
      </c>
      <c r="S12" s="12">
        <f>IF(AND(ISNUMBER(RU_Clean!S12),ISNUMBER(RU_Clean!S11)),(RU_Clean!S12-RU_Clean!S11)/RU_Clean!S11*100,"")</f>
        <v>1.65649520488229</v>
      </c>
      <c r="T12" s="12">
        <f>IF(AND(ISNUMBER(RU_Clean!T12),ISNUMBER(RU_Clean!T11)),(RU_Clean!T12-RU_Clean!T11)/RU_Clean!T11*100,"")</f>
        <v>0.815956482320948</v>
      </c>
      <c r="U12" s="12">
        <f>IF(AND(ISNUMBER(RU_Clean!U12),ISNUMBER(RU_Clean!U11)),(RU_Clean!U12-RU_Clean!U11)/RU_Clean!U11*100,"")</f>
        <v>0.725952813067148</v>
      </c>
      <c r="V12" s="12">
        <f>IF(AND(ISNUMBER(RU_Clean!V12),ISNUMBER(RU_Clean!V11)),(RU_Clean!V12-RU_Clean!V11)/RU_Clean!V11*100,"")</f>
        <v>0.551470588235302</v>
      </c>
      <c r="W12" s="12">
        <f>IF(AND(ISNUMBER(RU_Clean!W12),ISNUMBER(RU_Clean!W11)),(RU_Clean!W12-RU_Clean!W11)/RU_Clean!W11*100,"")</f>
        <v>0.636363636363639</v>
      </c>
      <c r="X12" s="12">
        <f>IF(AND(ISNUMBER(RU_Clean!X12),ISNUMBER(RU_Clean!X11)),(RU_Clean!X12-RU_Clean!X11)/RU_Clean!X11*100,"")</f>
        <v>1.11420612813371</v>
      </c>
      <c r="Y12" s="12">
        <f>IF(AND(ISNUMBER(RU_Clean!Y12),ISNUMBER(RU_Clean!Y11)),(RU_Clean!Y12-RU_Clean!Y11)/RU_Clean!Y11*100,"")</f>
        <v>0.457875457875458</v>
      </c>
      <c r="Z12" s="12">
        <f>IF(AND(ISNUMBER(RU_Clean!Z12),ISNUMBER(RU_Clean!Z11)),(RU_Clean!Z12-RU_Clean!Z11)/RU_Clean!Z11*100,"")</f>
        <v>0.462107208872458</v>
      </c>
      <c r="AA12" s="12">
        <f>IF(AND(ISNUMBER(RU_Clean!AA12),ISNUMBER(RU_Clean!AA11)),(RU_Clean!AA12-RU_Clean!AA11)/RU_Clean!AA11*100,"")</f>
        <v>0.467289719626168</v>
      </c>
      <c r="AB12" s="12">
        <f>IF(AND(ISNUMBER(RU_Clean!AB12),ISNUMBER(RU_Clean!AB11)),(RU_Clean!AB12-RU_Clean!AB11)/RU_Clean!AB11*100,"")</f>
        <v>0.840336134453787</v>
      </c>
      <c r="AC12" s="12">
        <f>IF(AND(ISNUMBER(RU_Clean!AC12),ISNUMBER(RU_Clean!AC11)),(RU_Clean!AC12-RU_Clean!AC11)/RU_Clean!AC11*100,"")</f>
        <v>0.471253534401508</v>
      </c>
      <c r="AD12" s="12">
        <f>IF(AND(ISNUMBER(RU_Clean!AD12),ISNUMBER(RU_Clean!AD11)),(RU_Clean!AD12-RU_Clean!AD11)/RU_Clean!AD11*100,"")</f>
        <v>0.733272227314401</v>
      </c>
      <c r="AE12" s="12">
        <f>IF(AND(ISNUMBER(RU_Clean!AE12),ISNUMBER(RU_Clean!AE11)),(RU_Clean!AE12-RU_Clean!AE11)/RU_Clean!AE11*100,"")</f>
        <v>2.52918287937744</v>
      </c>
      <c r="AF12" s="12">
        <f>IF(AND(ISNUMBER(RU_Clean!AF12),ISNUMBER(RU_Clean!AF11)),(RU_Clean!AF12-RU_Clean!AF11)/RU_Clean!AF11*100,"")</f>
        <v>0.935453695042095</v>
      </c>
      <c r="AG12" s="12">
        <f>IF(AND(ISNUMBER(RU_Clean!AG12),ISNUMBER(RU_Clean!AG11)),(RU_Clean!AG12-RU_Clean!AG11)/RU_Clean!AG11*100,"")</f>
        <v>1.26126126126127</v>
      </c>
      <c r="AH12" s="12">
        <f>IF(AND(ISNUMBER(RU_Clean!AH12),ISNUMBER(RU_Clean!AH11)),(RU_Clean!AH12-RU_Clean!AH11)/RU_Clean!AH11*100,"")</f>
        <v>1.047003787035</v>
      </c>
    </row>
    <row r="13" spans="1:34">
      <c r="A13" s="6">
        <f>RU_Clean!A13</f>
        <v>2013</v>
      </c>
      <c r="B13" s="6">
        <f>RU_Clean!B13</f>
        <v>9</v>
      </c>
      <c r="C13" s="6" t="str">
        <f>RU_Clean!C13</f>
        <v>September</v>
      </c>
      <c r="D13" s="9">
        <f>RU_Clean!D13</f>
        <v>41518</v>
      </c>
      <c r="E13" s="6"/>
      <c r="F13" s="6"/>
      <c r="G13" s="12">
        <f>IF(AND(ISNUMBER(RU_Clean!G13),ISNUMBER(RU_Clean!G12)),(RU_Clean!G13-RU_Clean!G12)/RU_Clean!G12*100,"")</f>
        <v>0.692041522491359</v>
      </c>
      <c r="H13" s="12">
        <f>IF(AND(ISNUMBER(RU_Clean!H13),ISNUMBER(RU_Clean!H12)),(RU_Clean!H13-RU_Clean!H12)/RU_Clean!H12*100,"")</f>
        <v>-0.255972696245731</v>
      </c>
      <c r="I13" s="12">
        <f>IF(AND(ISNUMBER(RU_Clean!I13),ISNUMBER(RU_Clean!I12)),(RU_Clean!I13-RU_Clean!I12)/RU_Clean!I12*100,"")</f>
        <v>0.537153088630255</v>
      </c>
      <c r="J13" s="12">
        <f>IF(AND(ISNUMBER(RU_Clean!J13),ISNUMBER(RU_Clean!J12)),(RU_Clean!J13-RU_Clean!J12)/RU_Clean!J12*100,"")</f>
        <v>0.821167883211684</v>
      </c>
      <c r="K13" s="12">
        <f>IF(AND(ISNUMBER(RU_Clean!K13),ISNUMBER(RU_Clean!K12)),(RU_Clean!K13-RU_Clean!K12)/RU_Clean!K12*100,"")</f>
        <v>0.765550239234447</v>
      </c>
      <c r="L13" s="12">
        <f>IF(AND(ISNUMBER(RU_Clean!L13),ISNUMBER(RU_Clean!L12)),(RU_Clean!L13-RU_Clean!L12)/RU_Clean!L12*100,"")</f>
        <v>-2.27686703096539</v>
      </c>
      <c r="M13" s="12">
        <f>IF(AND(ISNUMBER(RU_Clean!M13),ISNUMBER(RU_Clean!M12)),(RU_Clean!M13-RU_Clean!M12)/RU_Clean!M12*100,"")</f>
        <v>5.99472990777338</v>
      </c>
      <c r="N13" s="12">
        <f>IF(AND(ISNUMBER(RU_Clean!N13),ISNUMBER(RU_Clean!N12)),(RU_Clean!N13-RU_Clean!N12)/RU_Clean!N12*100,"")</f>
        <v>0.563380281690136</v>
      </c>
      <c r="O13" s="12">
        <f>IF(AND(ISNUMBER(RU_Clean!O13),ISNUMBER(RU_Clean!O12)),(RU_Clean!O13-RU_Clean!O12)/RU_Clean!O12*100,"")</f>
        <v>0</v>
      </c>
      <c r="P13" s="12">
        <f>IF(AND(ISNUMBER(RU_Clean!P13),ISNUMBER(RU_Clean!P12)),(RU_Clean!P13-RU_Clean!P12)/RU_Clean!P12*100,"")</f>
        <v>0.837988826815634</v>
      </c>
      <c r="Q13" s="12">
        <f>IF(AND(ISNUMBER(RU_Clean!Q13),ISNUMBER(RU_Clean!Q12)),(RU_Clean!Q13-RU_Clean!Q12)/RU_Clean!Q12*100,"")</f>
        <v>0.453720508166969</v>
      </c>
      <c r="R13" s="12">
        <f>IF(AND(ISNUMBER(RU_Clean!R13),ISNUMBER(RU_Clean!R12)),(RU_Clean!R13-RU_Clean!R12)/RU_Clean!R12*100,"")</f>
        <v>1.05820105820105</v>
      </c>
      <c r="S13" s="12">
        <f>IF(AND(ISNUMBER(RU_Clean!S13),ISNUMBER(RU_Clean!S12)),(RU_Clean!S13-RU_Clean!S12)/RU_Clean!S12*100,"")</f>
        <v>1.45797598627788</v>
      </c>
      <c r="T13" s="12">
        <f>IF(AND(ISNUMBER(RU_Clean!T13),ISNUMBER(RU_Clean!T12)),(RU_Clean!T13-RU_Clean!T12)/RU_Clean!T12*100,"")</f>
        <v>0.719424460431652</v>
      </c>
      <c r="U13" s="12">
        <f>IF(AND(ISNUMBER(RU_Clean!U13),ISNUMBER(RU_Clean!U12)),(RU_Clean!U13-RU_Clean!U12)/RU_Clean!U12*100,"")</f>
        <v>1.08108108108108</v>
      </c>
      <c r="V13" s="12">
        <f>IF(AND(ISNUMBER(RU_Clean!V13),ISNUMBER(RU_Clean!V12)),(RU_Clean!V13-RU_Clean!V12)/RU_Clean!V12*100,"")</f>
        <v>0.914076782449726</v>
      </c>
      <c r="W13" s="12">
        <f>IF(AND(ISNUMBER(RU_Clean!W13),ISNUMBER(RU_Clean!W12)),(RU_Clean!W13-RU_Clean!W12)/RU_Clean!W12*100,"")</f>
        <v>1.0840108401084</v>
      </c>
      <c r="X13" s="12">
        <f>IF(AND(ISNUMBER(RU_Clean!X13),ISNUMBER(RU_Clean!X12)),(RU_Clean!X13-RU_Clean!X12)/RU_Clean!X12*100,"")</f>
        <v>0.734618916437096</v>
      </c>
      <c r="Y13" s="12">
        <f>IF(AND(ISNUMBER(RU_Clean!Y13),ISNUMBER(RU_Clean!Y12)),(RU_Clean!Y13-RU_Clean!Y12)/RU_Clean!Y12*100,"")</f>
        <v>0.729261622607108</v>
      </c>
      <c r="Z13" s="12">
        <f>IF(AND(ISNUMBER(RU_Clean!Z13),ISNUMBER(RU_Clean!Z12)),(RU_Clean!Z13-RU_Clean!Z12)/RU_Clean!Z12*100,"")</f>
        <v>0.827966881324739</v>
      </c>
      <c r="AA13" s="12">
        <f>IF(AND(ISNUMBER(RU_Clean!AA13),ISNUMBER(RU_Clean!AA12)),(RU_Clean!AA13-RU_Clean!AA12)/RU_Clean!AA12*100,"")</f>
        <v>0.558139534883716</v>
      </c>
      <c r="AB13" s="12">
        <f>IF(AND(ISNUMBER(RU_Clean!AB13),ISNUMBER(RU_Clean!AB12)),(RU_Clean!AB13-RU_Clean!AB12)/RU_Clean!AB12*100,"")</f>
        <v>1.75925925925926</v>
      </c>
      <c r="AC13" s="12">
        <f>IF(AND(ISNUMBER(RU_Clean!AC13),ISNUMBER(RU_Clean!AC12)),(RU_Clean!AC13-RU_Clean!AC12)/RU_Clean!AC12*100,"")</f>
        <v>0.844277673545972</v>
      </c>
      <c r="AD13" s="12">
        <f>IF(AND(ISNUMBER(RU_Clean!AD13),ISNUMBER(RU_Clean!AD12)),(RU_Clean!AD13-RU_Clean!AD12)/RU_Clean!AD12*100,"")</f>
        <v>0.636942675159225</v>
      </c>
      <c r="AE13" s="12">
        <f>IF(AND(ISNUMBER(RU_Clean!AE13),ISNUMBER(RU_Clean!AE12)),(RU_Clean!AE13-RU_Clean!AE12)/RU_Clean!AE12*100,"")</f>
        <v>1.32827324478178</v>
      </c>
      <c r="AF13" s="12">
        <f>IF(AND(ISNUMBER(RU_Clean!AF13),ISNUMBER(RU_Clean!AF12)),(RU_Clean!AF13-RU_Clean!AF12)/RU_Clean!AF12*100,"")</f>
        <v>1.01946246524559</v>
      </c>
      <c r="AG13" s="12">
        <f>IF(AND(ISNUMBER(RU_Clean!AG13),ISNUMBER(RU_Clean!AG12)),(RU_Clean!AG13-RU_Clean!AG12)/RU_Clean!AG12*100,"")</f>
        <v>1.15658362989324</v>
      </c>
      <c r="AH13" s="12">
        <f>IF(AND(ISNUMBER(RU_Clean!AH13),ISNUMBER(RU_Clean!AH12)),(RU_Clean!AH13-RU_Clean!AH12)/RU_Clean!AH12*100,"")</f>
        <v>0.925925925925903</v>
      </c>
    </row>
    <row r="14" spans="1:34">
      <c r="A14" s="6">
        <f>RU_Clean!A14</f>
        <v>2013</v>
      </c>
      <c r="B14" s="6">
        <f>RU_Clean!B14</f>
        <v>10</v>
      </c>
      <c r="C14" s="6" t="str">
        <f>RU_Clean!C14</f>
        <v>October</v>
      </c>
      <c r="D14" s="9">
        <f>RU_Clean!D14</f>
        <v>41548</v>
      </c>
      <c r="E14" s="6"/>
      <c r="F14" s="6"/>
      <c r="G14" s="12">
        <f>IF(AND(ISNUMBER(RU_Clean!G14),ISNUMBER(RU_Clean!G13)),(RU_Clean!G14-RU_Clean!G13)/RU_Clean!G13*100,"")</f>
        <v>0.601374570446726</v>
      </c>
      <c r="H14" s="12">
        <f>IF(AND(ISNUMBER(RU_Clean!H14),ISNUMBER(RU_Clean!H13)),(RU_Clean!H14-RU_Clean!H13)/RU_Clean!H13*100,"")</f>
        <v>-0.513259195893934</v>
      </c>
      <c r="I14" s="12">
        <f>IF(AND(ISNUMBER(RU_Clean!I14),ISNUMBER(RU_Clean!I13)),(RU_Clean!I14-RU_Clean!I13)/RU_Clean!I13*100,"")</f>
        <v>0.890471950133571</v>
      </c>
      <c r="J14" s="12">
        <f>IF(AND(ISNUMBER(RU_Clean!J14),ISNUMBER(RU_Clean!J13)),(RU_Clean!J14-RU_Clean!J13)/RU_Clean!J13*100,"")</f>
        <v>0.63348416289593</v>
      </c>
      <c r="K14" s="12">
        <f>IF(AND(ISNUMBER(RU_Clean!K14),ISNUMBER(RU_Clean!K13)),(RU_Clean!K14-RU_Clean!K13)/RU_Clean!K13*100,"")</f>
        <v>0.379867046533719</v>
      </c>
      <c r="L14" s="12">
        <f>IF(AND(ISNUMBER(RU_Clean!L14),ISNUMBER(RU_Clean!L13)),(RU_Clean!L14-RU_Clean!L13)/RU_Clean!L13*100,"")</f>
        <v>2.42311276794036</v>
      </c>
      <c r="M14" s="12">
        <f>IF(AND(ISNUMBER(RU_Clean!M14),ISNUMBER(RU_Clean!M13)),(RU_Clean!M14-RU_Clean!M13)/RU_Clean!M13*100,"")</f>
        <v>6.40149160969545</v>
      </c>
      <c r="N14" s="12">
        <f>IF(AND(ISNUMBER(RU_Clean!N14),ISNUMBER(RU_Clean!N13)),(RU_Clean!N14-RU_Clean!N13)/RU_Clean!N13*100,"")</f>
        <v>0.186741363211954</v>
      </c>
      <c r="O14" s="12">
        <f>IF(AND(ISNUMBER(RU_Clean!O14),ISNUMBER(RU_Clean!O13)),(RU_Clean!O14-RU_Clean!O13)/RU_Clean!O13*100,"")</f>
        <v>-0.387972841901059</v>
      </c>
      <c r="P14" s="12">
        <f>IF(AND(ISNUMBER(RU_Clean!P14),ISNUMBER(RU_Clean!P13)),(RU_Clean!P14-RU_Clean!P13)/RU_Clean!P13*100,"")</f>
        <v>0.369344413665749</v>
      </c>
      <c r="Q14" s="12">
        <f>IF(AND(ISNUMBER(RU_Clean!Q14),ISNUMBER(RU_Clean!Q13)),(RU_Clean!Q14-RU_Clean!Q13)/RU_Clean!Q13*100,"")</f>
        <v>0.4516711833785</v>
      </c>
      <c r="R14" s="12">
        <f>IF(AND(ISNUMBER(RU_Clean!R14),ISNUMBER(RU_Clean!R13)),(RU_Clean!R14-RU_Clean!R13)/RU_Clean!R13*100,"")</f>
        <v>0.698080279232122</v>
      </c>
      <c r="S14" s="12">
        <f>IF(AND(ISNUMBER(RU_Clean!S14),ISNUMBER(RU_Clean!S13)),(RU_Clean!S14-RU_Clean!S13)/RU_Clean!S13*100,"")</f>
        <v>1.60608622147084</v>
      </c>
      <c r="T14" s="12">
        <f>IF(AND(ISNUMBER(RU_Clean!T14),ISNUMBER(RU_Clean!T13)),(RU_Clean!T14-RU_Clean!T13)/RU_Clean!T13*100,"")</f>
        <v>0.446428571428571</v>
      </c>
      <c r="U14" s="12">
        <f>IF(AND(ISNUMBER(RU_Clean!U14),ISNUMBER(RU_Clean!U13)),(RU_Clean!U14-RU_Clean!U13)/RU_Clean!U13*100,"")</f>
        <v>0.89126559714795</v>
      </c>
      <c r="V14" s="12">
        <f>IF(AND(ISNUMBER(RU_Clean!V14),ISNUMBER(RU_Clean!V13)),(RU_Clean!V14-RU_Clean!V13)/RU_Clean!V13*100,"")</f>
        <v>0.724637681159418</v>
      </c>
      <c r="W14" s="12">
        <f>IF(AND(ISNUMBER(RU_Clean!W14),ISNUMBER(RU_Clean!W13)),(RU_Clean!W14-RU_Clean!W13)/RU_Clean!W13*100,"")</f>
        <v>0.804289544235917</v>
      </c>
      <c r="X14" s="12">
        <f>IF(AND(ISNUMBER(RU_Clean!X14),ISNUMBER(RU_Clean!X13)),(RU_Clean!X14-RU_Clean!X13)/RU_Clean!X13*100,"")</f>
        <v>0.729261622607108</v>
      </c>
      <c r="Y14" s="12">
        <f>IF(AND(ISNUMBER(RU_Clean!Y14),ISNUMBER(RU_Clean!Y13)),(RU_Clean!Y14-RU_Clean!Y13)/RU_Clean!Y13*100,"")</f>
        <v>0.361990950226249</v>
      </c>
      <c r="Z14" s="12">
        <f>IF(AND(ISNUMBER(RU_Clean!Z14),ISNUMBER(RU_Clean!Z13)),(RU_Clean!Z14-RU_Clean!Z13)/RU_Clean!Z13*100,"")</f>
        <v>0.638686131386864</v>
      </c>
      <c r="AA14" s="12">
        <f>IF(AND(ISNUMBER(RU_Clean!AA14),ISNUMBER(RU_Clean!AA13)),(RU_Clean!AA14-RU_Clean!AA13)/RU_Clean!AA13*100,"")</f>
        <v>0.462534690101758</v>
      </c>
      <c r="AB14" s="12">
        <f>IF(AND(ISNUMBER(RU_Clean!AB14),ISNUMBER(RU_Clean!AB13)),(RU_Clean!AB14-RU_Clean!AB13)/RU_Clean!AB13*100,"")</f>
        <v>-0.36396724294814</v>
      </c>
      <c r="AC14" s="12">
        <f>IF(AND(ISNUMBER(RU_Clean!AC14),ISNUMBER(RU_Clean!AC13)),(RU_Clean!AC14-RU_Clean!AC13)/RU_Clean!AC13*100,"")</f>
        <v>0.558139534883716</v>
      </c>
      <c r="AD14" s="12">
        <f>IF(AND(ISNUMBER(RU_Clean!AD14),ISNUMBER(RU_Clean!AD13)),(RU_Clean!AD14-RU_Clean!AD13)/RU_Clean!AD13*100,"")</f>
        <v>0.180831826401449</v>
      </c>
      <c r="AE14" s="12">
        <f>IF(AND(ISNUMBER(RU_Clean!AE14),ISNUMBER(RU_Clean!AE13)),(RU_Clean!AE14-RU_Clean!AE13)/RU_Clean!AE13*100,"")</f>
        <v>0.561797752808997</v>
      </c>
      <c r="AF14" s="12">
        <f>IF(AND(ISNUMBER(RU_Clean!AF14),ISNUMBER(RU_Clean!AF13)),(RU_Clean!AF14-RU_Clean!AF13)/RU_Clean!AF13*100,"")</f>
        <v>0.183486238532113</v>
      </c>
      <c r="AG14" s="12">
        <f>IF(AND(ISNUMBER(RU_Clean!AG14),ISNUMBER(RU_Clean!AG13)),(RU_Clean!AG14-RU_Clean!AG13)/RU_Clean!AG13*100,"")</f>
        <v>0.967458223394894</v>
      </c>
      <c r="AH14" s="12">
        <f>IF(AND(ISNUMBER(RU_Clean!AH14),ISNUMBER(RU_Clean!AH13)),(RU_Clean!AH14-RU_Clean!AH13)/RU_Clean!AH13*100,"")</f>
        <v>1.20867919033059</v>
      </c>
    </row>
    <row r="15" spans="1:34">
      <c r="A15" s="6">
        <f>RU_Clean!A15</f>
        <v>2013</v>
      </c>
      <c r="B15" s="6">
        <f>RU_Clean!B15</f>
        <v>11</v>
      </c>
      <c r="C15" s="6" t="str">
        <f>RU_Clean!C15</f>
        <v>November</v>
      </c>
      <c r="D15" s="9">
        <f>RU_Clean!D15</f>
        <v>41579</v>
      </c>
      <c r="E15" s="6"/>
      <c r="F15" s="6"/>
      <c r="G15" s="12">
        <f>IF(AND(ISNUMBER(RU_Clean!G15),ISNUMBER(RU_Clean!G14)),(RU_Clean!G15-RU_Clean!G14)/RU_Clean!G14*100,"")</f>
        <v>0.85397096498719</v>
      </c>
      <c r="H15" s="12">
        <f>IF(AND(ISNUMBER(RU_Clean!H15),ISNUMBER(RU_Clean!H14)),(RU_Clean!H15-RU_Clean!H14)/RU_Clean!H14*100,"")</f>
        <v>-0.773860705073079</v>
      </c>
      <c r="I15" s="12">
        <f>IF(AND(ISNUMBER(RU_Clean!I15),ISNUMBER(RU_Clean!I14)),(RU_Clean!I15-RU_Clean!I14)/RU_Clean!I14*100,"")</f>
        <v>4.76610767872904</v>
      </c>
      <c r="J15" s="12">
        <f>IF(AND(ISNUMBER(RU_Clean!J15),ISNUMBER(RU_Clean!J14)),(RU_Clean!J15-RU_Clean!J14)/RU_Clean!J14*100,"")</f>
        <v>1.16906474820144</v>
      </c>
      <c r="K15" s="12">
        <f>IF(AND(ISNUMBER(RU_Clean!K15),ISNUMBER(RU_Clean!K14)),(RU_Clean!K15-RU_Clean!K14)/RU_Clean!K14*100,"")</f>
        <v>1.0406811731315</v>
      </c>
      <c r="L15" s="12">
        <f>IF(AND(ISNUMBER(RU_Clean!L15),ISNUMBER(RU_Clean!L14)),(RU_Clean!L15-RU_Clean!L14)/RU_Clean!L14*100,"")</f>
        <v>3.27570518653321</v>
      </c>
      <c r="M15" s="12">
        <f>IF(AND(ISNUMBER(RU_Clean!M15),ISNUMBER(RU_Clean!M14)),(RU_Clean!M15-RU_Clean!M14)/RU_Clean!M14*100,"")</f>
        <v>6.95093457943926</v>
      </c>
      <c r="N15" s="12">
        <f>IF(AND(ISNUMBER(RU_Clean!N15),ISNUMBER(RU_Clean!N14)),(RU_Clean!N15-RU_Clean!N14)/RU_Clean!N14*100,"")</f>
        <v>0.838769804287051</v>
      </c>
      <c r="O15" s="12">
        <f>IF(AND(ISNUMBER(RU_Clean!O15),ISNUMBER(RU_Clean!O14)),(RU_Clean!O15-RU_Clean!O14)/RU_Clean!O14*100,"")</f>
        <v>-0.486854917234664</v>
      </c>
      <c r="P15" s="12">
        <f>IF(AND(ISNUMBER(RU_Clean!P15),ISNUMBER(RU_Clean!P14)),(RU_Clean!P15-RU_Clean!P14)/RU_Clean!P14*100,"")</f>
        <v>0.643974241030361</v>
      </c>
      <c r="Q15" s="12">
        <f>IF(AND(ISNUMBER(RU_Clean!Q15),ISNUMBER(RU_Clean!Q14)),(RU_Clean!Q15-RU_Clean!Q14)/RU_Clean!Q14*100,"")</f>
        <v>0.539568345323736</v>
      </c>
      <c r="R15" s="12">
        <f>IF(AND(ISNUMBER(RU_Clean!R15),ISNUMBER(RU_Clean!R14)),(RU_Clean!R15-RU_Clean!R14)/RU_Clean!R14*100,"")</f>
        <v>0.953206239168106</v>
      </c>
      <c r="S15" s="12">
        <f>IF(AND(ISNUMBER(RU_Clean!S15),ISNUMBER(RU_Clean!S14)),(RU_Clean!S15-RU_Clean!S14)/RU_Clean!S14*100,"")</f>
        <v>1.99667221297836</v>
      </c>
      <c r="T15" s="12">
        <f>IF(AND(ISNUMBER(RU_Clean!T15),ISNUMBER(RU_Clean!T14)),(RU_Clean!T15-RU_Clean!T14)/RU_Clean!T14*100,"")</f>
        <v>0.533333333333328</v>
      </c>
      <c r="U15" s="12">
        <f>IF(AND(ISNUMBER(RU_Clean!U15),ISNUMBER(RU_Clean!U14)),(RU_Clean!U15-RU_Clean!U14)/RU_Clean!U14*100,"")</f>
        <v>0.88339222614841</v>
      </c>
      <c r="V15" s="12">
        <f>IF(AND(ISNUMBER(RU_Clean!V15),ISNUMBER(RU_Clean!V14)),(RU_Clean!V15-RU_Clean!V14)/RU_Clean!V14*100,"")</f>
        <v>0.6294964028777</v>
      </c>
      <c r="W15" s="12">
        <f>IF(AND(ISNUMBER(RU_Clean!W15),ISNUMBER(RU_Clean!W14)),(RU_Clean!W15-RU_Clean!W14)/RU_Clean!W14*100,"")</f>
        <v>0.886524822695036</v>
      </c>
      <c r="X15" s="12">
        <f>IF(AND(ISNUMBER(RU_Clean!X15),ISNUMBER(RU_Clean!X14)),(RU_Clean!X15-RU_Clean!X14)/RU_Clean!X14*100,"")</f>
        <v>0.542986425339361</v>
      </c>
      <c r="Y15" s="12">
        <f>IF(AND(ISNUMBER(RU_Clean!Y15),ISNUMBER(RU_Clean!Y14)),(RU_Clean!Y15-RU_Clean!Y14)/RU_Clean!Y14*100,"")</f>
        <v>0.631199278629386</v>
      </c>
      <c r="Z15" s="12">
        <f>IF(AND(ISNUMBER(RU_Clean!Z15),ISNUMBER(RU_Clean!Z14)),(RU_Clean!Z15-RU_Clean!Z14)/RU_Clean!Z14*100,"")</f>
        <v>0.725294650951947</v>
      </c>
      <c r="AA15" s="12">
        <f>IF(AND(ISNUMBER(RU_Clean!AA15),ISNUMBER(RU_Clean!AA14)),(RU_Clean!AA15-RU_Clean!AA14)/RU_Clean!AA14*100,"")</f>
        <v>0.644567219152857</v>
      </c>
      <c r="AB15" s="12">
        <f>IF(AND(ISNUMBER(RU_Clean!AB15),ISNUMBER(RU_Clean!AB14)),(RU_Clean!AB15-RU_Clean!AB14)/RU_Clean!AB14*100,"")</f>
        <v>0</v>
      </c>
      <c r="AC15" s="12">
        <f>IF(AND(ISNUMBER(RU_Clean!AC15),ISNUMBER(RU_Clean!AC14)),(RU_Clean!AC15-RU_Clean!AC14)/RU_Clean!AC14*100,"")</f>
        <v>0.462534690101758</v>
      </c>
      <c r="AD15" s="12">
        <f>IF(AND(ISNUMBER(RU_Clean!AD15),ISNUMBER(RU_Clean!AD14)),(RU_Clean!AD15-RU_Clean!AD14)/RU_Clean!AD14*100,"")</f>
        <v>0.361010830324915</v>
      </c>
      <c r="AE15" s="12">
        <f>IF(AND(ISNUMBER(RU_Clean!AE15),ISNUMBER(RU_Clean!AE14)),(RU_Clean!AE15-RU_Clean!AE14)/RU_Clean!AE14*100,"")</f>
        <v>0.651769087523267</v>
      </c>
      <c r="AF15" s="12">
        <f>IF(AND(ISNUMBER(RU_Clean!AF15),ISNUMBER(RU_Clean!AF14)),(RU_Clean!AF15-RU_Clean!AF14)/RU_Clean!AF14*100,"")</f>
        <v>0.457875457875458</v>
      </c>
      <c r="AG15" s="12">
        <f>IF(AND(ISNUMBER(RU_Clean!AG15),ISNUMBER(RU_Clean!AG14)),(RU_Clean!AG15-RU_Clean!AG14)/RU_Clean!AG14*100,"")</f>
        <v>1.30662020905923</v>
      </c>
      <c r="AH15" s="12">
        <f>IF(AND(ISNUMBER(RU_Clean!AH15),ISNUMBER(RU_Clean!AH14)),(RU_Clean!AH15-RU_Clean!AH14)/RU_Clean!AH14*100,"")</f>
        <v>1.88489208633092</v>
      </c>
    </row>
    <row r="16" spans="1:34">
      <c r="A16" s="6">
        <f>RU_Clean!A16</f>
        <v>2013</v>
      </c>
      <c r="B16" s="6">
        <f>RU_Clean!B16</f>
        <v>12</v>
      </c>
      <c r="C16" s="6" t="str">
        <f>RU_Clean!C16</f>
        <v>December</v>
      </c>
      <c r="D16" s="9">
        <f>RU_Clean!D16</f>
        <v>41609</v>
      </c>
      <c r="E16" s="6"/>
      <c r="F16" s="6"/>
      <c r="G16" s="12">
        <f>IF(AND(ISNUMBER(RU_Clean!G16),ISNUMBER(RU_Clean!G15)),(RU_Clean!G16-RU_Clean!G15)/RU_Clean!G15*100,"")</f>
        <v>0.846740050804403</v>
      </c>
      <c r="H16" s="12">
        <f>IF(AND(ISNUMBER(RU_Clean!H16),ISNUMBER(RU_Clean!H15)),(RU_Clean!H16-RU_Clean!H15)/RU_Clean!H15*100,"")</f>
        <v>1.1265164644714</v>
      </c>
      <c r="I16" s="12">
        <f>IF(AND(ISNUMBER(RU_Clean!I16),ISNUMBER(RU_Clean!I15)),(RU_Clean!I16-RU_Clean!I15)/RU_Clean!I15*100,"")</f>
        <v>4.04380791912384</v>
      </c>
      <c r="J16" s="12">
        <f>IF(AND(ISNUMBER(RU_Clean!J16),ISNUMBER(RU_Clean!J15)),(RU_Clean!J16-RU_Clean!J15)/RU_Clean!J15*100,"")</f>
        <v>0.800000000000005</v>
      </c>
      <c r="K16" s="12">
        <f>IF(AND(ISNUMBER(RU_Clean!K16),ISNUMBER(RU_Clean!K15)),(RU_Clean!K16-RU_Clean!K15)/RU_Clean!K15*100,"")</f>
        <v>0.468164794007491</v>
      </c>
      <c r="L16" s="12">
        <f>IF(AND(ISNUMBER(RU_Clean!L16),ISNUMBER(RU_Clean!L15)),(RU_Clean!L16-RU_Clean!L15)/RU_Clean!L15*100,"")</f>
        <v>-0.176211453744496</v>
      </c>
      <c r="M16" s="12">
        <f>IF(AND(ISNUMBER(RU_Clean!M16),ISNUMBER(RU_Clean!M15)),(RU_Clean!M16-RU_Clean!M15)/RU_Clean!M15*100,"")</f>
        <v>-20.5898416166029</v>
      </c>
      <c r="N16" s="12">
        <f>IF(AND(ISNUMBER(RU_Clean!N16),ISNUMBER(RU_Clean!N15)),(RU_Clean!N16-RU_Clean!N15)/RU_Clean!N15*100,"")</f>
        <v>0.462107208872458</v>
      </c>
      <c r="O16" s="12">
        <f>IF(AND(ISNUMBER(RU_Clean!O16),ISNUMBER(RU_Clean!O15)),(RU_Clean!O16-RU_Clean!O15)/RU_Clean!O15*100,"")</f>
        <v>-0.684931506849318</v>
      </c>
      <c r="P16" s="12">
        <f>IF(AND(ISNUMBER(RU_Clean!P16),ISNUMBER(RU_Clean!P15)),(RU_Clean!P16-RU_Clean!P15)/RU_Clean!P15*100,"")</f>
        <v>1.00548446069469</v>
      </c>
      <c r="Q16" s="12">
        <f>IF(AND(ISNUMBER(RU_Clean!Q16),ISNUMBER(RU_Clean!Q15)),(RU_Clean!Q16-RU_Clean!Q15)/RU_Clean!Q15*100,"")</f>
        <v>0.26833631484794</v>
      </c>
      <c r="R16" s="12">
        <f>IF(AND(ISNUMBER(RU_Clean!R16),ISNUMBER(RU_Clean!R15)),(RU_Clean!R16-RU_Clean!R15)/RU_Clean!R15*100,"")</f>
        <v>0.772532188841207</v>
      </c>
      <c r="S16" s="12">
        <f>IF(AND(ISNUMBER(RU_Clean!S16),ISNUMBER(RU_Clean!S15)),(RU_Clean!S16-RU_Clean!S15)/RU_Clean!S15*100,"")</f>
        <v>-3.42577487765089</v>
      </c>
      <c r="T16" s="12">
        <f>IF(AND(ISNUMBER(RU_Clean!T16),ISNUMBER(RU_Clean!T15)),(RU_Clean!T16-RU_Clean!T15)/RU_Clean!T15*100,"")</f>
        <v>0.795755968169766</v>
      </c>
      <c r="U16" s="12">
        <f>IF(AND(ISNUMBER(RU_Clean!U16),ISNUMBER(RU_Clean!U15)),(RU_Clean!U16-RU_Clean!U15)/RU_Clean!U15*100,"")</f>
        <v>0.875656742556918</v>
      </c>
      <c r="V16" s="12">
        <f>IF(AND(ISNUMBER(RU_Clean!V16),ISNUMBER(RU_Clean!V15)),(RU_Clean!V16-RU_Clean!V15)/RU_Clean!V15*100,"")</f>
        <v>0.714924039320819</v>
      </c>
      <c r="W16" s="12">
        <f>IF(AND(ISNUMBER(RU_Clean!W16),ISNUMBER(RU_Clean!W15)),(RU_Clean!W16-RU_Clean!W15)/RU_Clean!W15*100,"")</f>
        <v>0.878734622144113</v>
      </c>
      <c r="X16" s="12">
        <f>IF(AND(ISNUMBER(RU_Clean!X16),ISNUMBER(RU_Clean!X15)),(RU_Clean!X16-RU_Clean!X15)/RU_Clean!X15*100,"")</f>
        <v>-0.360036003600352</v>
      </c>
      <c r="Y16" s="12">
        <f>IF(AND(ISNUMBER(RU_Clean!Y16),ISNUMBER(RU_Clean!Y15)),(RU_Clean!Y16-RU_Clean!Y15)/RU_Clean!Y15*100,"")</f>
        <v>0.268817204301085</v>
      </c>
      <c r="Z16" s="12">
        <f>IF(AND(ISNUMBER(RU_Clean!Z16),ISNUMBER(RU_Clean!Z15)),(RU_Clean!Z16-RU_Clean!Z15)/RU_Clean!Z15*100,"")</f>
        <v>0.540054005400548</v>
      </c>
      <c r="AA16" s="12">
        <f>IF(AND(ISNUMBER(RU_Clean!AA16),ISNUMBER(RU_Clean!AA15)),(RU_Clean!AA16-RU_Clean!AA15)/RU_Clean!AA15*100,"")</f>
        <v>0.365965233302841</v>
      </c>
      <c r="AB16" s="12">
        <f>IF(AND(ISNUMBER(RU_Clean!AB16),ISNUMBER(RU_Clean!AB15)),(RU_Clean!AB16-RU_Clean!AB15)/RU_Clean!AB15*100,"")</f>
        <v>0.273972602739723</v>
      </c>
      <c r="AC16" s="12">
        <f>IF(AND(ISNUMBER(RU_Clean!AC16),ISNUMBER(RU_Clean!AC15)),(RU_Clean!AC16-RU_Clean!AC15)/RU_Clean!AC15*100,"")</f>
        <v>0.368324125230208</v>
      </c>
      <c r="AD16" s="12">
        <f>IF(AND(ISNUMBER(RU_Clean!AD16),ISNUMBER(RU_Clean!AD15)),(RU_Clean!AD16-RU_Clean!AD15)/RU_Clean!AD15*100,"")</f>
        <v>0.269784172661868</v>
      </c>
      <c r="AE16" s="12">
        <f>IF(AND(ISNUMBER(RU_Clean!AE16),ISNUMBER(RU_Clean!AE15)),(RU_Clean!AE16-RU_Clean!AE15)/RU_Clean!AE15*100,"")</f>
        <v>-0.185013876040693</v>
      </c>
      <c r="AF16" s="12">
        <f>IF(AND(ISNUMBER(RU_Clean!AF16),ISNUMBER(RU_Clean!AF15)),(RU_Clean!AF16-RU_Clean!AF15)/RU_Clean!AF15*100,"")</f>
        <v>0.273473108477664</v>
      </c>
      <c r="AG16" s="12">
        <f>IF(AND(ISNUMBER(RU_Clean!AG16),ISNUMBER(RU_Clean!AG15)),(RU_Clean!AG16-RU_Clean!AG15)/RU_Clean!AG15*100,"")</f>
        <v>-1.54772141014617</v>
      </c>
      <c r="AH16" s="12">
        <f>IF(AND(ISNUMBER(RU_Clean!AH16),ISNUMBER(RU_Clean!AH15)),(RU_Clean!AH16-RU_Clean!AH15)/RU_Clean!AH15*100,"")</f>
        <v>-1.92769382855529</v>
      </c>
    </row>
    <row r="17" spans="1:34">
      <c r="A17" s="6">
        <f>RU_Clean!A17</f>
        <v>2014</v>
      </c>
      <c r="B17" s="6">
        <f>RU_Clean!B17</f>
        <v>1</v>
      </c>
      <c r="C17" s="6" t="str">
        <f>RU_Clean!C17</f>
        <v>January</v>
      </c>
      <c r="D17" s="9">
        <f>RU_Clean!D17</f>
        <v>41640</v>
      </c>
      <c r="E17" s="6"/>
      <c r="F17" s="6"/>
      <c r="G17" s="12">
        <f>IF(AND(ISNUMBER(RU_Clean!G17),ISNUMBER(RU_Clean!G16)),(RU_Clean!G17-RU_Clean!G16)/RU_Clean!G16*100,"")</f>
        <v>0.419815281276238</v>
      </c>
      <c r="H17" s="12">
        <f>IF(AND(ISNUMBER(RU_Clean!H17),ISNUMBER(RU_Clean!H16)),(RU_Clean!H17-RU_Clean!H16)/RU_Clean!H16*100,"")</f>
        <v>1.79948586118251</v>
      </c>
      <c r="I17" s="12">
        <f>IF(AND(ISNUMBER(RU_Clean!I17),ISNUMBER(RU_Clean!I16)),(RU_Clean!I17-RU_Clean!I16)/RU_Clean!I16*100,"")</f>
        <v>0.485829959514165</v>
      </c>
      <c r="J17" s="12">
        <f>IF(AND(ISNUMBER(RU_Clean!J17),ISNUMBER(RU_Clean!J16)),(RU_Clean!J17-RU_Clean!J16)/RU_Clean!J16*100,"")</f>
        <v>0.617283950617274</v>
      </c>
      <c r="K17" s="12">
        <f>IF(AND(ISNUMBER(RU_Clean!K17),ISNUMBER(RU_Clean!K16)),(RU_Clean!K17-RU_Clean!K16)/RU_Clean!K16*100,"")</f>
        <v>-0.465983224603914</v>
      </c>
      <c r="L17" s="12">
        <f>IF(AND(ISNUMBER(RU_Clean!L17),ISNUMBER(RU_Clean!L16)),(RU_Clean!L17-RU_Clean!L16)/RU_Clean!L16*100,"")</f>
        <v>0.529567519858789</v>
      </c>
      <c r="M17" s="12">
        <f>IF(AND(ISNUMBER(RU_Clean!M17),ISNUMBER(RU_Clean!M16)),(RU_Clean!M17-RU_Clean!M16)/RU_Clean!M16*100,"")</f>
        <v>-15.9559834938102</v>
      </c>
      <c r="N17" s="12">
        <f>IF(AND(ISNUMBER(RU_Clean!N17),ISNUMBER(RU_Clean!N16)),(RU_Clean!N17-RU_Clean!N16)/RU_Clean!N16*100,"")</f>
        <v>0.183992640294391</v>
      </c>
      <c r="O17" s="12">
        <f>IF(AND(ISNUMBER(RU_Clean!O17),ISNUMBER(RU_Clean!O16)),(RU_Clean!O17-RU_Clean!O16)/RU_Clean!O16*100,"")</f>
        <v>-1.2807881773399</v>
      </c>
      <c r="P17" s="12">
        <f>IF(AND(ISNUMBER(RU_Clean!P17),ISNUMBER(RU_Clean!P16)),(RU_Clean!P17-RU_Clean!P16)/RU_Clean!P16*100,"")</f>
        <v>0.452488687782805</v>
      </c>
      <c r="Q17" s="12">
        <f>IF(AND(ISNUMBER(RU_Clean!Q17),ISNUMBER(RU_Clean!Q16)),(RU_Clean!Q17-RU_Clean!Q16)/RU_Clean!Q16*100,"")</f>
        <v>0.17841213202498</v>
      </c>
      <c r="R17" s="12">
        <f>IF(AND(ISNUMBER(RU_Clean!R17),ISNUMBER(RU_Clean!R16)),(RU_Clean!R17-RU_Clean!R16)/RU_Clean!R16*100,"")</f>
        <v>0.596252129471881</v>
      </c>
      <c r="S17" s="12">
        <f>IF(AND(ISNUMBER(RU_Clean!S17),ISNUMBER(RU_Clean!S16)),(RU_Clean!S17-RU_Clean!S16)/RU_Clean!S16*100,"")</f>
        <v>-2.19594594594595</v>
      </c>
      <c r="T17" s="12">
        <f>IF(AND(ISNUMBER(RU_Clean!T17),ISNUMBER(RU_Clean!T16)),(RU_Clean!T17-RU_Clean!T16)/RU_Clean!T16*100,"")</f>
        <v>0.43859649122807</v>
      </c>
      <c r="U17" s="12">
        <f>IF(AND(ISNUMBER(RU_Clean!U17),ISNUMBER(RU_Clean!U16)),(RU_Clean!U17-RU_Clean!U16)/RU_Clean!U16*100,"")</f>
        <v>0.520833333333328</v>
      </c>
      <c r="V17" s="12">
        <f>IF(AND(ISNUMBER(RU_Clean!V17),ISNUMBER(RU_Clean!V16)),(RU_Clean!V17-RU_Clean!V16)/RU_Clean!V16*100,"")</f>
        <v>0.443655723158829</v>
      </c>
      <c r="W17" s="12">
        <f>IF(AND(ISNUMBER(RU_Clean!W17),ISNUMBER(RU_Clean!W16)),(RU_Clean!W17-RU_Clean!W16)/RU_Clean!W16*100,"")</f>
        <v>0.522648083623701</v>
      </c>
      <c r="X17" s="12">
        <f>IF(AND(ISNUMBER(RU_Clean!X17),ISNUMBER(RU_Clean!X16)),(RU_Clean!X17-RU_Clean!X16)/RU_Clean!X16*100,"")</f>
        <v>0.813008130081293</v>
      </c>
      <c r="Y17" s="12">
        <f>IF(AND(ISNUMBER(RU_Clean!Y17),ISNUMBER(RU_Clean!Y16)),(RU_Clean!Y17-RU_Clean!Y16)/RU_Clean!Y16*100,"")</f>
        <v>0.268096514745306</v>
      </c>
      <c r="Z17" s="12">
        <f>IF(AND(ISNUMBER(RU_Clean!Z17),ISNUMBER(RU_Clean!Z16)),(RU_Clean!Z17-RU_Clean!Z16)/RU_Clean!Z16*100,"")</f>
        <v>0.537153088630255</v>
      </c>
      <c r="AA17" s="12">
        <f>IF(AND(ISNUMBER(RU_Clean!AA17),ISNUMBER(RU_Clean!AA16)),(RU_Clean!AA17-RU_Clean!AA16)/RU_Clean!AA16*100,"")</f>
        <v>0.546946216955328</v>
      </c>
      <c r="AB17" s="12">
        <f>IF(AND(ISNUMBER(RU_Clean!AB17),ISNUMBER(RU_Clean!AB16)),(RU_Clean!AB17-RU_Clean!AB16)/RU_Clean!AB16*100,"")</f>
        <v>0.819672131147546</v>
      </c>
      <c r="AC17" s="12">
        <f>IF(AND(ISNUMBER(RU_Clean!AC17),ISNUMBER(RU_Clean!AC16)),(RU_Clean!AC17-RU_Clean!AC16)/RU_Clean!AC16*100,"")</f>
        <v>0.642201834862388</v>
      </c>
      <c r="AD17" s="12">
        <f>IF(AND(ISNUMBER(RU_Clean!AD17),ISNUMBER(RU_Clean!AD16)),(RU_Clean!AD17-RU_Clean!AD16)/RU_Clean!AD16*100,"")</f>
        <v>0.0896860986547034</v>
      </c>
      <c r="AE17" s="12">
        <f>IF(AND(ISNUMBER(RU_Clean!AE17),ISNUMBER(RU_Clean!AE16)),(RU_Clean!AE17-RU_Clean!AE16)/RU_Clean!AE16*100,"")</f>
        <v>0.278035217794251</v>
      </c>
      <c r="AF17" s="12">
        <f>IF(AND(ISNUMBER(RU_Clean!AF17),ISNUMBER(RU_Clean!AF16)),(RU_Clean!AF17-RU_Clean!AF16)/RU_Clean!AF16*100,"")</f>
        <v>0.54545454545454</v>
      </c>
      <c r="AG17" s="12">
        <f>IF(AND(ISNUMBER(RU_Clean!AG17),ISNUMBER(RU_Clean!AG16)),(RU_Clean!AG17-RU_Clean!AG16)/RU_Clean!AG16*100,"")</f>
        <v>-0.786026200873367</v>
      </c>
      <c r="AH17" s="12">
        <f>IF(AND(ISNUMBER(RU_Clean!AH17),ISNUMBER(RU_Clean!AH16)),(RU_Clean!AH17-RU_Clean!AH16)/RU_Clean!AH16*100,"")</f>
        <v>-1.36078911368711</v>
      </c>
    </row>
    <row r="18" spans="1:34">
      <c r="A18" s="6">
        <f>RU_Clean!A18</f>
        <v>2014</v>
      </c>
      <c r="B18" s="6">
        <f>RU_Clean!B18</f>
        <v>2</v>
      </c>
      <c r="C18" s="6" t="str">
        <f>RU_Clean!C18</f>
        <v>February</v>
      </c>
      <c r="D18" s="9">
        <f>RU_Clean!D18</f>
        <v>41671</v>
      </c>
      <c r="E18" s="6"/>
      <c r="F18" s="6"/>
      <c r="G18" s="12">
        <f>IF(AND(ISNUMBER(RU_Clean!G18),ISNUMBER(RU_Clean!G17)),(RU_Clean!G18-RU_Clean!G17)/RU_Clean!G17*100,"")</f>
        <v>0.501672240802683</v>
      </c>
      <c r="H18" s="12">
        <f>IF(AND(ISNUMBER(RU_Clean!H18),ISNUMBER(RU_Clean!H17)),(RU_Clean!H18-RU_Clean!H17)/RU_Clean!H17*100,"")</f>
        <v>0.336700336700341</v>
      </c>
      <c r="I18" s="12">
        <f>IF(AND(ISNUMBER(RU_Clean!I18),ISNUMBER(RU_Clean!I17)),(RU_Clean!I18-RU_Clean!I17)/RU_Clean!I17*100,"")</f>
        <v>-1.28928283642224</v>
      </c>
      <c r="J18" s="12">
        <f>IF(AND(ISNUMBER(RU_Clean!J18),ISNUMBER(RU_Clean!J17)),(RU_Clean!J18-RU_Clean!J17)/RU_Clean!J17*100,"")</f>
        <v>0.876424189307625</v>
      </c>
      <c r="K18" s="12">
        <f>IF(AND(ISNUMBER(RU_Clean!K18),ISNUMBER(RU_Clean!K17)),(RU_Clean!K18-RU_Clean!K17)/RU_Clean!K17*100,"")</f>
        <v>-0.187265917602999</v>
      </c>
      <c r="L18" s="12">
        <f>IF(AND(ISNUMBER(RU_Clean!L18),ISNUMBER(RU_Clean!L17)),(RU_Clean!L18-RU_Clean!L17)/RU_Clean!L17*100,"")</f>
        <v>1.31694468832309</v>
      </c>
      <c r="M18" s="12">
        <f>IF(AND(ISNUMBER(RU_Clean!M18),ISNUMBER(RU_Clean!M17)),(RU_Clean!M18-RU_Clean!M17)/RU_Clean!M17*100,"")</f>
        <v>-6.30114566284779</v>
      </c>
      <c r="N18" s="12">
        <f>IF(AND(ISNUMBER(RU_Clean!N18),ISNUMBER(RU_Clean!N17)),(RU_Clean!N18-RU_Clean!N17)/RU_Clean!N17*100,"")</f>
        <v>0.367309458218541</v>
      </c>
      <c r="O18" s="12">
        <f>IF(AND(ISNUMBER(RU_Clean!O18),ISNUMBER(RU_Clean!O17)),(RU_Clean!O18-RU_Clean!O17)/RU_Clean!O17*100,"")</f>
        <v>-0.998003992015968</v>
      </c>
      <c r="P18" s="12">
        <f>IF(AND(ISNUMBER(RU_Clean!P18),ISNUMBER(RU_Clean!P17)),(RU_Clean!P18-RU_Clean!P17)/RU_Clean!P17*100,"")</f>
        <v>0.360360360360366</v>
      </c>
      <c r="Q18" s="12">
        <f>IF(AND(ISNUMBER(RU_Clean!Q18),ISNUMBER(RU_Clean!Q17)),(RU_Clean!Q18-RU_Clean!Q17)/RU_Clean!Q17*100,"")</f>
        <v>0.267141585040069</v>
      </c>
      <c r="R18" s="12">
        <f>IF(AND(ISNUMBER(RU_Clean!R18),ISNUMBER(RU_Clean!R17)),(RU_Clean!R18-RU_Clean!R17)/RU_Clean!R17*100,"")</f>
        <v>0.592718035563085</v>
      </c>
      <c r="S18" s="12">
        <f>IF(AND(ISNUMBER(RU_Clean!S18),ISNUMBER(RU_Clean!S17)),(RU_Clean!S18-RU_Clean!S17)/RU_Clean!S17*100,"")</f>
        <v>-0.431778929188256</v>
      </c>
      <c r="T18" s="12">
        <f>IF(AND(ISNUMBER(RU_Clean!T18),ISNUMBER(RU_Clean!T17)),(RU_Clean!T18-RU_Clean!T17)/RU_Clean!T17*100,"")</f>
        <v>0.174672489082972</v>
      </c>
      <c r="U18" s="12">
        <f>IF(AND(ISNUMBER(RU_Clean!U18),ISNUMBER(RU_Clean!U17)),(RU_Clean!U18-RU_Clean!U17)/RU_Clean!U17*100,"")</f>
        <v>0.518134715025914</v>
      </c>
      <c r="V18" s="12">
        <f>IF(AND(ISNUMBER(RU_Clean!V18),ISNUMBER(RU_Clean!V17)),(RU_Clean!V18-RU_Clean!V17)/RU_Clean!V17*100,"")</f>
        <v>0.088339222614836</v>
      </c>
      <c r="W18" s="12">
        <f>IF(AND(ISNUMBER(RU_Clean!W18),ISNUMBER(RU_Clean!W17)),(RU_Clean!W18-RU_Clean!W17)/RU_Clean!W17*100,"")</f>
        <v>0.433275563258232</v>
      </c>
      <c r="X18" s="12">
        <f>IF(AND(ISNUMBER(RU_Clean!X18),ISNUMBER(RU_Clean!X17)),(RU_Clean!X18-RU_Clean!X17)/RU_Clean!X17*100,"")</f>
        <v>0.806451612903231</v>
      </c>
      <c r="Y18" s="12">
        <f>IF(AND(ISNUMBER(RU_Clean!Y18),ISNUMBER(RU_Clean!Y17)),(RU_Clean!Y18-RU_Clean!Y17)/RU_Clean!Y17*100,"")</f>
        <v>0.178253119429593</v>
      </c>
      <c r="Z18" s="12">
        <f>IF(AND(ISNUMBER(RU_Clean!Z18),ISNUMBER(RU_Clean!Z17)),(RU_Clean!Z18-RU_Clean!Z17)/RU_Clean!Z17*100,"")</f>
        <v>0.445235975066785</v>
      </c>
      <c r="AA18" s="12">
        <f>IF(AND(ISNUMBER(RU_Clean!AA18),ISNUMBER(RU_Clean!AA17)),(RU_Clean!AA18-RU_Clean!AA17)/RU_Clean!AA17*100,"")</f>
        <v>0.36264732547598</v>
      </c>
      <c r="AB18" s="12">
        <f>IF(AND(ISNUMBER(RU_Clean!AB18),ISNUMBER(RU_Clean!AB17)),(RU_Clean!AB18-RU_Clean!AB17)/RU_Clean!AB17*100,"")</f>
        <v>0.361336946702793</v>
      </c>
      <c r="AC18" s="12">
        <f>IF(AND(ISNUMBER(RU_Clean!AC18),ISNUMBER(RU_Clean!AC17)),(RU_Clean!AC18-RU_Clean!AC17)/RU_Clean!AC17*100,"")</f>
        <v>0.364630811303547</v>
      </c>
      <c r="AD18" s="12">
        <f>IF(AND(ISNUMBER(RU_Clean!AD18),ISNUMBER(RU_Clean!AD17)),(RU_Clean!AD18-RU_Clean!AD17)/RU_Clean!AD17*100,"")</f>
        <v>0.179211469534053</v>
      </c>
      <c r="AE18" s="12">
        <f>IF(AND(ISNUMBER(RU_Clean!AE18),ISNUMBER(RU_Clean!AE17)),(RU_Clean!AE18-RU_Clean!AE17)/RU_Clean!AE17*100,"")</f>
        <v>0.462107208872458</v>
      </c>
      <c r="AF18" s="12">
        <f>IF(AND(ISNUMBER(RU_Clean!AF18),ISNUMBER(RU_Clean!AF17)),(RU_Clean!AF18-RU_Clean!AF17)/RU_Clean!AF17*100,"")</f>
        <v>0.27124773960218</v>
      </c>
      <c r="AG18" s="12">
        <f>IF(AND(ISNUMBER(RU_Clean!AG18),ISNUMBER(RU_Clean!AG17)),(RU_Clean!AG18-RU_Clean!AG17)/RU_Clean!AG17*100,"")</f>
        <v>0</v>
      </c>
      <c r="AH18" s="12">
        <f>IF(AND(ISNUMBER(RU_Clean!AH18),ISNUMBER(RU_Clean!AH17)),(RU_Clean!AH18-RU_Clean!AH17)/RU_Clean!AH17*100,"")</f>
        <v>-0.379562043795607</v>
      </c>
    </row>
    <row r="19" spans="1:34">
      <c r="A19" s="6">
        <f>RU_Clean!A19</f>
        <v>2014</v>
      </c>
      <c r="B19" s="6">
        <f>RU_Clean!B19</f>
        <v>3</v>
      </c>
      <c r="C19" s="6" t="str">
        <f>RU_Clean!C19</f>
        <v>March</v>
      </c>
      <c r="D19" s="9">
        <f>RU_Clean!D19</f>
        <v>41699</v>
      </c>
      <c r="E19" s="6"/>
      <c r="F19" s="6"/>
      <c r="G19" s="12">
        <f>IF(AND(ISNUMBER(RU_Clean!G19),ISNUMBER(RU_Clean!G18)),(RU_Clean!G19-RU_Clean!G18)/RU_Clean!G18*100,"")</f>
        <v>0.415973377703827</v>
      </c>
      <c r="H19" s="12">
        <f>IF(AND(ISNUMBER(RU_Clean!H19),ISNUMBER(RU_Clean!H18)),(RU_Clean!H19-RU_Clean!H18)/RU_Clean!H18*100,"")</f>
        <v>0.0838926174496597</v>
      </c>
      <c r="I19" s="12">
        <f>IF(AND(ISNUMBER(RU_Clean!I19),ISNUMBER(RU_Clean!I18)),(RU_Clean!I19-RU_Clean!I18)/RU_Clean!I18*100,"")</f>
        <v>-1.22448979591837</v>
      </c>
      <c r="J19" s="12">
        <f>IF(AND(ISNUMBER(RU_Clean!J19),ISNUMBER(RU_Clean!J18)),(RU_Clean!J19-RU_Clean!J18)/RU_Clean!J18*100,"")</f>
        <v>0.868809730668984</v>
      </c>
      <c r="K19" s="12">
        <f>IF(AND(ISNUMBER(RU_Clean!K19),ISNUMBER(RU_Clean!K18)),(RU_Clean!K19-RU_Clean!K18)/RU_Clean!K18*100,"")</f>
        <v>0.281425891181999</v>
      </c>
      <c r="L19" s="12">
        <f>IF(AND(ISNUMBER(RU_Clean!L19),ISNUMBER(RU_Clean!L18)),(RU_Clean!L19-RU_Clean!L18)/RU_Clean!L18*100,"")</f>
        <v>2.85961871750433</v>
      </c>
      <c r="M19" s="12">
        <f>IF(AND(ISNUMBER(RU_Clean!M19),ISNUMBER(RU_Clean!M18)),(RU_Clean!M19-RU_Clean!M18)/RU_Clean!M18*100,"")</f>
        <v>1.57205240174672</v>
      </c>
      <c r="N19" s="12">
        <f>IF(AND(ISNUMBER(RU_Clean!N19),ISNUMBER(RU_Clean!N18)),(RU_Clean!N19-RU_Clean!N18)/RU_Clean!N18*100,"")</f>
        <v>0.457456541628545</v>
      </c>
      <c r="O19" s="12">
        <f>IF(AND(ISNUMBER(RU_Clean!O19),ISNUMBER(RU_Clean!O18)),(RU_Clean!O19-RU_Clean!O18)/RU_Clean!O18*100,"")</f>
        <v>0.403225806451604</v>
      </c>
      <c r="P19" s="12">
        <f>IF(AND(ISNUMBER(RU_Clean!P19),ISNUMBER(RU_Clean!P18)),(RU_Clean!P19-RU_Clean!P18)/RU_Clean!P18*100,"")</f>
        <v>0.359066427289041</v>
      </c>
      <c r="Q19" s="12">
        <f>IF(AND(ISNUMBER(RU_Clean!Q19),ISNUMBER(RU_Clean!Q18)),(RU_Clean!Q19-RU_Clean!Q18)/RU_Clean!Q18*100,"")</f>
        <v>0.0888099467140396</v>
      </c>
      <c r="R19" s="12">
        <f>IF(AND(ISNUMBER(RU_Clean!R19),ISNUMBER(RU_Clean!R18)),(RU_Clean!R19-RU_Clean!R18)/RU_Clean!R18*100,"")</f>
        <v>0.420875420875421</v>
      </c>
      <c r="S19" s="12">
        <f>IF(AND(ISNUMBER(RU_Clean!S19),ISNUMBER(RU_Clean!S18)),(RU_Clean!S19-RU_Clean!S18)/RU_Clean!S18*100,"")</f>
        <v>0.693842150910665</v>
      </c>
      <c r="T19" s="12">
        <f>IF(AND(ISNUMBER(RU_Clean!T19),ISNUMBER(RU_Clean!T18)),(RU_Clean!T19-RU_Clean!T18)/RU_Clean!T18*100,"")</f>
        <v>0.4359197907585</v>
      </c>
      <c r="U19" s="12">
        <f>IF(AND(ISNUMBER(RU_Clean!U19),ISNUMBER(RU_Clean!U18)),(RU_Clean!U19-RU_Clean!U18)/RU_Clean!U18*100,"")</f>
        <v>0.343642611683841</v>
      </c>
      <c r="V19" s="12">
        <f>IF(AND(ISNUMBER(RU_Clean!V19),ISNUMBER(RU_Clean!V18)),(RU_Clean!V19-RU_Clean!V18)/RU_Clean!V18*100,"")</f>
        <v>0.353045013239193</v>
      </c>
      <c r="W19" s="12">
        <f>IF(AND(ISNUMBER(RU_Clean!W19),ISNUMBER(RU_Clean!W18)),(RU_Clean!W19-RU_Clean!W18)/RU_Clean!W18*100,"")</f>
        <v>0.431406384814495</v>
      </c>
      <c r="X19" s="12">
        <f>IF(AND(ISNUMBER(RU_Clean!X19),ISNUMBER(RU_Clean!X18)),(RU_Clean!X19-RU_Clean!X18)/RU_Clean!X18*100,"")</f>
        <v>0.622222222222225</v>
      </c>
      <c r="Y19" s="12">
        <f>IF(AND(ISNUMBER(RU_Clean!Y19),ISNUMBER(RU_Clean!Y18)),(RU_Clean!Y19-RU_Clean!Y18)/RU_Clean!Y18*100,"")</f>
        <v>0.088967971530244</v>
      </c>
      <c r="Z19" s="12">
        <f>IF(AND(ISNUMBER(RU_Clean!Z19),ISNUMBER(RU_Clean!Z18)),(RU_Clean!Z19-RU_Clean!Z18)/RU_Clean!Z18*100,"")</f>
        <v>0.354609929078019</v>
      </c>
      <c r="AA19" s="12">
        <f>IF(AND(ISNUMBER(RU_Clean!AA19),ISNUMBER(RU_Clean!AA18)),(RU_Clean!AA19-RU_Clean!AA18)/RU_Clean!AA18*100,"")</f>
        <v>0.4516711833785</v>
      </c>
      <c r="AB19" s="12">
        <f>IF(AND(ISNUMBER(RU_Clean!AB19),ISNUMBER(RU_Clean!AB18)),(RU_Clean!AB19-RU_Clean!AB18)/RU_Clean!AB18*100,"")</f>
        <v>0.27002700270028</v>
      </c>
      <c r="AC19" s="12">
        <f>IF(AND(ISNUMBER(RU_Clean!AC19),ISNUMBER(RU_Clean!AC18)),(RU_Clean!AC19-RU_Clean!AC18)/RU_Clean!AC18*100,"")</f>
        <v>0.454132606721163</v>
      </c>
      <c r="AD19" s="12">
        <f>IF(AND(ISNUMBER(RU_Clean!AD19),ISNUMBER(RU_Clean!AD18)),(RU_Clean!AD19-RU_Clean!AD18)/RU_Clean!AD18*100,"")</f>
        <v>0.178890876565298</v>
      </c>
      <c r="AE19" s="12">
        <f>IF(AND(ISNUMBER(RU_Clean!AE19),ISNUMBER(RU_Clean!AE18)),(RU_Clean!AE19-RU_Clean!AE18)/RU_Clean!AE18*100,"")</f>
        <v>0.27598896044158</v>
      </c>
      <c r="AF19" s="12">
        <f>IF(AND(ISNUMBER(RU_Clean!AF19),ISNUMBER(RU_Clean!AF18)),(RU_Clean!AF19-RU_Clean!AF18)/RU_Clean!AF18*100,"")</f>
        <v>0.360685302073933</v>
      </c>
      <c r="AG19" s="12">
        <f>IF(AND(ISNUMBER(RU_Clean!AG19),ISNUMBER(RU_Clean!AG18)),(RU_Clean!AG19-RU_Clean!AG18)/RU_Clean!AG18*100,"")</f>
        <v>0.528169014084515</v>
      </c>
      <c r="AH19" s="12">
        <f>IF(AND(ISNUMBER(RU_Clean!AH19),ISNUMBER(RU_Clean!AH18)),(RU_Clean!AH19-RU_Clean!AH18)/RU_Clean!AH18*100,"")</f>
        <v>0.542203985931995</v>
      </c>
    </row>
    <row r="20" spans="1:34">
      <c r="A20" s="6">
        <f>RU_Clean!A20</f>
        <v>2014</v>
      </c>
      <c r="B20" s="6">
        <f>RU_Clean!B20</f>
        <v>4</v>
      </c>
      <c r="C20" s="6" t="str">
        <f>RU_Clean!C20</f>
        <v>April</v>
      </c>
      <c r="D20" s="9">
        <f>RU_Clean!D20</f>
        <v>41730</v>
      </c>
      <c r="E20" s="6"/>
      <c r="F20" s="6"/>
      <c r="G20" s="12">
        <f>IF(AND(ISNUMBER(RU_Clean!G20),ISNUMBER(RU_Clean!G19)),(RU_Clean!G20-RU_Clean!G19)/RU_Clean!G19*100,"")</f>
        <v>0.165700082850044</v>
      </c>
      <c r="H20" s="12">
        <f>IF(AND(ISNUMBER(RU_Clean!H20),ISNUMBER(RU_Clean!H19)),(RU_Clean!H20-RU_Clean!H19)/RU_Clean!H19*100,"")</f>
        <v>0.50293378038559</v>
      </c>
      <c r="I20" s="12">
        <f>IF(AND(ISNUMBER(RU_Clean!I20),ISNUMBER(RU_Clean!I19)),(RU_Clean!I20-RU_Clean!I19)/RU_Clean!I19*100,"")</f>
        <v>-3.96694214876033</v>
      </c>
      <c r="J20" s="12">
        <f>IF(AND(ISNUMBER(RU_Clean!J20),ISNUMBER(RU_Clean!J19)),(RU_Clean!J20-RU_Clean!J19)/RU_Clean!J19*100,"")</f>
        <v>0.775193798449617</v>
      </c>
      <c r="K20" s="12">
        <f>IF(AND(ISNUMBER(RU_Clean!K20),ISNUMBER(RU_Clean!K19)),(RU_Clean!K20-RU_Clean!K19)/RU_Clean!K19*100,"")</f>
        <v>0.37418147801683</v>
      </c>
      <c r="L20" s="12">
        <f>IF(AND(ISNUMBER(RU_Clean!L20),ISNUMBER(RU_Clean!L19)),(RU_Clean!L20-RU_Clean!L19)/RU_Clean!L19*100,"")</f>
        <v>6.23420387531591</v>
      </c>
      <c r="M20" s="12">
        <f>IF(AND(ISNUMBER(RU_Clean!M20),ISNUMBER(RU_Clean!M19)),(RU_Clean!M20-RU_Clean!M19)/RU_Clean!M19*100,"")</f>
        <v>3.78331900257954</v>
      </c>
      <c r="N20" s="12">
        <f>IF(AND(ISNUMBER(RU_Clean!N20),ISNUMBER(RU_Clean!N19)),(RU_Clean!N20-RU_Clean!N19)/RU_Clean!N19*100,"")</f>
        <v>1.09289617486339</v>
      </c>
      <c r="O20" s="12">
        <f>IF(AND(ISNUMBER(RU_Clean!O20),ISNUMBER(RU_Clean!O19)),(RU_Clean!O20-RU_Clean!O19)/RU_Clean!O19*100,"")</f>
        <v>2.20883534136546</v>
      </c>
      <c r="P20" s="12">
        <f>IF(AND(ISNUMBER(RU_Clean!P20),ISNUMBER(RU_Clean!P19)),(RU_Clean!P20-RU_Clean!P19)/RU_Clean!P19*100,"")</f>
        <v>0.715563506261178</v>
      </c>
      <c r="Q20" s="12">
        <f>IF(AND(ISNUMBER(RU_Clean!Q20),ISNUMBER(RU_Clean!Q19)),(RU_Clean!Q20-RU_Clean!Q19)/RU_Clean!Q19*100,"")</f>
        <v>0.443655723158829</v>
      </c>
      <c r="R20" s="12">
        <f>IF(AND(ISNUMBER(RU_Clean!R20),ISNUMBER(RU_Clean!R19)),(RU_Clean!R20-RU_Clean!R19)/RU_Clean!R19*100,"")</f>
        <v>0.419111483654652</v>
      </c>
      <c r="S20" s="12">
        <f>IF(AND(ISNUMBER(RU_Clean!S20),ISNUMBER(RU_Clean!S19)),(RU_Clean!S20-RU_Clean!S19)/RU_Clean!S19*100,"")</f>
        <v>1.29198966408269</v>
      </c>
      <c r="T20" s="12">
        <f>IF(AND(ISNUMBER(RU_Clean!T20),ISNUMBER(RU_Clean!T19)),(RU_Clean!T20-RU_Clean!T19)/RU_Clean!T19*100,"")</f>
        <v>0.694444444444442</v>
      </c>
      <c r="U20" s="12">
        <f>IF(AND(ISNUMBER(RU_Clean!U20),ISNUMBER(RU_Clean!U19)),(RU_Clean!U20-RU_Clean!U19)/RU_Clean!U19*100,"")</f>
        <v>0.513698630136994</v>
      </c>
      <c r="V20" s="12">
        <f>IF(AND(ISNUMBER(RU_Clean!V20),ISNUMBER(RU_Clean!V19)),(RU_Clean!V20-RU_Clean!V19)/RU_Clean!V19*100,"")</f>
        <v>0.791556728232182</v>
      </c>
      <c r="W20" s="12">
        <f>IF(AND(ISNUMBER(RU_Clean!W20),ISNUMBER(RU_Clean!W19)),(RU_Clean!W20-RU_Clean!W19)/RU_Clean!W19*100,"")</f>
        <v>0.515463917525768</v>
      </c>
      <c r="X20" s="12">
        <f>IF(AND(ISNUMBER(RU_Clean!X20),ISNUMBER(RU_Clean!X19)),(RU_Clean!X20-RU_Clean!X19)/RU_Clean!X19*100,"")</f>
        <v>0.618374558303889</v>
      </c>
      <c r="Y20" s="12">
        <f>IF(AND(ISNUMBER(RU_Clean!Y20),ISNUMBER(RU_Clean!Y19)),(RU_Clean!Y20-RU_Clean!Y19)/RU_Clean!Y19*100,"")</f>
        <v>0</v>
      </c>
      <c r="Z20" s="12">
        <f>IF(AND(ISNUMBER(RU_Clean!Z20),ISNUMBER(RU_Clean!Z19)),(RU_Clean!Z20-RU_Clean!Z19)/RU_Clean!Z19*100,"")</f>
        <v>0.353356890459356</v>
      </c>
      <c r="AA20" s="12">
        <f>IF(AND(ISNUMBER(RU_Clean!AA20),ISNUMBER(RU_Clean!AA19)),(RU_Clean!AA20-RU_Clean!AA19)/RU_Clean!AA19*100,"")</f>
        <v>0.269784172661868</v>
      </c>
      <c r="AB20" s="12">
        <f>IF(AND(ISNUMBER(RU_Clean!AB20),ISNUMBER(RU_Clean!AB19)),(RU_Clean!AB20-RU_Clean!AB19)/RU_Clean!AB19*100,"")</f>
        <v>-0.179533213644527</v>
      </c>
      <c r="AC20" s="12">
        <f>IF(AND(ISNUMBER(RU_Clean!AC20),ISNUMBER(RU_Clean!AC19)),(RU_Clean!AC20-RU_Clean!AC19)/RU_Clean!AC19*100,"")</f>
        <v>0.27124773960218</v>
      </c>
      <c r="AD20" s="12">
        <f>IF(AND(ISNUMBER(RU_Clean!AD20),ISNUMBER(RU_Clean!AD19)),(RU_Clean!AD20-RU_Clean!AD19)/RU_Clean!AD19*100,"")</f>
        <v>0.625000000000003</v>
      </c>
      <c r="AE20" s="12">
        <f>IF(AND(ISNUMBER(RU_Clean!AE20),ISNUMBER(RU_Clean!AE19)),(RU_Clean!AE20-RU_Clean!AE19)/RU_Clean!AE19*100,"")</f>
        <v>0</v>
      </c>
      <c r="AF20" s="12">
        <f>IF(AND(ISNUMBER(RU_Clean!AF20),ISNUMBER(RU_Clean!AF19)),(RU_Clean!AF20-RU_Clean!AF19)/RU_Clean!AF19*100,"")</f>
        <v>0.179694519317163</v>
      </c>
      <c r="AG20" s="12">
        <f>IF(AND(ISNUMBER(RU_Clean!AG20),ISNUMBER(RU_Clean!AG19)),(RU_Clean!AG20-RU_Clean!AG19)/RU_Clean!AG19*100,"")</f>
        <v>0.788091068301218</v>
      </c>
      <c r="AH20" s="12">
        <f>IF(AND(ISNUMBER(RU_Clean!AH20),ISNUMBER(RU_Clean!AH19)),(RU_Clean!AH20-RU_Clean!AH19)/RU_Clean!AH19*100,"")</f>
        <v>1.04212213962981</v>
      </c>
    </row>
    <row r="21" spans="1:34">
      <c r="A21" s="6">
        <f>RU_Clean!A21</f>
        <v>2014</v>
      </c>
      <c r="B21" s="6">
        <f>RU_Clean!B21</f>
        <v>5</v>
      </c>
      <c r="C21" s="6" t="str">
        <f>RU_Clean!C21</f>
        <v>May</v>
      </c>
      <c r="D21" s="9">
        <f>RU_Clean!D21</f>
        <v>41760</v>
      </c>
      <c r="E21" s="6"/>
      <c r="F21" s="6"/>
      <c r="G21" s="12">
        <f>IF(AND(ISNUMBER(RU_Clean!G21),ISNUMBER(RU_Clean!G20)),(RU_Clean!G21-RU_Clean!G20)/RU_Clean!G20*100,"")</f>
        <v>0.165425971877575</v>
      </c>
      <c r="H21" s="12">
        <f>IF(AND(ISNUMBER(RU_Clean!H21),ISNUMBER(RU_Clean!H20)),(RU_Clean!H21-RU_Clean!H20)/RU_Clean!H20*100,"")</f>
        <v>1.41784820683902</v>
      </c>
      <c r="I21" s="12">
        <f>IF(AND(ISNUMBER(RU_Clean!I21),ISNUMBER(RU_Clean!I20)),(RU_Clean!I21-RU_Clean!I20)/RU_Clean!I20*100,"")</f>
        <v>-0.258175559380376</v>
      </c>
      <c r="J21" s="12">
        <f>IF(AND(ISNUMBER(RU_Clean!J21),ISNUMBER(RU_Clean!J20)),(RU_Clean!J21-RU_Clean!J20)/RU_Clean!J20*100,"")</f>
        <v>1.1965811965812</v>
      </c>
      <c r="K21" s="12">
        <f>IF(AND(ISNUMBER(RU_Clean!K21),ISNUMBER(RU_Clean!K20)),(RU_Clean!K21-RU_Clean!K20)/RU_Clean!K20*100,"")</f>
        <v>0.372786579683137</v>
      </c>
      <c r="L21" s="12">
        <f>IF(AND(ISNUMBER(RU_Clean!L21),ISNUMBER(RU_Clean!L20)),(RU_Clean!L21-RU_Clean!L20)/RU_Clean!L20*100,"")</f>
        <v>1.26883425852499</v>
      </c>
      <c r="M21" s="12">
        <f>IF(AND(ISNUMBER(RU_Clean!M21),ISNUMBER(RU_Clean!M20)),(RU_Clean!M21-RU_Clean!M20)/RU_Clean!M20*100,"")</f>
        <v>3.56255178127589</v>
      </c>
      <c r="N21" s="12">
        <f>IF(AND(ISNUMBER(RU_Clean!N21),ISNUMBER(RU_Clean!N20)),(RU_Clean!N21-RU_Clean!N20)/RU_Clean!N20*100,"")</f>
        <v>0.810810810810816</v>
      </c>
      <c r="O21" s="12">
        <f>IF(AND(ISNUMBER(RU_Clean!O21),ISNUMBER(RU_Clean!O20)),(RU_Clean!O21-RU_Clean!O20)/RU_Clean!O20*100,"")</f>
        <v>0.982318271119843</v>
      </c>
      <c r="P21" s="12">
        <f>IF(AND(ISNUMBER(RU_Clean!P21),ISNUMBER(RU_Clean!P20)),(RU_Clean!P21-RU_Clean!P20)/RU_Clean!P20*100,"")</f>
        <v>0.710479573712266</v>
      </c>
      <c r="Q21" s="12">
        <f>IF(AND(ISNUMBER(RU_Clean!Q21),ISNUMBER(RU_Clean!Q20)),(RU_Clean!Q21-RU_Clean!Q20)/RU_Clean!Q20*100,"")</f>
        <v>0.441696113074205</v>
      </c>
      <c r="R21" s="12">
        <f>IF(AND(ISNUMBER(RU_Clean!R21),ISNUMBER(RU_Clean!R20)),(RU_Clean!R21-RU_Clean!R20)/RU_Clean!R20*100,"")</f>
        <v>0.500834724540909</v>
      </c>
      <c r="S21" s="12">
        <f>IF(AND(ISNUMBER(RU_Clean!S21),ISNUMBER(RU_Clean!S20)),(RU_Clean!S21-RU_Clean!S20)/RU_Clean!S20*100,"")</f>
        <v>1.10544217687076</v>
      </c>
      <c r="T21" s="12">
        <f>IF(AND(ISNUMBER(RU_Clean!T21),ISNUMBER(RU_Clean!T20)),(RU_Clean!T21-RU_Clean!T20)/RU_Clean!T20*100,"")</f>
        <v>0.689655172413791</v>
      </c>
      <c r="U21" s="12">
        <f>IF(AND(ISNUMBER(RU_Clean!U21),ISNUMBER(RU_Clean!U20)),(RU_Clean!U21-RU_Clean!U20)/RU_Clean!U20*100,"")</f>
        <v>0.511073253833044</v>
      </c>
      <c r="V21" s="12">
        <f>IF(AND(ISNUMBER(RU_Clean!V21),ISNUMBER(RU_Clean!V20)),(RU_Clean!V21-RU_Clean!V20)/RU_Clean!V20*100,"")</f>
        <v>0.523560209424091</v>
      </c>
      <c r="W21" s="12">
        <f>IF(AND(ISNUMBER(RU_Clean!W21),ISNUMBER(RU_Clean!W20)),(RU_Clean!W21-RU_Clean!W20)/RU_Clean!W20*100,"")</f>
        <v>0.512820512820508</v>
      </c>
      <c r="X21" s="12">
        <f>IF(AND(ISNUMBER(RU_Clean!X21),ISNUMBER(RU_Clean!X20)),(RU_Clean!X21-RU_Clean!X20)/RU_Clean!X20*100,"")</f>
        <v>0.351185250219483</v>
      </c>
      <c r="Y21" s="12">
        <f>IF(AND(ISNUMBER(RU_Clean!Y21),ISNUMBER(RU_Clean!Y20)),(RU_Clean!Y21-RU_Clean!Y20)/RU_Clean!Y20*100,"")</f>
        <v>0</v>
      </c>
      <c r="Z21" s="12">
        <f>IF(AND(ISNUMBER(RU_Clean!Z21),ISNUMBER(RU_Clean!Z20)),(RU_Clean!Z21-RU_Clean!Z20)/RU_Clean!Z20*100,"")</f>
        <v>0.440140845070423</v>
      </c>
      <c r="AA21" s="12">
        <f>IF(AND(ISNUMBER(RU_Clean!AA21),ISNUMBER(RU_Clean!AA20)),(RU_Clean!AA21-RU_Clean!AA20)/RU_Clean!AA20*100,"")</f>
        <v>0.269058295964123</v>
      </c>
      <c r="AB21" s="12">
        <f>IF(AND(ISNUMBER(RU_Clean!AB21),ISNUMBER(RU_Clean!AB20)),(RU_Clean!AB21-RU_Clean!AB20)/RU_Clean!AB20*100,"")</f>
        <v>0.0899280575539517</v>
      </c>
      <c r="AC21" s="12">
        <f>IF(AND(ISNUMBER(RU_Clean!AC21),ISNUMBER(RU_Clean!AC20)),(RU_Clean!AC21-RU_Clean!AC20)/RU_Clean!AC20*100,"")</f>
        <v>0.270513976555453</v>
      </c>
      <c r="AD21" s="12">
        <f>IF(AND(ISNUMBER(RU_Clean!AD21),ISNUMBER(RU_Clean!AD20)),(RU_Clean!AD21-RU_Clean!AD20)/RU_Clean!AD20*100,"")</f>
        <v>0.266193433895295</v>
      </c>
      <c r="AE21" s="12">
        <f>IF(AND(ISNUMBER(RU_Clean!AE21),ISNUMBER(RU_Clean!AE20)),(RU_Clean!AE21-RU_Clean!AE20)/RU_Clean!AE20*100,"")</f>
        <v>0.0917431192660498</v>
      </c>
      <c r="AF21" s="12">
        <f>IF(AND(ISNUMBER(RU_Clean!AF21),ISNUMBER(RU_Clean!AF20)),(RU_Clean!AF21-RU_Clean!AF20)/RU_Clean!AF20*100,"")</f>
        <v>0.269058295964123</v>
      </c>
      <c r="AG21" s="12">
        <f>IF(AND(ISNUMBER(RU_Clean!AG21),ISNUMBER(RU_Clean!AG20)),(RU_Clean!AG21-RU_Clean!AG20)/RU_Clean!AG20*100,"")</f>
        <v>0.608166811468291</v>
      </c>
      <c r="AH21" s="12">
        <f>IF(AND(ISNUMBER(RU_Clean!AH21),ISNUMBER(RU_Clean!AH20)),(RU_Clean!AH21-RU_Clean!AH20)/RU_Clean!AH20*100,"")</f>
        <v>0.9448250991706</v>
      </c>
    </row>
    <row r="22" spans="1:34">
      <c r="A22" s="6">
        <f>RU_Clean!A22</f>
        <v>2014</v>
      </c>
      <c r="B22" s="6">
        <f>RU_Clean!B22</f>
        <v>6</v>
      </c>
      <c r="C22" s="6" t="str">
        <f>RU_Clean!C22</f>
        <v>June</v>
      </c>
      <c r="D22" s="9">
        <f>RU_Clean!D22</f>
        <v>41791</v>
      </c>
      <c r="E22" s="6"/>
      <c r="F22" s="6"/>
      <c r="G22" s="12">
        <f>IF(AND(ISNUMBER(RU_Clean!G22),ISNUMBER(RU_Clean!G21)),(RU_Clean!G22-RU_Clean!G21)/RU_Clean!G21*100,"")</f>
        <v>0.330305532617676</v>
      </c>
      <c r="H22" s="12">
        <f>IF(AND(ISNUMBER(RU_Clean!H22),ISNUMBER(RU_Clean!H21)),(RU_Clean!H22-RU_Clean!H21)/RU_Clean!H21*100,"")</f>
        <v>1.23355263157895</v>
      </c>
      <c r="I22" s="12">
        <f>IF(AND(ISNUMBER(RU_Clean!I22),ISNUMBER(RU_Clean!I21)),(RU_Clean!I22-RU_Clean!I21)/RU_Clean!I21*100,"")</f>
        <v>-0.0862812769629064</v>
      </c>
      <c r="J22" s="12">
        <f>IF(AND(ISNUMBER(RU_Clean!J22),ISNUMBER(RU_Clean!J21)),(RU_Clean!J22-RU_Clean!J21)/RU_Clean!J21*100,"")</f>
        <v>1.09797297297297</v>
      </c>
      <c r="K22" s="12">
        <f>IF(AND(ISNUMBER(RU_Clean!K22),ISNUMBER(RU_Clean!K21)),(RU_Clean!K22-RU_Clean!K21)/RU_Clean!K21*100,"")</f>
        <v>0.0928505106778034</v>
      </c>
      <c r="L22" s="12">
        <f>IF(AND(ISNUMBER(RU_Clean!L22),ISNUMBER(RU_Clean!L21)),(RU_Clean!L22-RU_Clean!L21)/RU_Clean!L21*100,"")</f>
        <v>0.469851213782309</v>
      </c>
      <c r="M22" s="12">
        <f>IF(AND(ISNUMBER(RU_Clean!M22),ISNUMBER(RU_Clean!M21)),(RU_Clean!M22-RU_Clean!M21)/RU_Clean!M21*100,"")</f>
        <v>5.68</v>
      </c>
      <c r="N22" s="12">
        <f>IF(AND(ISNUMBER(RU_Clean!N22),ISNUMBER(RU_Clean!N21)),(RU_Clean!N22-RU_Clean!N21)/RU_Clean!N21*100,"")</f>
        <v>0.446827524575514</v>
      </c>
      <c r="O22" s="12">
        <f>IF(AND(ISNUMBER(RU_Clean!O22),ISNUMBER(RU_Clean!O21)),(RU_Clean!O22-RU_Clean!O21)/RU_Clean!O21*100,"")</f>
        <v>0.097276264591448</v>
      </c>
      <c r="P22" s="12">
        <f>IF(AND(ISNUMBER(RU_Clean!P22),ISNUMBER(RU_Clean!P21)),(RU_Clean!P22-RU_Clean!P21)/RU_Clean!P21*100,"")</f>
        <v>0.793650793650786</v>
      </c>
      <c r="Q22" s="12">
        <f>IF(AND(ISNUMBER(RU_Clean!Q22),ISNUMBER(RU_Clean!Q21)),(RU_Clean!Q22-RU_Clean!Q21)/RU_Clean!Q21*100,"")</f>
        <v>0.439753737906772</v>
      </c>
      <c r="R22" s="12">
        <f>IF(AND(ISNUMBER(RU_Clean!R22),ISNUMBER(RU_Clean!R21)),(RU_Clean!R22-RU_Clean!R21)/RU_Clean!R21*100,"")</f>
        <v>0.664451827242522</v>
      </c>
      <c r="S22" s="12">
        <f>IF(AND(ISNUMBER(RU_Clean!S22),ISNUMBER(RU_Clean!S21)),(RU_Clean!S22-RU_Clean!S21)/RU_Clean!S21*100,"")</f>
        <v>1.26156433978133</v>
      </c>
      <c r="T22" s="12">
        <f>IF(AND(ISNUMBER(RU_Clean!T22),ISNUMBER(RU_Clean!T21)),(RU_Clean!T22-RU_Clean!T21)/RU_Clean!T21*100,"")</f>
        <v>0.856164383561644</v>
      </c>
      <c r="U22" s="12">
        <f>IF(AND(ISNUMBER(RU_Clean!U22),ISNUMBER(RU_Clean!U21)),(RU_Clean!U22-RU_Clean!U21)/RU_Clean!U21*100,"")</f>
        <v>0.677966101694913</v>
      </c>
      <c r="V22" s="12">
        <f>IF(AND(ISNUMBER(RU_Clean!V22),ISNUMBER(RU_Clean!V21)),(RU_Clean!V22-RU_Clean!V21)/RU_Clean!V21*100,"")</f>
        <v>0.347222222222215</v>
      </c>
      <c r="W22" s="12">
        <f>IF(AND(ISNUMBER(RU_Clean!W22),ISNUMBER(RU_Clean!W21)),(RU_Clean!W22-RU_Clean!W21)/RU_Clean!W21*100,"")</f>
        <v>0.595238095238098</v>
      </c>
      <c r="X22" s="12">
        <f>IF(AND(ISNUMBER(RU_Clean!X22),ISNUMBER(RU_Clean!X21)),(RU_Clean!X22-RU_Clean!X21)/RU_Clean!X21*100,"")</f>
        <v>-0.349956255468059</v>
      </c>
      <c r="Y22" s="12">
        <f>IF(AND(ISNUMBER(RU_Clean!Y22),ISNUMBER(RU_Clean!Y21)),(RU_Clean!Y22-RU_Clean!Y21)/RU_Clean!Y21*100,"")</f>
        <v>0.622222222222225</v>
      </c>
      <c r="Z22" s="12">
        <f>IF(AND(ISNUMBER(RU_Clean!Z22),ISNUMBER(RU_Clean!Z21)),(RU_Clean!Z22-RU_Clean!Z21)/RU_Clean!Z21*100,"")</f>
        <v>0.438212094653812</v>
      </c>
      <c r="AA22" s="12">
        <f>IF(AND(ISNUMBER(RU_Clean!AA22),ISNUMBER(RU_Clean!AA21)),(RU_Clean!AA22-RU_Clean!AA21)/RU_Clean!AA21*100,"")</f>
        <v>0.447227191413238</v>
      </c>
      <c r="AB22" s="12">
        <f>IF(AND(ISNUMBER(RU_Clean!AB22),ISNUMBER(RU_Clean!AB21)),(RU_Clean!AB22-RU_Clean!AB21)/RU_Clean!AB21*100,"")</f>
        <v>0.449236298292902</v>
      </c>
      <c r="AC22" s="12">
        <f>IF(AND(ISNUMBER(RU_Clean!AC22),ISNUMBER(RU_Clean!AC21)),(RU_Clean!AC22-RU_Clean!AC21)/RU_Clean!AC21*100,"")</f>
        <v>0.35971223021582</v>
      </c>
      <c r="AD22" s="12">
        <f>IF(AND(ISNUMBER(RU_Clean!AD22),ISNUMBER(RU_Clean!AD21)),(RU_Clean!AD22-RU_Clean!AD21)/RU_Clean!AD21*100,"")</f>
        <v>1.5929203539823</v>
      </c>
      <c r="AE22" s="12">
        <f>IF(AND(ISNUMBER(RU_Clean!AE22),ISNUMBER(RU_Clean!AE21)),(RU_Clean!AE22-RU_Clean!AE21)/RU_Clean!AE21*100,"")</f>
        <v>-0.733272227314388</v>
      </c>
      <c r="AF22" s="12">
        <f>IF(AND(ISNUMBER(RU_Clean!AF22),ISNUMBER(RU_Clean!AF21)),(RU_Clean!AF22-RU_Clean!AF21)/RU_Clean!AF21*100,"")</f>
        <v>0.447227191413238</v>
      </c>
      <c r="AG22" s="12">
        <f>IF(AND(ISNUMBER(RU_Clean!AG22),ISNUMBER(RU_Clean!AG21)),(RU_Clean!AG22-RU_Clean!AG21)/RU_Clean!AG21*100,"")</f>
        <v>0.777202072538865</v>
      </c>
      <c r="AH22" s="12">
        <f>IF(AND(ISNUMBER(RU_Clean!AH22),ISNUMBER(RU_Clean!AH21)),(RU_Clean!AH22-RU_Clean!AH21)/RU_Clean!AH21*100,"")</f>
        <v>0.978851100314362</v>
      </c>
    </row>
    <row r="23" spans="1:34">
      <c r="A23" s="6">
        <f>RU_Clean!A23</f>
        <v>2014</v>
      </c>
      <c r="B23" s="6">
        <f>RU_Clean!B23</f>
        <v>7</v>
      </c>
      <c r="C23" s="6" t="str">
        <f>RU_Clean!C23</f>
        <v>July</v>
      </c>
      <c r="D23" s="9">
        <f>RU_Clean!D23</f>
        <v>41821</v>
      </c>
      <c r="E23" s="6"/>
      <c r="F23" s="6"/>
      <c r="G23" s="12">
        <f>IF(AND(ISNUMBER(RU_Clean!G23),ISNUMBER(RU_Clean!G22)),(RU_Clean!G23-RU_Clean!G22)/RU_Clean!G22*100,"")</f>
        <v>0.740740740740745</v>
      </c>
      <c r="H23" s="12">
        <f>IF(AND(ISNUMBER(RU_Clean!H23),ISNUMBER(RU_Clean!H22)),(RU_Clean!H23-RU_Clean!H22)/RU_Clean!H22*100,"")</f>
        <v>0.649878147847288</v>
      </c>
      <c r="I23" s="12">
        <f>IF(AND(ISNUMBER(RU_Clean!I23),ISNUMBER(RU_Clean!I22)),(RU_Clean!I23-RU_Clean!I22)/RU_Clean!I22*100,"")</f>
        <v>1.72711571675302</v>
      </c>
      <c r="J23" s="12">
        <f>IF(AND(ISNUMBER(RU_Clean!J23),ISNUMBER(RU_Clean!J22)),(RU_Clean!J23-RU_Clean!J22)/RU_Clean!J22*100,"")</f>
        <v>1.0860484544695</v>
      </c>
      <c r="K23" s="12">
        <f>IF(AND(ISNUMBER(RU_Clean!K23),ISNUMBER(RU_Clean!K22)),(RU_Clean!K23-RU_Clean!K22)/RU_Clean!K22*100,"")</f>
        <v>0.0927643784786721</v>
      </c>
      <c r="L23" s="12">
        <f>IF(AND(ISNUMBER(RU_Clean!L23),ISNUMBER(RU_Clean!L22)),(RU_Clean!L23-RU_Clean!L22)/RU_Clean!L22*100,"")</f>
        <v>2.26032735775524</v>
      </c>
      <c r="M23" s="12">
        <f>IF(AND(ISNUMBER(RU_Clean!M23),ISNUMBER(RU_Clean!M22)),(RU_Clean!M23-RU_Clean!M22)/RU_Clean!M22*100,"")</f>
        <v>19.3792581377744</v>
      </c>
      <c r="N23" s="12">
        <f>IF(AND(ISNUMBER(RU_Clean!N23),ISNUMBER(RU_Clean!N22)),(RU_Clean!N23-RU_Clean!N22)/RU_Clean!N22*100,"")</f>
        <v>0.71174377224199</v>
      </c>
      <c r="O23" s="12">
        <f>IF(AND(ISNUMBER(RU_Clean!O23),ISNUMBER(RU_Clean!O22)),(RU_Clean!O23-RU_Clean!O22)/RU_Clean!O22*100,"")</f>
        <v>1.16618075801748</v>
      </c>
      <c r="P23" s="12">
        <f>IF(AND(ISNUMBER(RU_Clean!P23),ISNUMBER(RU_Clean!P22)),(RU_Clean!P23-RU_Clean!P22)/RU_Clean!P22*100,"")</f>
        <v>1.0498687664042</v>
      </c>
      <c r="Q23" s="12">
        <f>IF(AND(ISNUMBER(RU_Clean!Q23),ISNUMBER(RU_Clean!Q22)),(RU_Clean!Q23-RU_Clean!Q22)/RU_Clean!Q22*100,"")</f>
        <v>0.525394045534146</v>
      </c>
      <c r="R23" s="12">
        <f>IF(AND(ISNUMBER(RU_Clean!R23),ISNUMBER(RU_Clean!R22)),(RU_Clean!R23-RU_Clean!R22)/RU_Clean!R22*100,"")</f>
        <v>0.742574257425735</v>
      </c>
      <c r="S23" s="12">
        <f>IF(AND(ISNUMBER(RU_Clean!S23),ISNUMBER(RU_Clean!S22)),(RU_Clean!S23-RU_Clean!S22)/RU_Clean!S22*100,"")</f>
        <v>3.57142857142857</v>
      </c>
      <c r="T23" s="12">
        <f>IF(AND(ISNUMBER(RU_Clean!T23),ISNUMBER(RU_Clean!T22)),(RU_Clean!T23-RU_Clean!T22)/RU_Clean!T22*100,"")</f>
        <v>0.848896434634975</v>
      </c>
      <c r="U23" s="12">
        <f>IF(AND(ISNUMBER(RU_Clean!U23),ISNUMBER(RU_Clean!U22)),(RU_Clean!U23-RU_Clean!U22)/RU_Clean!U22*100,"")</f>
        <v>0.673400673400671</v>
      </c>
      <c r="V23" s="12">
        <f>IF(AND(ISNUMBER(RU_Clean!V23),ISNUMBER(RU_Clean!V22)),(RU_Clean!V23-RU_Clean!V22)/RU_Clean!V22*100,"")</f>
        <v>0.605536332179933</v>
      </c>
      <c r="W23" s="12">
        <f>IF(AND(ISNUMBER(RU_Clean!W23),ISNUMBER(RU_Clean!W22)),(RU_Clean!W23-RU_Clean!W22)/RU_Clean!W22*100,"")</f>
        <v>0.676246830092982</v>
      </c>
      <c r="X23" s="12">
        <f>IF(AND(ISNUMBER(RU_Clean!X23),ISNUMBER(RU_Clean!X22)),(RU_Clean!X23-RU_Clean!X22)/RU_Clean!X22*100,"")</f>
        <v>0.790166812993847</v>
      </c>
      <c r="Y23" s="12">
        <f>IF(AND(ISNUMBER(RU_Clean!Y23),ISNUMBER(RU_Clean!Y22)),(RU_Clean!Y23-RU_Clean!Y22)/RU_Clean!Y22*100,"")</f>
        <v>0.618374558303889</v>
      </c>
      <c r="Z23" s="12">
        <f>IF(AND(ISNUMBER(RU_Clean!Z23),ISNUMBER(RU_Clean!Z22)),(RU_Clean!Z23-RU_Clean!Z22)/RU_Clean!Z22*100,"")</f>
        <v>0.523560209424091</v>
      </c>
      <c r="AA23" s="12">
        <f>IF(AND(ISNUMBER(RU_Clean!AA23),ISNUMBER(RU_Clean!AA22)),(RU_Clean!AA23-RU_Clean!AA22)/RU_Clean!AA22*100,"")</f>
        <v>0.356188780053433</v>
      </c>
      <c r="AB23" s="12">
        <f>IF(AND(ISNUMBER(RU_Clean!AB23),ISNUMBER(RU_Clean!AB22)),(RU_Clean!AB23-RU_Clean!AB22)/RU_Clean!AB22*100,"")</f>
        <v>1.16279069767442</v>
      </c>
      <c r="AC23" s="12">
        <f>IF(AND(ISNUMBER(RU_Clean!AC23),ISNUMBER(RU_Clean!AC22)),(RU_Clean!AC23-RU_Clean!AC22)/RU_Clean!AC22*100,"")</f>
        <v>0.448028673835126</v>
      </c>
      <c r="AD23" s="12">
        <f>IF(AND(ISNUMBER(RU_Clean!AD23),ISNUMBER(RU_Clean!AD22)),(RU_Clean!AD23-RU_Clean!AD22)/RU_Clean!AD22*100,"")</f>
        <v>1.74216027874564</v>
      </c>
      <c r="AE23" s="12">
        <f>IF(AND(ISNUMBER(RU_Clean!AE23),ISNUMBER(RU_Clean!AE22)),(RU_Clean!AE23-RU_Clean!AE22)/RU_Clean!AE22*100,"")</f>
        <v>0.831024930747928</v>
      </c>
      <c r="AF23" s="12">
        <f>IF(AND(ISNUMBER(RU_Clean!AF23),ISNUMBER(RU_Clean!AF22)),(RU_Clean!AF23-RU_Clean!AF22)/RU_Clean!AF22*100,"")</f>
        <v>0.890471950133571</v>
      </c>
      <c r="AG23" s="12">
        <f>IF(AND(ISNUMBER(RU_Clean!AG23),ISNUMBER(RU_Clean!AG22)),(RU_Clean!AG23-RU_Clean!AG22)/RU_Clean!AG22*100,"")</f>
        <v>2.14224507283633</v>
      </c>
      <c r="AH23" s="12">
        <f>IF(AND(ISNUMBER(RU_Clean!AH23),ISNUMBER(RU_Clean!AH22)),(RU_Clean!AH23-RU_Clean!AH22)/RU_Clean!AH22*100,"")</f>
        <v>2.7099695747541</v>
      </c>
    </row>
    <row r="24" spans="1:34">
      <c r="A24" s="6">
        <f>RU_Clean!A24</f>
        <v>2014</v>
      </c>
      <c r="B24" s="6">
        <f>RU_Clean!B24</f>
        <v>8</v>
      </c>
      <c r="C24" s="6" t="str">
        <f>RU_Clean!C24</f>
        <v>August</v>
      </c>
      <c r="D24" s="9">
        <f>RU_Clean!D24</f>
        <v>41852</v>
      </c>
      <c r="E24" s="6"/>
      <c r="F24" s="6"/>
      <c r="G24" s="12">
        <f>IF(AND(ISNUMBER(RU_Clean!G24),ISNUMBER(RU_Clean!G23)),(RU_Clean!G24-RU_Clean!G23)/RU_Clean!G23*100,"")</f>
        <v>0.245098039215684</v>
      </c>
      <c r="H24" s="12">
        <f>IF(AND(ISNUMBER(RU_Clean!H24),ISNUMBER(RU_Clean!H23)),(RU_Clean!H24-RU_Clean!H23)/RU_Clean!H23*100,"")</f>
        <v>0.403551251008878</v>
      </c>
      <c r="I24" s="12">
        <f>IF(AND(ISNUMBER(RU_Clean!I24),ISNUMBER(RU_Clean!I23)),(RU_Clean!I24-RU_Clean!I23)/RU_Clean!I23*100,"")</f>
        <v>-0.424448217317487</v>
      </c>
      <c r="J24" s="12">
        <f>IF(AND(ISNUMBER(RU_Clean!J24),ISNUMBER(RU_Clean!J23)),(RU_Clean!J24-RU_Clean!J23)/RU_Clean!J23*100,"")</f>
        <v>0.826446280991736</v>
      </c>
      <c r="K24" s="12">
        <f>IF(AND(ISNUMBER(RU_Clean!K24),ISNUMBER(RU_Clean!K23)),(RU_Clean!K24-RU_Clean!K23)/RU_Clean!K23*100,"")</f>
        <v>0.0926784059314127</v>
      </c>
      <c r="L24" s="12">
        <f>IF(AND(ISNUMBER(RU_Clean!L24),ISNUMBER(RU_Clean!L23)),(RU_Clean!L24-RU_Clean!L23)/RU_Clean!L23*100,"")</f>
        <v>-0.0762195121951176</v>
      </c>
      <c r="M24" s="12">
        <f>IF(AND(ISNUMBER(RU_Clean!M24),ISNUMBER(RU_Clean!M23)),(RU_Clean!M24-RU_Clean!M23)/RU_Clean!M23*100,"")</f>
        <v>6.65821179454661</v>
      </c>
      <c r="N24" s="12">
        <f>IF(AND(ISNUMBER(RU_Clean!N24),ISNUMBER(RU_Clean!N23)),(RU_Clean!N24-RU_Clean!N23)/RU_Clean!N23*100,"")</f>
        <v>1.14840989399293</v>
      </c>
      <c r="O24" s="12">
        <f>IF(AND(ISNUMBER(RU_Clean!O24),ISNUMBER(RU_Clean!O23)),(RU_Clean!O24-RU_Clean!O23)/RU_Clean!O23*100,"")</f>
        <v>0.192122958693567</v>
      </c>
      <c r="P24" s="12">
        <f>IF(AND(ISNUMBER(RU_Clean!P24),ISNUMBER(RU_Clean!P23)),(RU_Clean!P24-RU_Clean!P23)/RU_Clean!P23*100,"")</f>
        <v>1.38528138528138</v>
      </c>
      <c r="Q24" s="12">
        <f>IF(AND(ISNUMBER(RU_Clean!Q24),ISNUMBER(RU_Clean!Q23)),(RU_Clean!Q24-RU_Clean!Q23)/RU_Clean!Q23*100,"")</f>
        <v>0.348432055749134</v>
      </c>
      <c r="R24" s="12">
        <f>IF(AND(ISNUMBER(RU_Clean!R24),ISNUMBER(RU_Clean!R23)),(RU_Clean!R24-RU_Clean!R23)/RU_Clean!R23*100,"")</f>
        <v>0.819000819000819</v>
      </c>
      <c r="S24" s="12">
        <f>IF(AND(ISNUMBER(RU_Clean!S24),ISNUMBER(RU_Clean!S23)),(RU_Clean!S24-RU_Clean!S23)/RU_Clean!S23*100,"")</f>
        <v>1.52365677626302</v>
      </c>
      <c r="T24" s="12">
        <f>IF(AND(ISNUMBER(RU_Clean!T24),ISNUMBER(RU_Clean!T23)),(RU_Clean!T24-RU_Clean!T23)/RU_Clean!T23*100,"")</f>
        <v>0.925925925925933</v>
      </c>
      <c r="U24" s="12">
        <f>IF(AND(ISNUMBER(RU_Clean!U24),ISNUMBER(RU_Clean!U23)),(RU_Clean!U24-RU_Clean!U23)/RU_Clean!U23*100,"")</f>
        <v>0.334448160535122</v>
      </c>
      <c r="V24" s="12">
        <f>IF(AND(ISNUMBER(RU_Clean!V24),ISNUMBER(RU_Clean!V23)),(RU_Clean!V24-RU_Clean!V23)/RU_Clean!V23*100,"")</f>
        <v>0.429922613929493</v>
      </c>
      <c r="W24" s="12">
        <f>IF(AND(ISNUMBER(RU_Clean!W24),ISNUMBER(RU_Clean!W23)),(RU_Clean!W24-RU_Clean!W23)/RU_Clean!W23*100,"")</f>
        <v>0.419815281276238</v>
      </c>
      <c r="X24" s="12">
        <f>IF(AND(ISNUMBER(RU_Clean!X24),ISNUMBER(RU_Clean!X23)),(RU_Clean!X24-RU_Clean!X23)/RU_Clean!X23*100,"")</f>
        <v>0.609756097560978</v>
      </c>
      <c r="Y24" s="12">
        <f>IF(AND(ISNUMBER(RU_Clean!Y24),ISNUMBER(RU_Clean!Y23)),(RU_Clean!Y24-RU_Clean!Y23)/RU_Clean!Y23*100,"")</f>
        <v>0.0877963125548677</v>
      </c>
      <c r="Z24" s="12">
        <f>IF(AND(ISNUMBER(RU_Clean!Z24),ISNUMBER(RU_Clean!Z23)),(RU_Clean!Z24-RU_Clean!Z23)/RU_Clean!Z23*100,"")</f>
        <v>0.347222222222215</v>
      </c>
      <c r="AA24" s="12">
        <f>IF(AND(ISNUMBER(RU_Clean!AA24),ISNUMBER(RU_Clean!AA23)),(RU_Clean!AA24-RU_Clean!AA23)/RU_Clean!AA23*100,"")</f>
        <v>0.532386867790589</v>
      </c>
      <c r="AB24" s="12">
        <f>IF(AND(ISNUMBER(RU_Clean!AB24),ISNUMBER(RU_Clean!AB23)),(RU_Clean!AB24-RU_Clean!AB23)/RU_Clean!AB23*100,"")</f>
        <v>-0.265251989389918</v>
      </c>
      <c r="AC24" s="12">
        <f>IF(AND(ISNUMBER(RU_Clean!AC24),ISNUMBER(RU_Clean!AC23)),(RU_Clean!AC24-RU_Clean!AC23)/RU_Clean!AC23*100,"")</f>
        <v>0.446030330062444</v>
      </c>
      <c r="AD24" s="12">
        <f>IF(AND(ISNUMBER(RU_Clean!AD24),ISNUMBER(RU_Clean!AD23)),(RU_Clean!AD24-RU_Clean!AD23)/RU_Clean!AD23*100,"")</f>
        <v>1.02739726027398</v>
      </c>
      <c r="AE24" s="12">
        <f>IF(AND(ISNUMBER(RU_Clean!AE24),ISNUMBER(RU_Clean!AE23)),(RU_Clean!AE24-RU_Clean!AE23)/RU_Clean!AE23*100,"")</f>
        <v>0.641025641025644</v>
      </c>
      <c r="AF24" s="12">
        <f>IF(AND(ISNUMBER(RU_Clean!AF24),ISNUMBER(RU_Clean!AF23)),(RU_Clean!AF24-RU_Clean!AF23)/RU_Clean!AF23*100,"")</f>
        <v>0.353045013239193</v>
      </c>
      <c r="AG24" s="12">
        <f>IF(AND(ISNUMBER(RU_Clean!AG24),ISNUMBER(RU_Clean!AG23)),(RU_Clean!AG24-RU_Clean!AG23)/RU_Clean!AG23*100,"")</f>
        <v>0.922818791946304</v>
      </c>
      <c r="AH24" s="12">
        <f>IF(AND(ISNUMBER(RU_Clean!AH24),ISNUMBER(RU_Clean!AH23)),(RU_Clean!AH24-RU_Clean!AH23)/RU_Clean!AH23*100,"")</f>
        <v>1.12289887021218</v>
      </c>
    </row>
    <row r="25" spans="1:34">
      <c r="A25" s="6">
        <f>RU_Clean!A25</f>
        <v>2014</v>
      </c>
      <c r="B25" s="6">
        <f>RU_Clean!B25</f>
        <v>9</v>
      </c>
      <c r="C25" s="6" t="str">
        <f>RU_Clean!C25</f>
        <v>September</v>
      </c>
      <c r="D25" s="9">
        <f>RU_Clean!D25</f>
        <v>41883</v>
      </c>
      <c r="E25" s="6"/>
      <c r="F25" s="6"/>
      <c r="G25" s="12">
        <f>IF(AND(ISNUMBER(RU_Clean!G25),ISNUMBER(RU_Clean!G24)),(RU_Clean!G25-RU_Clean!G24)/RU_Clean!G24*100,"")</f>
        <v>0.162999185004077</v>
      </c>
      <c r="H25" s="12">
        <f>IF(AND(ISNUMBER(RU_Clean!H25),ISNUMBER(RU_Clean!H24)),(RU_Clean!H25-RU_Clean!H24)/RU_Clean!H24*100,"")</f>
        <v>-0.723472668810294</v>
      </c>
      <c r="I25" s="12">
        <f>IF(AND(ISNUMBER(RU_Clean!I25),ISNUMBER(RU_Clean!I24)),(RU_Clean!I25-RU_Clean!I24)/RU_Clean!I24*100,"")</f>
        <v>0</v>
      </c>
      <c r="J25" s="12">
        <f>IF(AND(ISNUMBER(RU_Clean!J25),ISNUMBER(RU_Clean!J24)),(RU_Clean!J25-RU_Clean!J24)/RU_Clean!J24*100,"")</f>
        <v>0.573770491803281</v>
      </c>
      <c r="K25" s="12">
        <f>IF(AND(ISNUMBER(RU_Clean!K25),ISNUMBER(RU_Clean!K24)),(RU_Clean!K25-RU_Clean!K24)/RU_Clean!K24*100,"")</f>
        <v>-0.0925925925925873</v>
      </c>
      <c r="L25" s="12">
        <f>IF(AND(ISNUMBER(RU_Clean!L25),ISNUMBER(RU_Clean!L24)),(RU_Clean!L25-RU_Clean!L24)/RU_Clean!L24*100,"")</f>
        <v>-2.89855072463768</v>
      </c>
      <c r="M25" s="12">
        <f>IF(AND(ISNUMBER(RU_Clean!M25),ISNUMBER(RU_Clean!M24)),(RU_Clean!M25-RU_Clean!M24)/RU_Clean!M24*100,"")</f>
        <v>-3.62663495838287</v>
      </c>
      <c r="N25" s="12">
        <f>IF(AND(ISNUMBER(RU_Clean!N25),ISNUMBER(RU_Clean!N24)),(RU_Clean!N25-RU_Clean!N24)/RU_Clean!N24*100,"")</f>
        <v>0.960698689956327</v>
      </c>
      <c r="O25" s="12">
        <f>IF(AND(ISNUMBER(RU_Clean!O25),ISNUMBER(RU_Clean!O24)),(RU_Clean!O25-RU_Clean!O24)/RU_Clean!O24*100,"")</f>
        <v>-0.479386385426654</v>
      </c>
      <c r="P25" s="12">
        <f>IF(AND(ISNUMBER(RU_Clean!P25),ISNUMBER(RU_Clean!P24)),(RU_Clean!P25-RU_Clean!P24)/RU_Clean!P24*100,"")</f>
        <v>0.426985482493595</v>
      </c>
      <c r="Q25" s="12">
        <f>IF(AND(ISNUMBER(RU_Clean!Q25),ISNUMBER(RU_Clean!Q24)),(RU_Clean!Q25-RU_Clean!Q24)/RU_Clean!Q24*100,"")</f>
        <v>0.520833333333328</v>
      </c>
      <c r="R25" s="12">
        <f>IF(AND(ISNUMBER(RU_Clean!R25),ISNUMBER(RU_Clean!R24)),(RU_Clean!R25-RU_Clean!R24)/RU_Clean!R24*100,"")</f>
        <v>0.568643379366371</v>
      </c>
      <c r="S25" s="12">
        <f>IF(AND(ISNUMBER(RU_Clean!S25),ISNUMBER(RU_Clean!S24)),(RU_Clean!S25-RU_Clean!S24)/RU_Clean!S24*100,"")</f>
        <v>-0.631911532385464</v>
      </c>
      <c r="T25" s="12">
        <f>IF(AND(ISNUMBER(RU_Clean!T25),ISNUMBER(RU_Clean!T24)),(RU_Clean!T25-RU_Clean!T24)/RU_Clean!T24*100,"")</f>
        <v>0.750625521267716</v>
      </c>
      <c r="U25" s="12">
        <f>IF(AND(ISNUMBER(RU_Clean!U25),ISNUMBER(RU_Clean!U24)),(RU_Clean!U25-RU_Clean!U24)/RU_Clean!U24*100,"")</f>
        <v>0.583333333333336</v>
      </c>
      <c r="V25" s="12">
        <f>IF(AND(ISNUMBER(RU_Clean!V25),ISNUMBER(RU_Clean!V24)),(RU_Clean!V25-RU_Clean!V24)/RU_Clean!V24*100,"")</f>
        <v>0.342465753424662</v>
      </c>
      <c r="W25" s="12">
        <f>IF(AND(ISNUMBER(RU_Clean!W25),ISNUMBER(RU_Clean!W24)),(RU_Clean!W25-RU_Clean!W24)/RU_Clean!W24*100,"")</f>
        <v>0.418060200668896</v>
      </c>
      <c r="X25" s="12">
        <f>IF(AND(ISNUMBER(RU_Clean!X25),ISNUMBER(RU_Clean!X24)),(RU_Clean!X25-RU_Clean!X24)/RU_Clean!X24*100,"")</f>
        <v>0.519480519480515</v>
      </c>
      <c r="Y25" s="12">
        <f>IF(AND(ISNUMBER(RU_Clean!Y25),ISNUMBER(RU_Clean!Y24)),(RU_Clean!Y25-RU_Clean!Y24)/RU_Clean!Y24*100,"")</f>
        <v>0.26315789473684</v>
      </c>
      <c r="Z25" s="12">
        <f>IF(AND(ISNUMBER(RU_Clean!Z25),ISNUMBER(RU_Clean!Z24)),(RU_Clean!Z25-RU_Clean!Z24)/RU_Clean!Z24*100,"")</f>
        <v>0.432525951557093</v>
      </c>
      <c r="AA25" s="12">
        <f>IF(AND(ISNUMBER(RU_Clean!AA25),ISNUMBER(RU_Clean!AA24)),(RU_Clean!AA25-RU_Clean!AA24)/RU_Clean!AA24*100,"")</f>
        <v>0.353045013239193</v>
      </c>
      <c r="AB25" s="12">
        <f>IF(AND(ISNUMBER(RU_Clean!AB25),ISNUMBER(RU_Clean!AB24)),(RU_Clean!AB25-RU_Clean!AB24)/RU_Clean!AB24*100,"")</f>
        <v>-0.709219858156026</v>
      </c>
      <c r="AC25" s="12">
        <f>IF(AND(ISNUMBER(RU_Clean!AC25),ISNUMBER(RU_Clean!AC24)),(RU_Clean!AC25-RU_Clean!AC24)/RU_Clean!AC24*100,"")</f>
        <v>0.44404973357016</v>
      </c>
      <c r="AD25" s="12">
        <f>IF(AND(ISNUMBER(RU_Clean!AD25),ISNUMBER(RU_Clean!AD24)),(RU_Clean!AD25-RU_Clean!AD24)/RU_Clean!AD24*100,"")</f>
        <v>0.508474576271182</v>
      </c>
      <c r="AE25" s="12">
        <f>IF(AND(ISNUMBER(RU_Clean!AE25),ISNUMBER(RU_Clean!AE24)),(RU_Clean!AE25-RU_Clean!AE24)/RU_Clean!AE24*100,"")</f>
        <v>-0.36396724294814</v>
      </c>
      <c r="AF25" s="12">
        <f>IF(AND(ISNUMBER(RU_Clean!AF25),ISNUMBER(RU_Clean!AF24)),(RU_Clean!AF25-RU_Clean!AF24)/RU_Clean!AF24*100,"")</f>
        <v>0</v>
      </c>
      <c r="AG25" s="12">
        <f>IF(AND(ISNUMBER(RU_Clean!AG25),ISNUMBER(RU_Clean!AG24)),(RU_Clean!AG25-RU_Clean!AG24)/RU_Clean!AG24*100,"")</f>
        <v>-0.166251039068997</v>
      </c>
      <c r="AH25" s="12">
        <f>IF(AND(ISNUMBER(RU_Clean!AH25),ISNUMBER(RU_Clean!AH24)),(RU_Clean!AH25-RU_Clean!AH24)/RU_Clean!AH24*100,"")</f>
        <v>-0.517746440493231</v>
      </c>
    </row>
    <row r="26" spans="1:34">
      <c r="A26" s="6">
        <f>RU_Clean!A26</f>
        <v>2014</v>
      </c>
      <c r="B26" s="6">
        <f>RU_Clean!B26</f>
        <v>10</v>
      </c>
      <c r="C26" s="6" t="str">
        <f>RU_Clean!C26</f>
        <v>October</v>
      </c>
      <c r="D26" s="9">
        <f>RU_Clean!D26</f>
        <v>41913</v>
      </c>
      <c r="E26" s="6"/>
      <c r="F26" s="6"/>
      <c r="G26" s="12">
        <f>IF(AND(ISNUMBER(RU_Clean!G26),ISNUMBER(RU_Clean!G25)),(RU_Clean!G26-RU_Clean!G25)/RU_Clean!G25*100,"")</f>
        <v>0.244100895036613</v>
      </c>
      <c r="H26" s="12">
        <f>IF(AND(ISNUMBER(RU_Clean!H26),ISNUMBER(RU_Clean!H25)),(RU_Clean!H26-RU_Clean!H25)/RU_Clean!H25*100,"")</f>
        <v>0.242914979757083</v>
      </c>
      <c r="I26" s="12">
        <f>IF(AND(ISNUMBER(RU_Clean!I26),ISNUMBER(RU_Clean!I25)),(RU_Clean!I26-RU_Clean!I25)/RU_Clean!I25*100,"")</f>
        <v>0.682011935208864</v>
      </c>
      <c r="J26" s="12">
        <f>IF(AND(ISNUMBER(RU_Clean!J26),ISNUMBER(RU_Clean!J25)),(RU_Clean!J26-RU_Clean!J25)/RU_Clean!J25*100,"")</f>
        <v>0.407497962510187</v>
      </c>
      <c r="K26" s="12">
        <f>IF(AND(ISNUMBER(RU_Clean!K26),ISNUMBER(RU_Clean!K25)),(RU_Clean!K26-RU_Clean!K25)/RU_Clean!K25*100,"")</f>
        <v>0</v>
      </c>
      <c r="L26" s="12">
        <f>IF(AND(ISNUMBER(RU_Clean!L26),ISNUMBER(RU_Clean!L25)),(RU_Clean!L26-RU_Clean!L25)/RU_Clean!L25*100,"")</f>
        <v>-0.706991358994495</v>
      </c>
      <c r="M26" s="12">
        <f>IF(AND(ISNUMBER(RU_Clean!M26),ISNUMBER(RU_Clean!M25)),(RU_Clean!M26-RU_Clean!M25)/RU_Clean!M25*100,"")</f>
        <v>-3.26958667489203</v>
      </c>
      <c r="N26" s="12">
        <f>IF(AND(ISNUMBER(RU_Clean!N26),ISNUMBER(RU_Clean!N25)),(RU_Clean!N26-RU_Clean!N25)/RU_Clean!N25*100,"")</f>
        <v>0.432525951557093</v>
      </c>
      <c r="O26" s="12">
        <f>IF(AND(ISNUMBER(RU_Clean!O26),ISNUMBER(RU_Clean!O25)),(RU_Clean!O26-RU_Clean!O25)/RU_Clean!O25*100,"")</f>
        <v>-0.674373795761082</v>
      </c>
      <c r="P26" s="12">
        <f>IF(AND(ISNUMBER(RU_Clean!P26),ISNUMBER(RU_Clean!P25)),(RU_Clean!P26-RU_Clean!P25)/RU_Clean!P25*100,"")</f>
        <v>0.425170068027211</v>
      </c>
      <c r="Q26" s="12">
        <f>IF(AND(ISNUMBER(RU_Clean!Q26),ISNUMBER(RU_Clean!Q25)),(RU_Clean!Q26-RU_Clean!Q25)/RU_Clean!Q25*100,"")</f>
        <v>0.259067357512951</v>
      </c>
      <c r="R26" s="12">
        <f>IF(AND(ISNUMBER(RU_Clean!R26),ISNUMBER(RU_Clean!R25)),(RU_Clean!R26-RU_Clean!R25)/RU_Clean!R25*100,"")</f>
        <v>0.565428109854607</v>
      </c>
      <c r="S26" s="12">
        <f>IF(AND(ISNUMBER(RU_Clean!S26),ISNUMBER(RU_Clean!S25)),(RU_Clean!S26-RU_Clean!S25)/RU_Clean!S25*100,"")</f>
        <v>-0.31796502384737</v>
      </c>
      <c r="T26" s="12">
        <f>IF(AND(ISNUMBER(RU_Clean!T26),ISNUMBER(RU_Clean!T25)),(RU_Clean!T26-RU_Clean!T25)/RU_Clean!T25*100,"")</f>
        <v>0.248344370860925</v>
      </c>
      <c r="U26" s="12">
        <f>IF(AND(ISNUMBER(RU_Clean!U26),ISNUMBER(RU_Clean!U25)),(RU_Clean!U26-RU_Clean!U25)/RU_Clean!U25*100,"")</f>
        <v>0.662800331400163</v>
      </c>
      <c r="V26" s="12">
        <f>IF(AND(ISNUMBER(RU_Clean!V26),ISNUMBER(RU_Clean!V25)),(RU_Clean!V26-RU_Clean!V25)/RU_Clean!V25*100,"")</f>
        <v>0.767918088737194</v>
      </c>
      <c r="W26" s="12">
        <f>IF(AND(ISNUMBER(RU_Clean!W26),ISNUMBER(RU_Clean!W25)),(RU_Clean!W26-RU_Clean!W25)/RU_Clean!W25*100,"")</f>
        <v>0.749375520399672</v>
      </c>
      <c r="X26" s="12">
        <f>IF(AND(ISNUMBER(RU_Clean!X26),ISNUMBER(RU_Clean!X25)),(RU_Clean!X26-RU_Clean!X25)/RU_Clean!X25*100,"")</f>
        <v>0.516795865633082</v>
      </c>
      <c r="Y26" s="12">
        <f>IF(AND(ISNUMBER(RU_Clean!Y26),ISNUMBER(RU_Clean!Y25)),(RU_Clean!Y26-RU_Clean!Y25)/RU_Clean!Y25*100,"")</f>
        <v>0.349956255468071</v>
      </c>
      <c r="Z26" s="12">
        <f>IF(AND(ISNUMBER(RU_Clean!Z26),ISNUMBER(RU_Clean!Z25)),(RU_Clean!Z26-RU_Clean!Z25)/RU_Clean!Z25*100,"")</f>
        <v>0.516795865633082</v>
      </c>
      <c r="AA26" s="12">
        <f>IF(AND(ISNUMBER(RU_Clean!AA26),ISNUMBER(RU_Clean!AA25)),(RU_Clean!AA26-RU_Clean!AA25)/RU_Clean!AA25*100,"")</f>
        <v>0.527704485488122</v>
      </c>
      <c r="AB26" s="12">
        <f>IF(AND(ISNUMBER(RU_Clean!AB26),ISNUMBER(RU_Clean!AB25)),(RU_Clean!AB26-RU_Clean!AB25)/RU_Clean!AB25*100,"")</f>
        <v>-0.178571428571431</v>
      </c>
      <c r="AC26" s="12">
        <f>IF(AND(ISNUMBER(RU_Clean!AC26),ISNUMBER(RU_Clean!AC25)),(RU_Clean!AC26-RU_Clean!AC25)/RU_Clean!AC25*100,"")</f>
        <v>0.176834659593283</v>
      </c>
      <c r="AD26" s="12">
        <f>IF(AND(ISNUMBER(RU_Clean!AD26),ISNUMBER(RU_Clean!AD25)),(RU_Clean!AD26-RU_Clean!AD25)/RU_Clean!AD25*100,"")</f>
        <v>0.168634064080947</v>
      </c>
      <c r="AE26" s="12">
        <f>IF(AND(ISNUMBER(RU_Clean!AE26),ISNUMBER(RU_Clean!AE25)),(RU_Clean!AE26-RU_Clean!AE25)/RU_Clean!AE25*100,"")</f>
        <v>0.0913242009132368</v>
      </c>
      <c r="AF26" s="12">
        <f>IF(AND(ISNUMBER(RU_Clean!AF26),ISNUMBER(RU_Clean!AF25)),(RU_Clean!AF26-RU_Clean!AF25)/RU_Clean!AF25*100,"")</f>
        <v>0.175901495162711</v>
      </c>
      <c r="AG26" s="12">
        <f>IF(AND(ISNUMBER(RU_Clean!AG26),ISNUMBER(RU_Clean!AG25)),(RU_Clean!AG26-RU_Clean!AG25)/RU_Clean!AG25*100,"")</f>
        <v>0</v>
      </c>
      <c r="AH26" s="12">
        <f>IF(AND(ISNUMBER(RU_Clean!AH26),ISNUMBER(RU_Clean!AH25)),(RU_Clean!AH26-RU_Clean!AH25)/RU_Clean!AH25*100,"")</f>
        <v>-0.205437238923493</v>
      </c>
    </row>
    <row r="27" spans="1:34">
      <c r="A27" s="6">
        <f>RU_Clean!A27</f>
        <v>2014</v>
      </c>
      <c r="B27" s="6">
        <f>RU_Clean!B27</f>
        <v>11</v>
      </c>
      <c r="C27" s="6" t="str">
        <f>RU_Clean!C27</f>
        <v>November</v>
      </c>
      <c r="D27" s="9">
        <f>RU_Clean!D27</f>
        <v>41944</v>
      </c>
      <c r="E27" s="6"/>
      <c r="F27" s="6"/>
      <c r="G27" s="12">
        <f>IF(AND(ISNUMBER(RU_Clean!G27),ISNUMBER(RU_Clean!G26)),(RU_Clean!G27-RU_Clean!G26)/RU_Clean!G26*100,"")</f>
        <v>0.0811688311688266</v>
      </c>
      <c r="H27" s="12">
        <f>IF(AND(ISNUMBER(RU_Clean!H27),ISNUMBER(RU_Clean!H26)),(RU_Clean!H27-RU_Clean!H26)/RU_Clean!H26*100,"")</f>
        <v>-0.0807754442649389</v>
      </c>
      <c r="I27" s="12">
        <f>IF(AND(ISNUMBER(RU_Clean!I27),ISNUMBER(RU_Clean!I26)),(RU_Clean!I27-RU_Clean!I26)/RU_Clean!I26*100,"")</f>
        <v>2.45554614733277</v>
      </c>
      <c r="J27" s="12">
        <f>IF(AND(ISNUMBER(RU_Clean!J27),ISNUMBER(RU_Clean!J26)),(RU_Clean!J27-RU_Clean!J26)/RU_Clean!J26*100,"")</f>
        <v>0.811688311688312</v>
      </c>
      <c r="K27" s="12">
        <f>IF(AND(ISNUMBER(RU_Clean!K27),ISNUMBER(RU_Clean!K26)),(RU_Clean!K27-RU_Clean!K26)/RU_Clean!K26*100,"")</f>
        <v>-0.0926784059314259</v>
      </c>
      <c r="L27" s="12">
        <f>IF(AND(ISNUMBER(RU_Clean!L27),ISNUMBER(RU_Clean!L26)),(RU_Clean!L27-RU_Clean!L26)/RU_Clean!L26*100,"")</f>
        <v>-0.553797468354433</v>
      </c>
      <c r="M27" s="12">
        <f>IF(AND(ISNUMBER(RU_Clean!M27),ISNUMBER(RU_Clean!M26)),(RU_Clean!M27-RU_Clean!M26)/RU_Clean!M26*100,"")</f>
        <v>-2.8061224489796</v>
      </c>
      <c r="N27" s="12">
        <f>IF(AND(ISNUMBER(RU_Clean!N27),ISNUMBER(RU_Clean!N26)),(RU_Clean!N27-RU_Clean!N26)/RU_Clean!N26*100,"")</f>
        <v>0.947459086993978</v>
      </c>
      <c r="O27" s="12">
        <f>IF(AND(ISNUMBER(RU_Clean!O27),ISNUMBER(RU_Clean!O26)),(RU_Clean!O27-RU_Clean!O26)/RU_Clean!O26*100,"")</f>
        <v>-0.969932104752667</v>
      </c>
      <c r="P27" s="12">
        <f>IF(AND(ISNUMBER(RU_Clean!P27),ISNUMBER(RU_Clean!P26)),(RU_Clean!P27-RU_Clean!P26)/RU_Clean!P26*100,"")</f>
        <v>0.508044030482649</v>
      </c>
      <c r="Q27" s="12">
        <f>IF(AND(ISNUMBER(RU_Clean!Q27),ISNUMBER(RU_Clean!Q26)),(RU_Clean!Q27-RU_Clean!Q26)/RU_Clean!Q26*100,"")</f>
        <v>0.258397932816547</v>
      </c>
      <c r="R27" s="12">
        <f>IF(AND(ISNUMBER(RU_Clean!R27),ISNUMBER(RU_Clean!R26)),(RU_Clean!R27-RU_Clean!R26)/RU_Clean!R26*100,"")</f>
        <v>0.88353413654618</v>
      </c>
      <c r="S27" s="12">
        <f>IF(AND(ISNUMBER(RU_Clean!S27),ISNUMBER(RU_Clean!S26)),(RU_Clean!S27-RU_Clean!S26)/RU_Clean!S26*100,"")</f>
        <v>-0.239234449760775</v>
      </c>
      <c r="T27" s="12">
        <f>IF(AND(ISNUMBER(RU_Clean!T27),ISNUMBER(RU_Clean!T26)),(RU_Clean!T27-RU_Clean!T26)/RU_Clean!T26*100,"")</f>
        <v>0.825763831544178</v>
      </c>
      <c r="U27" s="12">
        <f>IF(AND(ISNUMBER(RU_Clean!U27),ISNUMBER(RU_Clean!U26)),(RU_Clean!U27-RU_Clean!U26)/RU_Clean!U26*100,"")</f>
        <v>0.493827160493822</v>
      </c>
      <c r="V27" s="12">
        <f>IF(AND(ISNUMBER(RU_Clean!V27),ISNUMBER(RU_Clean!V26)),(RU_Clean!V27-RU_Clean!V26)/RU_Clean!V26*100,"")</f>
        <v>0.254022015241331</v>
      </c>
      <c r="W27" s="12">
        <f>IF(AND(ISNUMBER(RU_Clean!W27),ISNUMBER(RU_Clean!W26)),(RU_Clean!W27-RU_Clean!W26)/RU_Clean!W26*100,"")</f>
        <v>0.495867768595037</v>
      </c>
      <c r="X27" s="12">
        <f>IF(AND(ISNUMBER(RU_Clean!X27),ISNUMBER(RU_Clean!X26)),(RU_Clean!X27-RU_Clean!X26)/RU_Clean!X26*100,"")</f>
        <v>0.342759211653806</v>
      </c>
      <c r="Y27" s="12">
        <f>IF(AND(ISNUMBER(RU_Clean!Y27),ISNUMBER(RU_Clean!Y26)),(RU_Clean!Y27-RU_Clean!Y26)/RU_Clean!Y26*100,"")</f>
        <v>0.697471665213598</v>
      </c>
      <c r="Z27" s="12">
        <f>IF(AND(ISNUMBER(RU_Clean!Z27),ISNUMBER(RU_Clean!Z26)),(RU_Clean!Z27-RU_Clean!Z26)/RU_Clean!Z26*100,"")</f>
        <v>0.514138817480715</v>
      </c>
      <c r="AA27" s="12">
        <f>IF(AND(ISNUMBER(RU_Clean!AA27),ISNUMBER(RU_Clean!AA26)),(RU_Clean!AA27-RU_Clean!AA26)/RU_Clean!AA26*100,"")</f>
        <v>0.437445319335083</v>
      </c>
      <c r="AB27" s="12">
        <f>IF(AND(ISNUMBER(RU_Clean!AB27),ISNUMBER(RU_Clean!AB26)),(RU_Clean!AB27-RU_Clean!AB26)/RU_Clean!AB26*100,"")</f>
        <v>-0.894454382826476</v>
      </c>
      <c r="AC27" s="12">
        <f>IF(AND(ISNUMBER(RU_Clean!AC27),ISNUMBER(RU_Clean!AC26)),(RU_Clean!AC27-RU_Clean!AC26)/RU_Clean!AC26*100,"")</f>
        <v>0.353045013239193</v>
      </c>
      <c r="AD27" s="12">
        <f>IF(AND(ISNUMBER(RU_Clean!AD27),ISNUMBER(RU_Clean!AD26)),(RU_Clean!AD27-RU_Clean!AD26)/RU_Clean!AD26*100,"")</f>
        <v>0.168350168350171</v>
      </c>
      <c r="AE27" s="12">
        <f>IF(AND(ISNUMBER(RU_Clean!AE27),ISNUMBER(RU_Clean!AE26)),(RU_Clean!AE27-RU_Clean!AE26)/RU_Clean!AE26*100,"")</f>
        <v>-0.456204379562044</v>
      </c>
      <c r="AF27" s="12">
        <f>IF(AND(ISNUMBER(RU_Clean!AF27),ISNUMBER(RU_Clean!AF26)),(RU_Clean!AF27-RU_Clean!AF26)/RU_Clean!AF26*100,"")</f>
        <v>-0.0877963125548802</v>
      </c>
      <c r="AG27" s="12">
        <f>IF(AND(ISNUMBER(RU_Clean!AG27),ISNUMBER(RU_Clean!AG26)),(RU_Clean!AG27-RU_Clean!AG26)/RU_Clean!AG26*100,"")</f>
        <v>0</v>
      </c>
      <c r="AH27" s="12">
        <f>IF(AND(ISNUMBER(RU_Clean!AH27),ISNUMBER(RU_Clean!AH26)),(RU_Clean!AH27-RU_Clean!AH26)/RU_Clean!AH26*100,"")</f>
        <v>0.0548960406230826</v>
      </c>
    </row>
    <row r="28" spans="1:34">
      <c r="A28" s="6">
        <f>RU_Clean!A28</f>
        <v>2014</v>
      </c>
      <c r="B28" s="6">
        <f>RU_Clean!B28</f>
        <v>12</v>
      </c>
      <c r="C28" s="6" t="str">
        <f>RU_Clean!C28</f>
        <v>December</v>
      </c>
      <c r="D28" s="9">
        <f>RU_Clean!D28</f>
        <v>41974</v>
      </c>
      <c r="E28" s="6"/>
      <c r="F28" s="6"/>
      <c r="G28" s="12">
        <f>IF(AND(ISNUMBER(RU_Clean!G28),ISNUMBER(RU_Clean!G27)),(RU_Clean!G28-RU_Clean!G27)/RU_Clean!G27*100,"")</f>
        <v>-0.324412003244113</v>
      </c>
      <c r="H28" s="12">
        <f>IF(AND(ISNUMBER(RU_Clean!H28),ISNUMBER(RU_Clean!H27)),(RU_Clean!H28-RU_Clean!H27)/RU_Clean!H27*100,"")</f>
        <v>-0.404203718674212</v>
      </c>
      <c r="I28" s="12">
        <f>IF(AND(ISNUMBER(RU_Clean!I28),ISNUMBER(RU_Clean!I27)),(RU_Clean!I28-RU_Clean!I27)/RU_Clean!I27*100,"")</f>
        <v>2.06611570247934</v>
      </c>
      <c r="J28" s="12">
        <f>IF(AND(ISNUMBER(RU_Clean!J28),ISNUMBER(RU_Clean!J27)),(RU_Clean!J28-RU_Clean!J27)/RU_Clean!J27*100,"")</f>
        <v>0.241545893719804</v>
      </c>
      <c r="K28" s="12">
        <f>IF(AND(ISNUMBER(RU_Clean!K28),ISNUMBER(RU_Clean!K27)),(RU_Clean!K28-RU_Clean!K27)/RU_Clean!K27*100,"")</f>
        <v>-0.185528756957331</v>
      </c>
      <c r="L28" s="12">
        <f>IF(AND(ISNUMBER(RU_Clean!L28),ISNUMBER(RU_Clean!L27)),(RU_Clean!L28-RU_Clean!L27)/RU_Clean!L27*100,"")</f>
        <v>0</v>
      </c>
      <c r="M28" s="12">
        <f>IF(AND(ISNUMBER(RU_Clean!M28),ISNUMBER(RU_Clean!M27)),(RU_Clean!M28-RU_Clean!M27)/RU_Clean!M27*100,"")</f>
        <v>-7.80839895013124</v>
      </c>
      <c r="N28" s="12">
        <f>IF(AND(ISNUMBER(RU_Clean!N28),ISNUMBER(RU_Clean!N27)),(RU_Clean!N28-RU_Clean!N27)/RU_Clean!N27*100,"")</f>
        <v>0.341296928327638</v>
      </c>
      <c r="O28" s="12">
        <f>IF(AND(ISNUMBER(RU_Clean!O28),ISNUMBER(RU_Clean!O27)),(RU_Clean!O28-RU_Clean!O27)/RU_Clean!O27*100,"")</f>
        <v>-1.46914789422135</v>
      </c>
      <c r="P28" s="12">
        <f>IF(AND(ISNUMBER(RU_Clean!P28),ISNUMBER(RU_Clean!P27)),(RU_Clean!P28-RU_Clean!P27)/RU_Clean!P27*100,"")</f>
        <v>0.336983993260313</v>
      </c>
      <c r="Q28" s="12">
        <f>IF(AND(ISNUMBER(RU_Clean!Q28),ISNUMBER(RU_Clean!Q27)),(RU_Clean!Q28-RU_Clean!Q27)/RU_Clean!Q27*100,"")</f>
        <v>0.343642611683841</v>
      </c>
      <c r="R28" s="12">
        <f>IF(AND(ISNUMBER(RU_Clean!R28),ISNUMBER(RU_Clean!R27)),(RU_Clean!R28-RU_Clean!R27)/RU_Clean!R27*100,"")</f>
        <v>0.398089171974522</v>
      </c>
      <c r="S28" s="12">
        <f>IF(AND(ISNUMBER(RU_Clean!S28),ISNUMBER(RU_Clean!S27)),(RU_Clean!S28-RU_Clean!S27)/RU_Clean!S27*100,"")</f>
        <v>-1.19904076738609</v>
      </c>
      <c r="T28" s="12">
        <f>IF(AND(ISNUMBER(RU_Clean!T28),ISNUMBER(RU_Clean!T27)),(RU_Clean!T28-RU_Clean!T27)/RU_Clean!T27*100,"")</f>
        <v>0.737100737100742</v>
      </c>
      <c r="U28" s="12">
        <f>IF(AND(ISNUMBER(RU_Clean!U28),ISNUMBER(RU_Clean!U27)),(RU_Clean!U28-RU_Clean!U27)/RU_Clean!U27*100,"")</f>
        <v>0.40950040950041</v>
      </c>
      <c r="V28" s="12">
        <f>IF(AND(ISNUMBER(RU_Clean!V28),ISNUMBER(RU_Clean!V27)),(RU_Clean!V28-RU_Clean!V27)/RU_Clean!V27*100,"")</f>
        <v>0.168918918918909</v>
      </c>
      <c r="W28" s="12">
        <f>IF(AND(ISNUMBER(RU_Clean!W28),ISNUMBER(RU_Clean!W27)),(RU_Clean!W28-RU_Clean!W27)/RU_Clean!W27*100,"")</f>
        <v>0.328947368421057</v>
      </c>
      <c r="X28" s="12">
        <f>IF(AND(ISNUMBER(RU_Clean!X28),ISNUMBER(RU_Clean!X27)),(RU_Clean!X28-RU_Clean!X27)/RU_Clean!X27*100,"")</f>
        <v>-0.512382578992309</v>
      </c>
      <c r="Y28" s="12">
        <f>IF(AND(ISNUMBER(RU_Clean!Y28),ISNUMBER(RU_Clean!Y27)),(RU_Clean!Y28-RU_Clean!Y27)/RU_Clean!Y27*100,"")</f>
        <v>0.173160173160176</v>
      </c>
      <c r="Z28" s="12">
        <f>IF(AND(ISNUMBER(RU_Clean!Z28),ISNUMBER(RU_Clean!Z27)),(RU_Clean!Z28-RU_Clean!Z27)/RU_Clean!Z27*100,"")</f>
        <v>0.170502983802219</v>
      </c>
      <c r="AA28" s="12">
        <f>IF(AND(ISNUMBER(RU_Clean!AA28),ISNUMBER(RU_Clean!AA27)),(RU_Clean!AA28-RU_Clean!AA27)/RU_Clean!AA27*100,"")</f>
        <v>0.261324041811844</v>
      </c>
      <c r="AB28" s="12">
        <f>IF(AND(ISNUMBER(RU_Clean!AB28),ISNUMBER(RU_Clean!AB27)),(RU_Clean!AB28-RU_Clean!AB27)/RU_Clean!AB27*100,"")</f>
        <v>-0.631768953068595</v>
      </c>
      <c r="AC28" s="12">
        <f>IF(AND(ISNUMBER(RU_Clean!AC28),ISNUMBER(RU_Clean!AC27)),(RU_Clean!AC28-RU_Clean!AC27)/RU_Clean!AC27*100,"")</f>
        <v>0.175901495162711</v>
      </c>
      <c r="AD28" s="12">
        <f>IF(AND(ISNUMBER(RU_Clean!AD28),ISNUMBER(RU_Clean!AD27)),(RU_Clean!AD28-RU_Clean!AD27)/RU_Clean!AD27*100,"")</f>
        <v>0.420168067226891</v>
      </c>
      <c r="AE28" s="12">
        <f>IF(AND(ISNUMBER(RU_Clean!AE28),ISNUMBER(RU_Clean!AE27)),(RU_Clean!AE28-RU_Clean!AE27)/RU_Clean!AE27*100,"")</f>
        <v>0.641613198900094</v>
      </c>
      <c r="AF28" s="12">
        <f>IF(AND(ISNUMBER(RU_Clean!AF28),ISNUMBER(RU_Clean!AF27)),(RU_Clean!AF28-RU_Clean!AF27)/RU_Clean!AF27*100,"")</f>
        <v>0</v>
      </c>
      <c r="AG28" s="12">
        <f>IF(AND(ISNUMBER(RU_Clean!AG28),ISNUMBER(RU_Clean!AG27)),(RU_Clean!AG28-RU_Clean!AG27)/RU_Clean!AG27*100,"")</f>
        <v>-0.582847626977509</v>
      </c>
      <c r="AH28" s="12">
        <f>IF(AND(ISNUMBER(RU_Clean!AH28),ISNUMBER(RU_Clean!AH27)),(RU_Clean!AH28-RU_Clean!AH27)/RU_Clean!AH27*100,"")</f>
        <v>-0.68582401755711</v>
      </c>
    </row>
    <row r="29" spans="1:34">
      <c r="A29" s="6">
        <f>RU_Clean!A29</f>
        <v>2015</v>
      </c>
      <c r="B29" s="6">
        <f>RU_Clean!B29</f>
        <v>1</v>
      </c>
      <c r="C29" s="6" t="str">
        <f>RU_Clean!C29</f>
        <v>January</v>
      </c>
      <c r="D29" s="9">
        <f>RU_Clean!D29</f>
        <v>42005</v>
      </c>
      <c r="E29" s="6"/>
      <c r="F29" s="6"/>
      <c r="G29" s="12">
        <f>IF(AND(ISNUMBER(RU_Clean!G29),ISNUMBER(RU_Clean!G28)),(RU_Clean!G29-RU_Clean!G28)/RU_Clean!G28*100,"")</f>
        <v>0.406834825061025</v>
      </c>
      <c r="H29" s="12">
        <f>IF(AND(ISNUMBER(RU_Clean!H29),ISNUMBER(RU_Clean!H28)),(RU_Clean!H29-RU_Clean!H28)/RU_Clean!H28*100,"")</f>
        <v>0.56818181818182</v>
      </c>
      <c r="I29" s="12">
        <f>IF(AND(ISNUMBER(RU_Clean!I29),ISNUMBER(RU_Clean!I28)),(RU_Clean!I29-RU_Clean!I28)/RU_Clean!I28*100,"")</f>
        <v>0.242914979757083</v>
      </c>
      <c r="J29" s="12">
        <f>IF(AND(ISNUMBER(RU_Clean!J29),ISNUMBER(RU_Clean!J28)),(RU_Clean!J29-RU_Clean!J28)/RU_Clean!J28*100,"")</f>
        <v>0.401606425702811</v>
      </c>
      <c r="K29" s="12">
        <f>IF(AND(ISNUMBER(RU_Clean!K29),ISNUMBER(RU_Clean!K28)),(RU_Clean!K29-RU_Clean!K28)/RU_Clean!K28*100,"")</f>
        <v>0.836431226765805</v>
      </c>
      <c r="L29" s="12">
        <f>IF(AND(ISNUMBER(RU_Clean!L29),ISNUMBER(RU_Clean!L28)),(RU_Clean!L29-RU_Clean!L28)/RU_Clean!L28*100,"")</f>
        <v>0.397772474144789</v>
      </c>
      <c r="M29" s="12">
        <f>IF(AND(ISNUMBER(RU_Clean!M29),ISNUMBER(RU_Clean!M28)),(RU_Clean!M29-RU_Clean!M28)/RU_Clean!M28*100,"")</f>
        <v>-5.33807829181495</v>
      </c>
      <c r="N29" s="12">
        <f>IF(AND(ISNUMBER(RU_Clean!N29),ISNUMBER(RU_Clean!N28)),(RU_Clean!N29-RU_Clean!N28)/RU_Clean!N28*100,"")</f>
        <v>1.27551020408163</v>
      </c>
      <c r="O29" s="12">
        <f>IF(AND(ISNUMBER(RU_Clean!O29),ISNUMBER(RU_Clean!O28)),(RU_Clean!O29-RU_Clean!O28)/RU_Clean!O28*100,"")</f>
        <v>-1.59045725646123</v>
      </c>
      <c r="P29" s="12">
        <f>IF(AND(ISNUMBER(RU_Clean!P29),ISNUMBER(RU_Clean!P28)),(RU_Clean!P29-RU_Clean!P28)/RU_Clean!P28*100,"")</f>
        <v>1.00755667506297</v>
      </c>
      <c r="Q29" s="12">
        <f>IF(AND(ISNUMBER(RU_Clean!Q29),ISNUMBER(RU_Clean!Q28)),(RU_Clean!Q29-RU_Clean!Q28)/RU_Clean!Q28*100,"")</f>
        <v>0.428082191780822</v>
      </c>
      <c r="R29" s="12">
        <f>IF(AND(ISNUMBER(RU_Clean!R29),ISNUMBER(RU_Clean!R28)),(RU_Clean!R29-RU_Clean!R28)/RU_Clean!R28*100,"")</f>
        <v>0.475812846946874</v>
      </c>
      <c r="S29" s="12">
        <f>IF(AND(ISNUMBER(RU_Clean!S29),ISNUMBER(RU_Clean!S28)),(RU_Clean!S29-RU_Clean!S28)/RU_Clean!S28*100,"")</f>
        <v>-0.40453074433657</v>
      </c>
      <c r="T29" s="12">
        <f>IF(AND(ISNUMBER(RU_Clean!T29),ISNUMBER(RU_Clean!T28)),(RU_Clean!T29-RU_Clean!T28)/RU_Clean!T28*100,"")</f>
        <v>0.813008130081301</v>
      </c>
      <c r="U29" s="12">
        <f>IF(AND(ISNUMBER(RU_Clean!U29),ISNUMBER(RU_Clean!U28)),(RU_Clean!U29-RU_Clean!U28)/RU_Clean!U28*100,"")</f>
        <v>0.407830342577488</v>
      </c>
      <c r="V29" s="12">
        <f>IF(AND(ISNUMBER(RU_Clean!V29),ISNUMBER(RU_Clean!V28)),(RU_Clean!V29-RU_Clean!V28)/RU_Clean!V28*100,"")</f>
        <v>0.590219224283308</v>
      </c>
      <c r="W29" s="12">
        <f>IF(AND(ISNUMBER(RU_Clean!W29),ISNUMBER(RU_Clean!W28)),(RU_Clean!W29-RU_Clean!W28)/RU_Clean!W28*100,"")</f>
        <v>0.409836065573771</v>
      </c>
      <c r="X29" s="12">
        <f>IF(AND(ISNUMBER(RU_Clean!X29),ISNUMBER(RU_Clean!X28)),(RU_Clean!X29-RU_Clean!X28)/RU_Clean!X28*100,"")</f>
        <v>0.686695278969955</v>
      </c>
      <c r="Y29" s="12">
        <f>IF(AND(ISNUMBER(RU_Clean!Y29),ISNUMBER(RU_Clean!Y28)),(RU_Clean!Y29-RU_Clean!Y28)/RU_Clean!Y28*100,"")</f>
        <v>0.691443388072599</v>
      </c>
      <c r="Z29" s="12">
        <f>IF(AND(ISNUMBER(RU_Clean!Z29),ISNUMBER(RU_Clean!Z28)),(RU_Clean!Z29-RU_Clean!Z28)/RU_Clean!Z28*100,"")</f>
        <v>0.510638297872336</v>
      </c>
      <c r="AA29" s="12">
        <f>IF(AND(ISNUMBER(RU_Clean!AA29),ISNUMBER(RU_Clean!AA28)),(RU_Clean!AA29-RU_Clean!AA28)/RU_Clean!AA28*100,"")</f>
        <v>0.347523892267598</v>
      </c>
      <c r="AB29" s="12">
        <f>IF(AND(ISNUMBER(RU_Clean!AB29),ISNUMBER(RU_Clean!AB28)),(RU_Clean!AB29-RU_Clean!AB28)/RU_Clean!AB28*100,"")</f>
        <v>-0.635785649409617</v>
      </c>
      <c r="AC29" s="12">
        <f>IF(AND(ISNUMBER(RU_Clean!AC29),ISNUMBER(RU_Clean!AC28)),(RU_Clean!AC29-RU_Clean!AC28)/RU_Clean!AC28*100,"")</f>
        <v>0.351185250219483</v>
      </c>
      <c r="AD29" s="12">
        <f>IF(AND(ISNUMBER(RU_Clean!AD29),ISNUMBER(RU_Clean!AD28)),(RU_Clean!AD29-RU_Clean!AD28)/RU_Clean!AD28*100,"")</f>
        <v>0.167364016736404</v>
      </c>
      <c r="AE29" s="12">
        <f>IF(AND(ISNUMBER(RU_Clean!AE29),ISNUMBER(RU_Clean!AE28)),(RU_Clean!AE29-RU_Clean!AE28)/RU_Clean!AE28*100,"")</f>
        <v>0.819672131147546</v>
      </c>
      <c r="AF29" s="12">
        <f>IF(AND(ISNUMBER(RU_Clean!AF29),ISNUMBER(RU_Clean!AF28)),(RU_Clean!AF29-RU_Clean!AF28)/RU_Clean!AF28*100,"")</f>
        <v>0.175746924428825</v>
      </c>
      <c r="AG29" s="12">
        <f>IF(AND(ISNUMBER(RU_Clean!AG29),ISNUMBER(RU_Clean!AG28)),(RU_Clean!AG29-RU_Clean!AG28)/RU_Clean!AG28*100,"")</f>
        <v>0.0837520938023403</v>
      </c>
      <c r="AH29" s="12">
        <f>IF(AND(ISNUMBER(RU_Clean!AH29),ISNUMBER(RU_Clean!AH28)),(RU_Clean!AH29-RU_Clean!AH28)/RU_Clean!AH28*100,"")</f>
        <v>-0.131206408397201</v>
      </c>
    </row>
    <row r="30" spans="1:34">
      <c r="A30" s="6">
        <f>RU_Clean!A30</f>
        <v>2015</v>
      </c>
      <c r="B30" s="6">
        <f>RU_Clean!B30</f>
        <v>2</v>
      </c>
      <c r="C30" s="6" t="str">
        <f>RU_Clean!C30</f>
        <v>February</v>
      </c>
      <c r="D30" s="9">
        <f>RU_Clean!D30</f>
        <v>42036</v>
      </c>
      <c r="E30" s="6"/>
      <c r="F30" s="6"/>
      <c r="G30" s="12">
        <f>IF(AND(ISNUMBER(RU_Clean!G30),ISNUMBER(RU_Clean!G29)),(RU_Clean!G30-RU_Clean!G29)/RU_Clean!G29*100,"")</f>
        <v>0.243111831442461</v>
      </c>
      <c r="H30" s="12">
        <f>IF(AND(ISNUMBER(RU_Clean!H30),ISNUMBER(RU_Clean!H29)),(RU_Clean!H30-RU_Clean!H29)/RU_Clean!H29*100,"")</f>
        <v>0.968523002421298</v>
      </c>
      <c r="I30" s="12">
        <f>IF(AND(ISNUMBER(RU_Clean!I30),ISNUMBER(RU_Clean!I29)),(RU_Clean!I30-RU_Clean!I29)/RU_Clean!I29*100,"")</f>
        <v>-2.18093699515348</v>
      </c>
      <c r="J30" s="12">
        <f>IF(AND(ISNUMBER(RU_Clean!J30),ISNUMBER(RU_Clean!J29)),(RU_Clean!J30-RU_Clean!J29)/RU_Clean!J29*100,"")</f>
        <v>0.560000000000002</v>
      </c>
      <c r="K30" s="12">
        <f>IF(AND(ISNUMBER(RU_Clean!K30),ISNUMBER(RU_Clean!K29)),(RU_Clean!K30-RU_Clean!K29)/RU_Clean!K29*100,"")</f>
        <v>0.552995391705064</v>
      </c>
      <c r="L30" s="12">
        <f>IF(AND(ISNUMBER(RU_Clean!L30),ISNUMBER(RU_Clean!L29)),(RU_Clean!L30-RU_Clean!L29)/RU_Clean!L29*100,"")</f>
        <v>-0.31695721077655</v>
      </c>
      <c r="M30" s="12">
        <f>IF(AND(ISNUMBER(RU_Clean!M30),ISNUMBER(RU_Clean!M29)),(RU_Clean!M30-RU_Clean!M29)/RU_Clean!M29*100,"")</f>
        <v>-2.70676691729323</v>
      </c>
      <c r="N30" s="12">
        <f>IF(AND(ISNUMBER(RU_Clean!N30),ISNUMBER(RU_Clean!N29)),(RU_Clean!N30-RU_Clean!N29)/RU_Clean!N29*100,"")</f>
        <v>1.51133501259447</v>
      </c>
      <c r="O30" s="12">
        <f>IF(AND(ISNUMBER(RU_Clean!O30),ISNUMBER(RU_Clean!O29)),(RU_Clean!O30-RU_Clean!O29)/RU_Clean!O29*100,"")</f>
        <v>-0.70707070707071</v>
      </c>
      <c r="P30" s="12">
        <f>IF(AND(ISNUMBER(RU_Clean!P30),ISNUMBER(RU_Clean!P29)),(RU_Clean!P30-RU_Clean!P29)/RU_Clean!P29*100,"")</f>
        <v>1.08063175394846</v>
      </c>
      <c r="Q30" s="12">
        <f>IF(AND(ISNUMBER(RU_Clean!Q30),ISNUMBER(RU_Clean!Q29)),(RU_Clean!Q30-RU_Clean!Q29)/RU_Clean!Q29*100,"")</f>
        <v>0.59676044330776</v>
      </c>
      <c r="R30" s="12">
        <f>IF(AND(ISNUMBER(RU_Clean!R30),ISNUMBER(RU_Clean!R29)),(RU_Clean!R30-RU_Clean!R29)/RU_Clean!R29*100,"")</f>
        <v>0.710339384372527</v>
      </c>
      <c r="S30" s="12">
        <f>IF(AND(ISNUMBER(RU_Clean!S30),ISNUMBER(RU_Clean!S29)),(RU_Clean!S30-RU_Clean!S29)/RU_Clean!S29*100,"")</f>
        <v>0</v>
      </c>
      <c r="T30" s="12">
        <f>IF(AND(ISNUMBER(RU_Clean!T30),ISNUMBER(RU_Clean!T29)),(RU_Clean!T30-RU_Clean!T29)/RU_Clean!T29*100,"")</f>
        <v>0.967741935483873</v>
      </c>
      <c r="U30" s="12">
        <f>IF(AND(ISNUMBER(RU_Clean!U30),ISNUMBER(RU_Clean!U29)),(RU_Clean!U30-RU_Clean!U29)/RU_Clean!U29*100,"")</f>
        <v>0.568643379366371</v>
      </c>
      <c r="V30" s="12">
        <f>IF(AND(ISNUMBER(RU_Clean!V30),ISNUMBER(RU_Clean!V29)),(RU_Clean!V30-RU_Clean!V29)/RU_Clean!V29*100,"")</f>
        <v>0.670578373847441</v>
      </c>
      <c r="W30" s="12">
        <f>IF(AND(ISNUMBER(RU_Clean!W30),ISNUMBER(RU_Clean!W29)),(RU_Clean!W30-RU_Clean!W29)/RU_Clean!W29*100,"")</f>
        <v>0.653061224489794</v>
      </c>
      <c r="X30" s="12">
        <f>IF(AND(ISNUMBER(RU_Clean!X30),ISNUMBER(RU_Clean!X29)),(RU_Clean!X30-RU_Clean!X29)/RU_Clean!X29*100,"")</f>
        <v>0.682011935208864</v>
      </c>
      <c r="Y30" s="12">
        <f>IF(AND(ISNUMBER(RU_Clean!Y30),ISNUMBER(RU_Clean!Y29)),(RU_Clean!Y30-RU_Clean!Y29)/RU_Clean!Y29*100,"")</f>
        <v>1.03004291845494</v>
      </c>
      <c r="Z30" s="12">
        <f>IF(AND(ISNUMBER(RU_Clean!Z30),ISNUMBER(RU_Clean!Z29)),(RU_Clean!Z30-RU_Clean!Z29)/RU_Clean!Z29*100,"")</f>
        <v>0.508044030482649</v>
      </c>
      <c r="AA30" s="12">
        <f>IF(AND(ISNUMBER(RU_Clean!AA30),ISNUMBER(RU_Clean!AA29)),(RU_Clean!AA30-RU_Clean!AA29)/RU_Clean!AA29*100,"")</f>
        <v>0.69264069264069</v>
      </c>
      <c r="AB30" s="12">
        <f>IF(AND(ISNUMBER(RU_Clean!AB30),ISNUMBER(RU_Clean!AB29)),(RU_Clean!AB30-RU_Clean!AB29)/RU_Clean!AB29*100,"")</f>
        <v>-0.639853747714811</v>
      </c>
      <c r="AC30" s="12">
        <f>IF(AND(ISNUMBER(RU_Clean!AC30),ISNUMBER(RU_Clean!AC29)),(RU_Clean!AC30-RU_Clean!AC29)/RU_Clean!AC29*100,"")</f>
        <v>0.524934383202107</v>
      </c>
      <c r="AD30" s="12">
        <f>IF(AND(ISNUMBER(RU_Clean!AD30),ISNUMBER(RU_Clean!AD29)),(RU_Clean!AD30-RU_Clean!AD29)/RU_Clean!AD29*100,"")</f>
        <v>0</v>
      </c>
      <c r="AE30" s="12">
        <f>IF(AND(ISNUMBER(RU_Clean!AE30),ISNUMBER(RU_Clean!AE29)),(RU_Clean!AE30-RU_Clean!AE29)/RU_Clean!AE29*100,"")</f>
        <v>0.4516711833785</v>
      </c>
      <c r="AF30" s="12">
        <f>IF(AND(ISNUMBER(RU_Clean!AF30),ISNUMBER(RU_Clean!AF29)),(RU_Clean!AF30-RU_Clean!AF29)/RU_Clean!AF29*100,"")</f>
        <v>0.087719298245609</v>
      </c>
      <c r="AG30" s="12">
        <f>IF(AND(ISNUMBER(RU_Clean!AG30),ISNUMBER(RU_Clean!AG29)),(RU_Clean!AG30-RU_Clean!AG29)/RU_Clean!AG29*100,"")</f>
        <v>0.167364016736404</v>
      </c>
      <c r="AH30" s="12">
        <f>IF(AND(ISNUMBER(RU_Clean!AH30),ISNUMBER(RU_Clean!AH29)),(RU_Clean!AH30-RU_Clean!AH29)/RU_Clean!AH29*100,"")</f>
        <v>0.00691467293594812</v>
      </c>
    </row>
    <row r="31" spans="1:34">
      <c r="A31" s="6">
        <f>RU_Clean!A31</f>
        <v>2015</v>
      </c>
      <c r="B31" s="6">
        <f>RU_Clean!B31</f>
        <v>3</v>
      </c>
      <c r="C31" s="6" t="str">
        <f>RU_Clean!C31</f>
        <v>March</v>
      </c>
      <c r="D31" s="9">
        <f>RU_Clean!D31</f>
        <v>42064</v>
      </c>
      <c r="E31" s="6"/>
      <c r="F31" s="6"/>
      <c r="G31" s="12">
        <f>IF(AND(ISNUMBER(RU_Clean!G31),ISNUMBER(RU_Clean!G30)),(RU_Clean!G31-RU_Clean!G30)/RU_Clean!G30*100,"")</f>
        <v>-0.161681487469687</v>
      </c>
      <c r="H31" s="12">
        <f>IF(AND(ISNUMBER(RU_Clean!H31),ISNUMBER(RU_Clean!H30)),(RU_Clean!H31-RU_Clean!H30)/RU_Clean!H30*100,"")</f>
        <v>0.239808153477227</v>
      </c>
      <c r="I31" s="12">
        <f>IF(AND(ISNUMBER(RU_Clean!I31),ISNUMBER(RU_Clean!I30)),(RU_Clean!I31-RU_Clean!I30)/RU_Clean!I30*100,"")</f>
        <v>-3.55078447563996</v>
      </c>
      <c r="J31" s="12">
        <f>IF(AND(ISNUMBER(RU_Clean!J31),ISNUMBER(RU_Clean!J30)),(RU_Clean!J31-RU_Clean!J30)/RU_Clean!J30*100,"")</f>
        <v>0.238663484486871</v>
      </c>
      <c r="K31" s="12">
        <f>IF(AND(ISNUMBER(RU_Clean!K31),ISNUMBER(RU_Clean!K30)),(RU_Clean!K31-RU_Clean!K30)/RU_Clean!K30*100,"")</f>
        <v>0.0916590284143066</v>
      </c>
      <c r="L31" s="12">
        <f>IF(AND(ISNUMBER(RU_Clean!L31),ISNUMBER(RU_Clean!L30)),(RU_Clean!L31-RU_Clean!L30)/RU_Clean!L30*100,"")</f>
        <v>1.43084260731319</v>
      </c>
      <c r="M31" s="12">
        <f>IF(AND(ISNUMBER(RU_Clean!M31),ISNUMBER(RU_Clean!M30)),(RU_Clean!M31-RU_Clean!M30)/RU_Clean!M30*100,"")</f>
        <v>-0.154559505409596</v>
      </c>
      <c r="N31" s="12">
        <f>IF(AND(ISNUMBER(RU_Clean!N31),ISNUMBER(RU_Clean!N30)),(RU_Clean!N31-RU_Clean!N30)/RU_Clean!N30*100,"")</f>
        <v>1.24069478908189</v>
      </c>
      <c r="O31" s="12">
        <f>IF(AND(ISNUMBER(RU_Clean!O31),ISNUMBER(RU_Clean!O30)),(RU_Clean!O31-RU_Clean!O30)/RU_Clean!O30*100,"")</f>
        <v>-1.32248219735503</v>
      </c>
      <c r="P31" s="12">
        <f>IF(AND(ISNUMBER(RU_Clean!P31),ISNUMBER(RU_Clean!P30)),(RU_Clean!P31-RU_Clean!P30)/RU_Clean!P30*100,"")</f>
        <v>0.411184210526316</v>
      </c>
      <c r="Q31" s="12">
        <f>IF(AND(ISNUMBER(RU_Clean!Q31),ISNUMBER(RU_Clean!Q30)),(RU_Clean!Q31-RU_Clean!Q30)/RU_Clean!Q30*100,"")</f>
        <v>0.0847457627118596</v>
      </c>
      <c r="R31" s="12">
        <f>IF(AND(ISNUMBER(RU_Clean!R31),ISNUMBER(RU_Clean!R30)),(RU_Clean!R31-RU_Clean!R30)/RU_Clean!R30*100,"")</f>
        <v>0.626959247648912</v>
      </c>
      <c r="S31" s="12">
        <f>IF(AND(ISNUMBER(RU_Clean!S31),ISNUMBER(RU_Clean!S30)),(RU_Clean!S31-RU_Clean!S30)/RU_Clean!S30*100,"")</f>
        <v>0.243704305442739</v>
      </c>
      <c r="T31" s="12">
        <f>IF(AND(ISNUMBER(RU_Clean!T31),ISNUMBER(RU_Clean!T30)),(RU_Clean!T31-RU_Clean!T30)/RU_Clean!T30*100,"")</f>
        <v>0.479233226837056</v>
      </c>
      <c r="U31" s="12">
        <f>IF(AND(ISNUMBER(RU_Clean!U31),ISNUMBER(RU_Clean!U30)),(RU_Clean!U31-RU_Clean!U30)/RU_Clean!U30*100,"")</f>
        <v>0.403877221324717</v>
      </c>
      <c r="V31" s="12">
        <f>IF(AND(ISNUMBER(RU_Clean!V31),ISNUMBER(RU_Clean!V30)),(RU_Clean!V31-RU_Clean!V30)/RU_Clean!V30*100,"")</f>
        <v>0.249791840133232</v>
      </c>
      <c r="W31" s="12">
        <f>IF(AND(ISNUMBER(RU_Clean!W31),ISNUMBER(RU_Clean!W30)),(RU_Clean!W31-RU_Clean!W30)/RU_Clean!W30*100,"")</f>
        <v>0.324412003244125</v>
      </c>
      <c r="X31" s="12">
        <f>IF(AND(ISNUMBER(RU_Clean!X31),ISNUMBER(RU_Clean!X30)),(RU_Clean!X31-RU_Clean!X30)/RU_Clean!X30*100,"")</f>
        <v>0.423370025402202</v>
      </c>
      <c r="Y31" s="12">
        <f>IF(AND(ISNUMBER(RU_Clean!Y31),ISNUMBER(RU_Clean!Y30)),(RU_Clean!Y31-RU_Clean!Y30)/RU_Clean!Y30*100,"")</f>
        <v>0.509770603228542</v>
      </c>
      <c r="Z31" s="12">
        <f>IF(AND(ISNUMBER(RU_Clean!Z31),ISNUMBER(RU_Clean!Z30)),(RU_Clean!Z31-RU_Clean!Z30)/RU_Clean!Z30*100,"")</f>
        <v>0.4212299915754</v>
      </c>
      <c r="AA31" s="12">
        <f>IF(AND(ISNUMBER(RU_Clean!AA31),ISNUMBER(RU_Clean!AA30)),(RU_Clean!AA31-RU_Clean!AA30)/RU_Clean!AA30*100,"")</f>
        <v>0.343938091143599</v>
      </c>
      <c r="AB31" s="12">
        <f>IF(AND(ISNUMBER(RU_Clean!AB31),ISNUMBER(RU_Clean!AB30)),(RU_Clean!AB31-RU_Clean!AB30)/RU_Clean!AB30*100,"")</f>
        <v>1.10395584176633</v>
      </c>
      <c r="AC31" s="12">
        <f>IF(AND(ISNUMBER(RU_Clean!AC31),ISNUMBER(RU_Clean!AC30)),(RU_Clean!AC31-RU_Clean!AC30)/RU_Clean!AC30*100,"")</f>
        <v>0.435161009573542</v>
      </c>
      <c r="AD31" s="12">
        <f>IF(AND(ISNUMBER(RU_Clean!AD31),ISNUMBER(RU_Clean!AD30)),(RU_Clean!AD31-RU_Clean!AD30)/RU_Clean!AD30*100,"")</f>
        <v>0.33416875522138</v>
      </c>
      <c r="AE31" s="12">
        <f>IF(AND(ISNUMBER(RU_Clean!AE31),ISNUMBER(RU_Clean!AE30)),(RU_Clean!AE31-RU_Clean!AE30)/RU_Clean!AE30*100,"")</f>
        <v>-0.179856115107916</v>
      </c>
      <c r="AF31" s="12">
        <f>IF(AND(ISNUMBER(RU_Clean!AF31),ISNUMBER(RU_Clean!AF30)),(RU_Clean!AF31-RU_Clean!AF30)/RU_Clean!AF30*100,"")</f>
        <v>0.525854513584582</v>
      </c>
      <c r="AG31" s="12">
        <f>IF(AND(ISNUMBER(RU_Clean!AG31),ISNUMBER(RU_Clean!AG30)),(RU_Clean!AG31-RU_Clean!AG30)/RU_Clean!AG30*100,"")</f>
        <v>0.417710944026733</v>
      </c>
      <c r="AH31" s="12">
        <f>IF(AND(ISNUMBER(RU_Clean!AH31),ISNUMBER(RU_Clean!AH30)),(RU_Clean!AH31-RU_Clean!AH30)/RU_Clean!AH30*100,"")</f>
        <v>-0.0414851690520576</v>
      </c>
    </row>
    <row r="32" spans="1:34">
      <c r="A32" s="6">
        <f>RU_Clean!A32</f>
        <v>2015</v>
      </c>
      <c r="B32" s="6">
        <f>RU_Clean!B32</f>
        <v>4</v>
      </c>
      <c r="C32" s="6" t="str">
        <f>RU_Clean!C32</f>
        <v>April</v>
      </c>
      <c r="D32" s="9">
        <f>RU_Clean!D32</f>
        <v>42095</v>
      </c>
      <c r="E32" s="6"/>
      <c r="F32" s="6"/>
      <c r="G32" s="12">
        <f>IF(AND(ISNUMBER(RU_Clean!G32),ISNUMBER(RU_Clean!G31)),(RU_Clean!G32-RU_Clean!G31)/RU_Clean!G31*100,"")</f>
        <v>0</v>
      </c>
      <c r="H32" s="12">
        <f>IF(AND(ISNUMBER(RU_Clean!H32),ISNUMBER(RU_Clean!H31)),(RU_Clean!H32-RU_Clean!H31)/RU_Clean!H31*100,"")</f>
        <v>0.797448165869218</v>
      </c>
      <c r="I32" s="12">
        <f>IF(AND(ISNUMBER(RU_Clean!I32),ISNUMBER(RU_Clean!I31)),(RU_Clean!I32-RU_Clean!I31)/RU_Clean!I31*100,"")</f>
        <v>-2.05479452054794</v>
      </c>
      <c r="J32" s="12">
        <f>IF(AND(ISNUMBER(RU_Clean!J32),ISNUMBER(RU_Clean!J31)),(RU_Clean!J32-RU_Clean!J31)/RU_Clean!J31*100,"")</f>
        <v>0.476190476190472</v>
      </c>
      <c r="K32" s="12">
        <f>IF(AND(ISNUMBER(RU_Clean!K32),ISNUMBER(RU_Clean!K31)),(RU_Clean!K32-RU_Clean!K31)/RU_Clean!K31*100,"")</f>
        <v>0</v>
      </c>
      <c r="L32" s="12">
        <f>IF(AND(ISNUMBER(RU_Clean!L32),ISNUMBER(RU_Clean!L31)),(RU_Clean!L32-RU_Clean!L31)/RU_Clean!L31*100,"")</f>
        <v>3.84012539184953</v>
      </c>
      <c r="M32" s="12">
        <f>IF(AND(ISNUMBER(RU_Clean!M32),ISNUMBER(RU_Clean!M31)),(RU_Clean!M32-RU_Clean!M31)/RU_Clean!M31*100,"")</f>
        <v>-0.464396284829717</v>
      </c>
      <c r="N32" s="12">
        <f>IF(AND(ISNUMBER(RU_Clean!N32),ISNUMBER(RU_Clean!N31)),(RU_Clean!N32-RU_Clean!N31)/RU_Clean!N31*100,"")</f>
        <v>1.96078431372548</v>
      </c>
      <c r="O32" s="12">
        <f>IF(AND(ISNUMBER(RU_Clean!O32),ISNUMBER(RU_Clean!O31)),(RU_Clean!O32-RU_Clean!O31)/RU_Clean!O31*100,"")</f>
        <v>-1.34020618556701</v>
      </c>
      <c r="P32" s="12">
        <f>IF(AND(ISNUMBER(RU_Clean!P32),ISNUMBER(RU_Clean!P31)),(RU_Clean!P32-RU_Clean!P31)/RU_Clean!P31*100,"")</f>
        <v>0.245700245700255</v>
      </c>
      <c r="Q32" s="12">
        <f>IF(AND(ISNUMBER(RU_Clean!Q32),ISNUMBER(RU_Clean!Q31)),(RU_Clean!Q32-RU_Clean!Q31)/RU_Clean!Q31*100,"")</f>
        <v>0.338696020321766</v>
      </c>
      <c r="R32" s="12">
        <f>IF(AND(ISNUMBER(RU_Clean!R32),ISNUMBER(RU_Clean!R31)),(RU_Clean!R32-RU_Clean!R31)/RU_Clean!R31*100,"")</f>
        <v>0.545171339563854</v>
      </c>
      <c r="S32" s="12">
        <f>IF(AND(ISNUMBER(RU_Clean!S32),ISNUMBER(RU_Clean!S31)),(RU_Clean!S32-RU_Clean!S31)/RU_Clean!S31*100,"")</f>
        <v>0.486223662884922</v>
      </c>
      <c r="T32" s="12">
        <f>IF(AND(ISNUMBER(RU_Clean!T32),ISNUMBER(RU_Clean!T31)),(RU_Clean!T32-RU_Clean!T31)/RU_Clean!T31*100,"")</f>
        <v>0.874403815580293</v>
      </c>
      <c r="U32" s="12">
        <f>IF(AND(ISNUMBER(RU_Clean!U32),ISNUMBER(RU_Clean!U31)),(RU_Clean!U32-RU_Clean!U31)/RU_Clean!U31*100,"")</f>
        <v>0.321802091713601</v>
      </c>
      <c r="V32" s="12">
        <f>IF(AND(ISNUMBER(RU_Clean!V32),ISNUMBER(RU_Clean!V31)),(RU_Clean!V32-RU_Clean!V31)/RU_Clean!V31*100,"")</f>
        <v>0.332225913621255</v>
      </c>
      <c r="W32" s="12">
        <f>IF(AND(ISNUMBER(RU_Clean!W32),ISNUMBER(RU_Clean!W31)),(RU_Clean!W32-RU_Clean!W31)/RU_Clean!W31*100,"")</f>
        <v>0.323362974939363</v>
      </c>
      <c r="X32" s="12">
        <f>IF(AND(ISNUMBER(RU_Clean!X32),ISNUMBER(RU_Clean!X31)),(RU_Clean!X32-RU_Clean!X31)/RU_Clean!X31*100,"")</f>
        <v>0.50590219224284</v>
      </c>
      <c r="Y32" s="12">
        <f>IF(AND(ISNUMBER(RU_Clean!Y32),ISNUMBER(RU_Clean!Y31)),(RU_Clean!Y32-RU_Clean!Y31)/RU_Clean!Y31*100,"")</f>
        <v>0.338123415046497</v>
      </c>
      <c r="Z32" s="12">
        <f>IF(AND(ISNUMBER(RU_Clean!Z32),ISNUMBER(RU_Clean!Z31)),(RU_Clean!Z32-RU_Clean!Z31)/RU_Clean!Z31*100,"")</f>
        <v>0.419463087248322</v>
      </c>
      <c r="AA32" s="12">
        <f>IF(AND(ISNUMBER(RU_Clean!AA32),ISNUMBER(RU_Clean!AA31)),(RU_Clean!AA32-RU_Clean!AA31)/RU_Clean!AA31*100,"")</f>
        <v>0.342759211653806</v>
      </c>
      <c r="AB32" s="12">
        <f>IF(AND(ISNUMBER(RU_Clean!AB32),ISNUMBER(RU_Clean!AB31)),(RU_Clean!AB32-RU_Clean!AB31)/RU_Clean!AB31*100,"")</f>
        <v>0.181983621474057</v>
      </c>
      <c r="AC32" s="12">
        <f>IF(AND(ISNUMBER(RU_Clean!AC32),ISNUMBER(RU_Clean!AC31)),(RU_Clean!AC32-RU_Clean!AC31)/RU_Clean!AC31*100,"")</f>
        <v>0.433275563258232</v>
      </c>
      <c r="AD32" s="12">
        <f>IF(AND(ISNUMBER(RU_Clean!AD32),ISNUMBER(RU_Clean!AD31)),(RU_Clean!AD32-RU_Clean!AD31)/RU_Clean!AD31*100,"")</f>
        <v>0.749375520399672</v>
      </c>
      <c r="AE32" s="12">
        <f>IF(AND(ISNUMBER(RU_Clean!AE32),ISNUMBER(RU_Clean!AE31)),(RU_Clean!AE32-RU_Clean!AE31)/RU_Clean!AE31*100,"")</f>
        <v>0.630630630630633</v>
      </c>
      <c r="AF32" s="12">
        <f>IF(AND(ISNUMBER(RU_Clean!AF32),ISNUMBER(RU_Clean!AF31)),(RU_Clean!AF32-RU_Clean!AF31)/RU_Clean!AF31*100,"")</f>
        <v>0.348735832606793</v>
      </c>
      <c r="AG32" s="12">
        <f>IF(AND(ISNUMBER(RU_Clean!AG32),ISNUMBER(RU_Clean!AG31)),(RU_Clean!AG32-RU_Clean!AG31)/RU_Clean!AG31*100,"")</f>
        <v>0.415973377703827</v>
      </c>
      <c r="AH32" s="12">
        <f>IF(AND(ISNUMBER(RU_Clean!AH32),ISNUMBER(RU_Clean!AH31)),(RU_Clean!AH32-RU_Clean!AH31)/RU_Clean!AH31*100,"")</f>
        <v>0.415023863872188</v>
      </c>
    </row>
    <row r="33" spans="1:34">
      <c r="A33" s="6">
        <f>RU_Clean!A33</f>
        <v>2015</v>
      </c>
      <c r="B33" s="6">
        <f>RU_Clean!B33</f>
        <v>5</v>
      </c>
      <c r="C33" s="6" t="str">
        <f>RU_Clean!C33</f>
        <v>May</v>
      </c>
      <c r="D33" s="9">
        <f>RU_Clean!D33</f>
        <v>42125</v>
      </c>
      <c r="E33" s="6"/>
      <c r="F33" s="6"/>
      <c r="G33" s="12">
        <f>IF(AND(ISNUMBER(RU_Clean!G33),ISNUMBER(RU_Clean!G32)),(RU_Clean!G33-RU_Clean!G32)/RU_Clean!G32*100,"")</f>
        <v>0.0809716599190237</v>
      </c>
      <c r="H33" s="12">
        <f>IF(AND(ISNUMBER(RU_Clean!H33),ISNUMBER(RU_Clean!H32)),(RU_Clean!H33-RU_Clean!H32)/RU_Clean!H32*100,"")</f>
        <v>1.26582278481012</v>
      </c>
      <c r="I33" s="12">
        <f>IF(AND(ISNUMBER(RU_Clean!I33),ISNUMBER(RU_Clean!I32)),(RU_Clean!I33-RU_Clean!I32)/RU_Clean!I32*100,"")</f>
        <v>0.524475524475519</v>
      </c>
      <c r="J33" s="12">
        <f>IF(AND(ISNUMBER(RU_Clean!J33),ISNUMBER(RU_Clean!J32)),(RU_Clean!J33-RU_Clean!J32)/RU_Clean!J32*100,"")</f>
        <v>0.552922590837285</v>
      </c>
      <c r="K33" s="12">
        <f>IF(AND(ISNUMBER(RU_Clean!K33),ISNUMBER(RU_Clean!K32)),(RU_Clean!K33-RU_Clean!K32)/RU_Clean!K32*100,"")</f>
        <v>0.549450549450544</v>
      </c>
      <c r="L33" s="12">
        <f>IF(AND(ISNUMBER(RU_Clean!L33),ISNUMBER(RU_Clean!L32)),(RU_Clean!L33-RU_Clean!L32)/RU_Clean!L32*100,"")</f>
        <v>0.0754716981132033</v>
      </c>
      <c r="M33" s="12">
        <f>IF(AND(ISNUMBER(RU_Clean!M33),ISNUMBER(RU_Clean!M32)),(RU_Clean!M33-RU_Clean!M32)/RU_Clean!M32*100,"")</f>
        <v>1.78849144634527</v>
      </c>
      <c r="N33" s="12">
        <f>IF(AND(ISNUMBER(RU_Clean!N33),ISNUMBER(RU_Clean!N32)),(RU_Clean!N33-RU_Clean!N32)/RU_Clean!N32*100,"")</f>
        <v>4.5673076923077</v>
      </c>
      <c r="O33" s="12">
        <f>IF(AND(ISNUMBER(RU_Clean!O33),ISNUMBER(RU_Clean!O32)),(RU_Clean!O33-RU_Clean!O32)/RU_Clean!O32*100,"")</f>
        <v>-0.417972831765941</v>
      </c>
      <c r="P33" s="12">
        <f>IF(AND(ISNUMBER(RU_Clean!P33),ISNUMBER(RU_Clean!P32)),(RU_Clean!P33-RU_Clean!P32)/RU_Clean!P32*100,"")</f>
        <v>0.816993464052288</v>
      </c>
      <c r="Q33" s="12">
        <f>IF(AND(ISNUMBER(RU_Clean!Q33),ISNUMBER(RU_Clean!Q32)),(RU_Clean!Q33-RU_Clean!Q32)/RU_Clean!Q32*100,"")</f>
        <v>0.590717299578062</v>
      </c>
      <c r="R33" s="12">
        <f>IF(AND(ISNUMBER(RU_Clean!R33),ISNUMBER(RU_Clean!R32)),(RU_Clean!R33-RU_Clean!R32)/RU_Clean!R32*100,"")</f>
        <v>0.542215336948116</v>
      </c>
      <c r="S33" s="12">
        <f>IF(AND(ISNUMBER(RU_Clean!S33),ISNUMBER(RU_Clean!S32)),(RU_Clean!S33-RU_Clean!S32)/RU_Clean!S32*100,"")</f>
        <v>0.806451612903226</v>
      </c>
      <c r="T33" s="12">
        <f>IF(AND(ISNUMBER(RU_Clean!T33),ISNUMBER(RU_Clean!T32)),(RU_Clean!T33-RU_Clean!T32)/RU_Clean!T32*100,"")</f>
        <v>0.788022064617809</v>
      </c>
      <c r="U33" s="12">
        <f>IF(AND(ISNUMBER(RU_Clean!U33),ISNUMBER(RU_Clean!U32)),(RU_Clean!U33-RU_Clean!U32)/RU_Clean!U32*100,"")</f>
        <v>0.561347233360066</v>
      </c>
      <c r="V33" s="12">
        <f>IF(AND(ISNUMBER(RU_Clean!V33),ISNUMBER(RU_Clean!V32)),(RU_Clean!V33-RU_Clean!V32)/RU_Clean!V32*100,"")</f>
        <v>0.413907284768212</v>
      </c>
      <c r="W33" s="12">
        <f>IF(AND(ISNUMBER(RU_Clean!W33),ISNUMBER(RU_Clean!W32)),(RU_Clean!W33-RU_Clean!W32)/RU_Clean!W32*100,"")</f>
        <v>0.483481063658347</v>
      </c>
      <c r="X33" s="12">
        <f>IF(AND(ISNUMBER(RU_Clean!X33),ISNUMBER(RU_Clean!X32)),(RU_Clean!X33-RU_Clean!X32)/RU_Clean!X32*100,"")</f>
        <v>0.335570469798651</v>
      </c>
      <c r="Y33" s="12">
        <f>IF(AND(ISNUMBER(RU_Clean!Y33),ISNUMBER(RU_Clean!Y32)),(RU_Clean!Y33-RU_Clean!Y32)/RU_Clean!Y32*100,"")</f>
        <v>0.4212299915754</v>
      </c>
      <c r="Z33" s="12">
        <f>IF(AND(ISNUMBER(RU_Clean!Z33),ISNUMBER(RU_Clean!Z32)),(RU_Clean!Z33-RU_Clean!Z32)/RU_Clean!Z32*100,"")</f>
        <v>0.417710944026733</v>
      </c>
      <c r="AA33" s="12">
        <f>IF(AND(ISNUMBER(RU_Clean!AA33),ISNUMBER(RU_Clean!AA32)),(RU_Clean!AA33-RU_Clean!AA32)/RU_Clean!AA32*100,"")</f>
        <v>0.512382578992322</v>
      </c>
      <c r="AB33" s="12">
        <f>IF(AND(ISNUMBER(RU_Clean!AB33),ISNUMBER(RU_Clean!AB32)),(RU_Clean!AB33-RU_Clean!AB32)/RU_Clean!AB32*100,"")</f>
        <v>1.72570390554042</v>
      </c>
      <c r="AC33" s="12">
        <f>IF(AND(ISNUMBER(RU_Clean!AC33),ISNUMBER(RU_Clean!AC32)),(RU_Clean!AC33-RU_Clean!AC32)/RU_Clean!AC32*100,"")</f>
        <v>0.345125107851589</v>
      </c>
      <c r="AD33" s="12">
        <f>IF(AND(ISNUMBER(RU_Clean!AD33),ISNUMBER(RU_Clean!AD32)),(RU_Clean!AD33-RU_Clean!AD32)/RU_Clean!AD32*100,"")</f>
        <v>0.330578512396699</v>
      </c>
      <c r="AE33" s="12">
        <f>IF(AND(ISNUMBER(RU_Clean!AE33),ISNUMBER(RU_Clean!AE32)),(RU_Clean!AE33-RU_Clean!AE32)/RU_Clean!AE32*100,"")</f>
        <v>0.537153088630255</v>
      </c>
      <c r="AF33" s="12">
        <f>IF(AND(ISNUMBER(RU_Clean!AF33),ISNUMBER(RU_Clean!AF32)),(RU_Clean!AF33-RU_Clean!AF32)/RU_Clean!AF32*100,"")</f>
        <v>0.868809730668984</v>
      </c>
      <c r="AG33" s="12">
        <f>IF(AND(ISNUMBER(RU_Clean!AG33),ISNUMBER(RU_Clean!AG32)),(RU_Clean!AG33-RU_Clean!AG32)/RU_Clean!AG32*100,"")</f>
        <v>0.745650372825179</v>
      </c>
      <c r="AH33" s="12">
        <f>IF(AND(ISNUMBER(RU_Clean!AH33),ISNUMBER(RU_Clean!AH32)),(RU_Clean!AH33-RU_Clean!AH32)/RU_Clean!AH32*100,"")</f>
        <v>0.94372115450851</v>
      </c>
    </row>
    <row r="34" spans="1:34">
      <c r="A34" s="6">
        <f>RU_Clean!A34</f>
        <v>2015</v>
      </c>
      <c r="B34" s="6">
        <f>RU_Clean!B34</f>
        <v>6</v>
      </c>
      <c r="C34" s="6" t="str">
        <f>RU_Clean!C34</f>
        <v>June</v>
      </c>
      <c r="D34" s="9">
        <f>RU_Clean!D34</f>
        <v>42156</v>
      </c>
      <c r="E34" s="6"/>
      <c r="F34" s="6"/>
      <c r="G34" s="12">
        <f>IF(AND(ISNUMBER(RU_Clean!G34),ISNUMBER(RU_Clean!G33)),(RU_Clean!G34-RU_Clean!G33)/RU_Clean!G33*100,"")</f>
        <v>0.242718446601951</v>
      </c>
      <c r="H34" s="12">
        <f>IF(AND(ISNUMBER(RU_Clean!H34),ISNUMBER(RU_Clean!H33)),(RU_Clean!H34-RU_Clean!H33)/RU_Clean!H33*100,"")</f>
        <v>2.96875000000001</v>
      </c>
      <c r="I34" s="12">
        <f>IF(AND(ISNUMBER(RU_Clean!I34),ISNUMBER(RU_Clean!I33)),(RU_Clean!I34-RU_Clean!I33)/RU_Clean!I33*100,"")</f>
        <v>5.7391304347826</v>
      </c>
      <c r="J34" s="12">
        <f>IF(AND(ISNUMBER(RU_Clean!J34),ISNUMBER(RU_Clean!J33)),(RU_Clean!J34-RU_Clean!J33)/RU_Clean!J33*100,"")</f>
        <v>0.706991358994495</v>
      </c>
      <c r="K34" s="12">
        <f>IF(AND(ISNUMBER(RU_Clean!K34),ISNUMBER(RU_Clean!K33)),(RU_Clean!K34-RU_Clean!K33)/RU_Clean!K33*100,"")</f>
        <v>1.183970856102</v>
      </c>
      <c r="L34" s="12">
        <f>IF(AND(ISNUMBER(RU_Clean!L34),ISNUMBER(RU_Clean!L33)),(RU_Clean!L34-RU_Clean!L33)/RU_Clean!L33*100,"")</f>
        <v>0.150829562594281</v>
      </c>
      <c r="M34" s="12">
        <f>IF(AND(ISNUMBER(RU_Clean!M34),ISNUMBER(RU_Clean!M33)),(RU_Clean!M34-RU_Clean!M33)/RU_Clean!M33*100,"")</f>
        <v>6.26432391138273</v>
      </c>
      <c r="N34" s="12">
        <f>IF(AND(ISNUMBER(RU_Clean!N34),ISNUMBER(RU_Clean!N33)),(RU_Clean!N34-RU_Clean!N33)/RU_Clean!N33*100,"")</f>
        <v>5.28735632183908</v>
      </c>
      <c r="O34" s="12">
        <f>IF(AND(ISNUMBER(RU_Clean!O34),ISNUMBER(RU_Clean!O33)),(RU_Clean!O34-RU_Clean!O33)/RU_Clean!O33*100,"")</f>
        <v>-1.2591815320042</v>
      </c>
      <c r="P34" s="12">
        <f>IF(AND(ISNUMBER(RU_Clean!P34),ISNUMBER(RU_Clean!P33)),(RU_Clean!P34-RU_Clean!P33)/RU_Clean!P33*100,"")</f>
        <v>1.70178282009724</v>
      </c>
      <c r="Q34" s="12">
        <f>IF(AND(ISNUMBER(RU_Clean!Q34),ISNUMBER(RU_Clean!Q33)),(RU_Clean!Q34-RU_Clean!Q33)/RU_Clean!Q33*100,"")</f>
        <v>0.503355704697982</v>
      </c>
      <c r="R34" s="12">
        <f>IF(AND(ISNUMBER(RU_Clean!R34),ISNUMBER(RU_Clean!R33)),(RU_Clean!R34-RU_Clean!R33)/RU_Clean!R33*100,"")</f>
        <v>0.84745762711864</v>
      </c>
      <c r="S34" s="12">
        <f>IF(AND(ISNUMBER(RU_Clean!S34),ISNUMBER(RU_Clean!S33)),(RU_Clean!S34-RU_Clean!S33)/RU_Clean!S33*100,"")</f>
        <v>1.84</v>
      </c>
      <c r="T34" s="12">
        <f>IF(AND(ISNUMBER(RU_Clean!T34),ISNUMBER(RU_Clean!T33)),(RU_Clean!T34-RU_Clean!T33)/RU_Clean!T33*100,"")</f>
        <v>1.01641907740421</v>
      </c>
      <c r="U34" s="12">
        <f>IF(AND(ISNUMBER(RU_Clean!U34),ISNUMBER(RU_Clean!U33)),(RU_Clean!U34-RU_Clean!U33)/RU_Clean!U33*100,"")</f>
        <v>0.797448165869218</v>
      </c>
      <c r="V34" s="12">
        <f>IF(AND(ISNUMBER(RU_Clean!V34),ISNUMBER(RU_Clean!V33)),(RU_Clean!V34-RU_Clean!V33)/RU_Clean!V33*100,"")</f>
        <v>0.577081615828527</v>
      </c>
      <c r="W34" s="12">
        <f>IF(AND(ISNUMBER(RU_Clean!W34),ISNUMBER(RU_Clean!W33)),(RU_Clean!W34-RU_Clean!W33)/RU_Clean!W33*100,"")</f>
        <v>0.801924619085806</v>
      </c>
      <c r="X34" s="12">
        <f>IF(AND(ISNUMBER(RU_Clean!X34),ISNUMBER(RU_Clean!X33)),(RU_Clean!X34-RU_Clean!X33)/RU_Clean!X33*100,"")</f>
        <v>-0.501672240802671</v>
      </c>
      <c r="Y34" s="12">
        <f>IF(AND(ISNUMBER(RU_Clean!Y34),ISNUMBER(RU_Clean!Y33)),(RU_Clean!Y34-RU_Clean!Y33)/RU_Clean!Y33*100,"")</f>
        <v>0.503355704697982</v>
      </c>
      <c r="Z34" s="12">
        <f>IF(AND(ISNUMBER(RU_Clean!Z34),ISNUMBER(RU_Clean!Z33)),(RU_Clean!Z34-RU_Clean!Z33)/RU_Clean!Z33*100,"")</f>
        <v>0.748752079866881</v>
      </c>
      <c r="AA34" s="12">
        <f>IF(AND(ISNUMBER(RU_Clean!AA34),ISNUMBER(RU_Clean!AA33)),(RU_Clean!AA34-RU_Clean!AA33)/RU_Clean!AA33*100,"")</f>
        <v>0.67969413763806</v>
      </c>
      <c r="AB34" s="12">
        <f>IF(AND(ISNUMBER(RU_Clean!AB34),ISNUMBER(RU_Clean!AB33)),(RU_Clean!AB34-RU_Clean!AB33)/RU_Clean!AB33*100,"")</f>
        <v>0.803571428571434</v>
      </c>
      <c r="AC34" s="12">
        <f>IF(AND(ISNUMBER(RU_Clean!AC34),ISNUMBER(RU_Clean!AC33)),(RU_Clean!AC34-RU_Clean!AC33)/RU_Clean!AC33*100,"")</f>
        <v>0.515907136715399</v>
      </c>
      <c r="AD34" s="12">
        <f>IF(AND(ISNUMBER(RU_Clean!AD34),ISNUMBER(RU_Clean!AD33)),(RU_Clean!AD34-RU_Clean!AD33)/RU_Clean!AD33*100,"")</f>
        <v>1.40032948929159</v>
      </c>
      <c r="AE34" s="12">
        <f>IF(AND(ISNUMBER(RU_Clean!AE34),ISNUMBER(RU_Clean!AE33)),(RU_Clean!AE34-RU_Clean!AE33)/RU_Clean!AE33*100,"")</f>
        <v>0.445235975066785</v>
      </c>
      <c r="AF34" s="12">
        <f>IF(AND(ISNUMBER(RU_Clean!AF34),ISNUMBER(RU_Clean!AF33)),(RU_Clean!AF34-RU_Clean!AF33)/RU_Clean!AF33*100,"")</f>
        <v>0.775193798449617</v>
      </c>
      <c r="AG34" s="12">
        <f>IF(AND(ISNUMBER(RU_Clean!AG34),ISNUMBER(RU_Clean!AG33)),(RU_Clean!AG34-RU_Clean!AG33)/RU_Clean!AG33*100,"")</f>
        <v>1.15131578947369</v>
      </c>
      <c r="AH34" s="12">
        <f>IF(AND(ISNUMBER(RU_Clean!AH34),ISNUMBER(RU_Clean!AH33)),(RU_Clean!AH34-RU_Clean!AH33)/RU_Clean!AH33*100,"")</f>
        <v>2.10181520403985</v>
      </c>
    </row>
    <row r="35" spans="1:34">
      <c r="A35" s="6">
        <f>RU_Clean!A35</f>
        <v>2015</v>
      </c>
      <c r="B35" s="6">
        <f>RU_Clean!B35</f>
        <v>7</v>
      </c>
      <c r="C35" s="6" t="str">
        <f>RU_Clean!C35</f>
        <v>July</v>
      </c>
      <c r="D35" s="9">
        <f>RU_Clean!D35</f>
        <v>42186</v>
      </c>
      <c r="E35" s="6"/>
      <c r="F35" s="6"/>
      <c r="G35" s="12">
        <f>IF(AND(ISNUMBER(RU_Clean!G35),ISNUMBER(RU_Clean!G34)),(RU_Clean!G35-RU_Clean!G34)/RU_Clean!G34*100,"")</f>
        <v>-0.161420500403554</v>
      </c>
      <c r="H35" s="12">
        <f>IF(AND(ISNUMBER(RU_Clean!H35),ISNUMBER(RU_Clean!H34)),(RU_Clean!H35-RU_Clean!H34)/RU_Clean!H34*100,"")</f>
        <v>0.531107738998474</v>
      </c>
      <c r="I35" s="12">
        <f>IF(AND(ISNUMBER(RU_Clean!I35),ISNUMBER(RU_Clean!I34)),(RU_Clean!I35-RU_Clean!I34)/RU_Clean!I34*100,"")</f>
        <v>-0.493421052631574</v>
      </c>
      <c r="J35" s="12">
        <f>IF(AND(ISNUMBER(RU_Clean!J35),ISNUMBER(RU_Clean!J34)),(RU_Clean!J35-RU_Clean!J34)/RU_Clean!J34*100,"")</f>
        <v>0.0780031201248227</v>
      </c>
      <c r="K35" s="12">
        <f>IF(AND(ISNUMBER(RU_Clean!K35),ISNUMBER(RU_Clean!K34)),(RU_Clean!K35-RU_Clean!K34)/RU_Clean!K34*100,"")</f>
        <v>-0.18001800180017</v>
      </c>
      <c r="L35" s="12">
        <f>IF(AND(ISNUMBER(RU_Clean!L35),ISNUMBER(RU_Clean!L34)),(RU_Clean!L35-RU_Clean!L34)/RU_Clean!L34*100,"")</f>
        <v>0.225903614457818</v>
      </c>
      <c r="M35" s="12">
        <f>IF(AND(ISNUMBER(RU_Clean!M35),ISNUMBER(RU_Clean!M34)),(RU_Clean!M35-RU_Clean!M34)/RU_Clean!M34*100,"")</f>
        <v>4.31344356578001</v>
      </c>
      <c r="N35" s="12">
        <f>IF(AND(ISNUMBER(RU_Clean!N35),ISNUMBER(RU_Clean!N34)),(RU_Clean!N35-RU_Clean!N34)/RU_Clean!N34*100,"")</f>
        <v>1.23726346433769</v>
      </c>
      <c r="O35" s="12">
        <f>IF(AND(ISNUMBER(RU_Clean!O35),ISNUMBER(RU_Clean!O34)),(RU_Clean!O35-RU_Clean!O34)/RU_Clean!O34*100,"")</f>
        <v>-2.97555791710946</v>
      </c>
      <c r="P35" s="12">
        <f>IF(AND(ISNUMBER(RU_Clean!P35),ISNUMBER(RU_Clean!P34)),(RU_Clean!P35-RU_Clean!P34)/RU_Clean!P34*100,"")</f>
        <v>0.478087649402386</v>
      </c>
      <c r="Q35" s="12">
        <f>IF(AND(ISNUMBER(RU_Clean!Q35),ISNUMBER(RU_Clean!Q34)),(RU_Clean!Q35-RU_Clean!Q34)/RU_Clean!Q34*100,"")</f>
        <v>0.0834724540901574</v>
      </c>
      <c r="R35" s="12">
        <f>IF(AND(ISNUMBER(RU_Clean!R35),ISNUMBER(RU_Clean!R34)),(RU_Clean!R35-RU_Clean!R34)/RU_Clean!R34*100,"")</f>
        <v>0.381970970206264</v>
      </c>
      <c r="S35" s="12">
        <f>IF(AND(ISNUMBER(RU_Clean!S35),ISNUMBER(RU_Clean!S34)),(RU_Clean!S35-RU_Clean!S34)/RU_Clean!S34*100,"")</f>
        <v>0.706991358994495</v>
      </c>
      <c r="T35" s="12">
        <f>IF(AND(ISNUMBER(RU_Clean!T35),ISNUMBER(RU_Clean!T34)),(RU_Clean!T35-RU_Clean!T34)/RU_Clean!T34*100,"")</f>
        <v>0.928792569659456</v>
      </c>
      <c r="U35" s="12">
        <f>IF(AND(ISNUMBER(RU_Clean!U35),ISNUMBER(RU_Clean!U34)),(RU_Clean!U35-RU_Clean!U34)/RU_Clean!U34*100,"")</f>
        <v>0.237341772151896</v>
      </c>
      <c r="V35" s="12">
        <f>IF(AND(ISNUMBER(RU_Clean!V35),ISNUMBER(RU_Clean!V34)),(RU_Clean!V35-RU_Clean!V34)/RU_Clean!V34*100,"")</f>
        <v>0.24590163934426</v>
      </c>
      <c r="W35" s="12">
        <f>IF(AND(ISNUMBER(RU_Clean!W35),ISNUMBER(RU_Clean!W34)),(RU_Clean!W35-RU_Clean!W34)/RU_Clean!W34*100,"")</f>
        <v>0.318217979315825</v>
      </c>
      <c r="X35" s="12">
        <f>IF(AND(ISNUMBER(RU_Clean!X35),ISNUMBER(RU_Clean!X34)),(RU_Clean!X35-RU_Clean!X34)/RU_Clean!X34*100,"")</f>
        <v>0.756302521008408</v>
      </c>
      <c r="Y35" s="12">
        <f>IF(AND(ISNUMBER(RU_Clean!Y35),ISNUMBER(RU_Clean!Y34)),(RU_Clean!Y35-RU_Clean!Y34)/RU_Clean!Y34*100,"")</f>
        <v>0.250417362270448</v>
      </c>
      <c r="Z35" s="12">
        <f>IF(AND(ISNUMBER(RU_Clean!Z35),ISNUMBER(RU_Clean!Z34)),(RU_Clean!Z35-RU_Clean!Z34)/RU_Clean!Z34*100,"")</f>
        <v>0.165152766308838</v>
      </c>
      <c r="AA35" s="12">
        <f>IF(AND(ISNUMBER(RU_Clean!AA35),ISNUMBER(RU_Clean!AA34)),(RU_Clean!AA35-RU_Clean!AA34)/RU_Clean!AA34*100,"")</f>
        <v>0.421940928270042</v>
      </c>
      <c r="AB35" s="12">
        <f>IF(AND(ISNUMBER(RU_Clean!AB35),ISNUMBER(RU_Clean!AB34)),(RU_Clean!AB35-RU_Clean!AB34)/RU_Clean!AB34*100,"")</f>
        <v>-0.17714791851196</v>
      </c>
      <c r="AC35" s="12">
        <f>IF(AND(ISNUMBER(RU_Clean!AC35),ISNUMBER(RU_Clean!AC34)),(RU_Clean!AC35-RU_Clean!AC34)/RU_Clean!AC34*100,"")</f>
        <v>0.256629597946961</v>
      </c>
      <c r="AD35" s="12">
        <f>IF(AND(ISNUMBER(RU_Clean!AD35),ISNUMBER(RU_Clean!AD34)),(RU_Clean!AD35-RU_Clean!AD34)/RU_Clean!AD34*100,"")</f>
        <v>1.05605199025184</v>
      </c>
      <c r="AE35" s="12">
        <f>IF(AND(ISNUMBER(RU_Clean!AE35),ISNUMBER(RU_Clean!AE34)),(RU_Clean!AE35-RU_Clean!AE34)/RU_Clean!AE34*100,"")</f>
        <v>-0.443262411347518</v>
      </c>
      <c r="AF35" s="12">
        <f>IF(AND(ISNUMBER(RU_Clean!AF35),ISNUMBER(RU_Clean!AF34)),(RU_Clean!AF35-RU_Clean!AF34)/RU_Clean!AF34*100,"")</f>
        <v>0.170940170940173</v>
      </c>
      <c r="AG35" s="12">
        <f>IF(AND(ISNUMBER(RU_Clean!AG35),ISNUMBER(RU_Clean!AG34)),(RU_Clean!AG35-RU_Clean!AG34)/RU_Clean!AG34*100,"")</f>
        <v>0.487804878048776</v>
      </c>
      <c r="AH35" s="12">
        <f>IF(AND(ISNUMBER(RU_Clean!AH35),ISNUMBER(RU_Clean!AH34)),(RU_Clean!AH35-RU_Clean!AH34)/RU_Clean!AH34*100,"")</f>
        <v>0.414383103863123</v>
      </c>
    </row>
    <row r="36" spans="1:34">
      <c r="A36" s="6">
        <f>RU_Clean!A36</f>
        <v>2015</v>
      </c>
      <c r="B36" s="6">
        <f>RU_Clean!B36</f>
        <v>8</v>
      </c>
      <c r="C36" s="6" t="str">
        <f>RU_Clean!C36</f>
        <v>August</v>
      </c>
      <c r="D36" s="9">
        <f>RU_Clean!D36</f>
        <v>42217</v>
      </c>
      <c r="E36" s="6"/>
      <c r="F36" s="6"/>
      <c r="G36" s="12">
        <f>IF(AND(ISNUMBER(RU_Clean!G36),ISNUMBER(RU_Clean!G35)),(RU_Clean!G36-RU_Clean!G35)/RU_Clean!G35*100,"")</f>
        <v>0.404203718674212</v>
      </c>
      <c r="H36" s="12">
        <f>IF(AND(ISNUMBER(RU_Clean!H36),ISNUMBER(RU_Clean!H35)),(RU_Clean!H36-RU_Clean!H35)/RU_Clean!H35*100,"")</f>
        <v>-0.830188679245279</v>
      </c>
      <c r="I36" s="12">
        <f>IF(AND(ISNUMBER(RU_Clean!I36),ISNUMBER(RU_Clean!I35)),(RU_Clean!I36-RU_Clean!I35)/RU_Clean!I35*100,"")</f>
        <v>-0.743801652892567</v>
      </c>
      <c r="J36" s="12">
        <f>IF(AND(ISNUMBER(RU_Clean!J36),ISNUMBER(RU_Clean!J35)),(RU_Clean!J36-RU_Clean!J35)/RU_Clean!J35*100,"")</f>
        <v>0.155884645362423</v>
      </c>
      <c r="K36" s="12">
        <f>IF(AND(ISNUMBER(RU_Clean!K36),ISNUMBER(RU_Clean!K35)),(RU_Clean!K36-RU_Clean!K35)/RU_Clean!K35*100,"")</f>
        <v>0.450856627592426</v>
      </c>
      <c r="L36" s="12">
        <f>IF(AND(ISNUMBER(RU_Clean!L36),ISNUMBER(RU_Clean!L35)),(RU_Clean!L36-RU_Clean!L35)/RU_Clean!L35*100,"")</f>
        <v>-0.601051840721249</v>
      </c>
      <c r="M36" s="12">
        <f>IF(AND(ISNUMBER(RU_Clean!M36),ISNUMBER(RU_Clean!M35)),(RU_Clean!M36-RU_Clean!M35)/RU_Clean!M35*100,"")</f>
        <v>8.61474844934528</v>
      </c>
      <c r="N36" s="12">
        <f>IF(AND(ISNUMBER(RU_Clean!N36),ISNUMBER(RU_Clean!N35)),(RU_Clean!N36-RU_Clean!N35)/RU_Clean!N35*100,"")</f>
        <v>3.52264557872035</v>
      </c>
      <c r="O36" s="12">
        <f>IF(AND(ISNUMBER(RU_Clean!O36),ISNUMBER(RU_Clean!O35)),(RU_Clean!O36-RU_Clean!O35)/RU_Clean!O35*100,"")</f>
        <v>-0.876232201533403</v>
      </c>
      <c r="P36" s="12">
        <f>IF(AND(ISNUMBER(RU_Clean!P36),ISNUMBER(RU_Clean!P35)),(RU_Clean!P36-RU_Clean!P35)/RU_Clean!P35*100,"")</f>
        <v>0.555114988104681</v>
      </c>
      <c r="Q36" s="12">
        <f>IF(AND(ISNUMBER(RU_Clean!Q36),ISNUMBER(RU_Clean!Q35)),(RU_Clean!Q36-RU_Clean!Q35)/RU_Clean!Q35*100,"")</f>
        <v>0.417014178482068</v>
      </c>
      <c r="R36" s="12">
        <f>IF(AND(ISNUMBER(RU_Clean!R36),ISNUMBER(RU_Clean!R35)),(RU_Clean!R36-RU_Clean!R35)/RU_Clean!R35*100,"")</f>
        <v>0.532724505327236</v>
      </c>
      <c r="S36" s="12">
        <f>IF(AND(ISNUMBER(RU_Clean!S36),ISNUMBER(RU_Clean!S35)),(RU_Clean!S36-RU_Clean!S35)/RU_Clean!S35*100,"")</f>
        <v>1.63806552262092</v>
      </c>
      <c r="T36" s="12">
        <f>IF(AND(ISNUMBER(RU_Clean!T36),ISNUMBER(RU_Clean!T35)),(RU_Clean!T36-RU_Clean!T35)/RU_Clean!T35*100,"")</f>
        <v>0.613496932515324</v>
      </c>
      <c r="U36" s="12">
        <f>IF(AND(ISNUMBER(RU_Clean!U36),ISNUMBER(RU_Clean!U35)),(RU_Clean!U36-RU_Clean!U35)/RU_Clean!U35*100,"")</f>
        <v>0.394632991318074</v>
      </c>
      <c r="V36" s="12">
        <f>IF(AND(ISNUMBER(RU_Clean!V36),ISNUMBER(RU_Clean!V35)),(RU_Clean!V36-RU_Clean!V35)/RU_Clean!V35*100,"")</f>
        <v>0.490596892886352</v>
      </c>
      <c r="W36" s="12">
        <f>IF(AND(ISNUMBER(RU_Clean!W36),ISNUMBER(RU_Clean!W35)),(RU_Clean!W36-RU_Clean!W35)/RU_Clean!W35*100,"")</f>
        <v>0.396510705789056</v>
      </c>
      <c r="X36" s="12">
        <f>IF(AND(ISNUMBER(RU_Clean!X36),ISNUMBER(RU_Clean!X35)),(RU_Clean!X36-RU_Clean!X35)/RU_Clean!X35*100,"")</f>
        <v>0.834028356964137</v>
      </c>
      <c r="Y36" s="12">
        <f>IF(AND(ISNUMBER(RU_Clean!Y36),ISNUMBER(RU_Clean!Y35)),(RU_Clean!Y36-RU_Clean!Y35)/RU_Clean!Y35*100,"")</f>
        <v>0.41631973355537</v>
      </c>
      <c r="Z36" s="12">
        <f>IF(AND(ISNUMBER(RU_Clean!Z36),ISNUMBER(RU_Clean!Z35)),(RU_Clean!Z36-RU_Clean!Z35)/RU_Clean!Z35*100,"")</f>
        <v>0.577081615828527</v>
      </c>
      <c r="AA36" s="12">
        <f>IF(AND(ISNUMBER(RU_Clean!AA36),ISNUMBER(RU_Clean!AA35)),(RU_Clean!AA36-RU_Clean!AA35)/RU_Clean!AA35*100,"")</f>
        <v>0.336134453781517</v>
      </c>
      <c r="AB36" s="12">
        <f>IF(AND(ISNUMBER(RU_Clean!AB36),ISNUMBER(RU_Clean!AB35)),(RU_Clean!AB36-RU_Clean!AB35)/RU_Clean!AB35*100,"")</f>
        <v>-0.887311446317657</v>
      </c>
      <c r="AC36" s="12">
        <f>IF(AND(ISNUMBER(RU_Clean!AC36),ISNUMBER(RU_Clean!AC35)),(RU_Clean!AC36-RU_Clean!AC35)/RU_Clean!AC35*100,"")</f>
        <v>0.511945392491463</v>
      </c>
      <c r="AD36" s="12">
        <f>IF(AND(ISNUMBER(RU_Clean!AD36),ISNUMBER(RU_Clean!AD35)),(RU_Clean!AD36-RU_Clean!AD35)/RU_Clean!AD35*100,"")</f>
        <v>0.562700964630216</v>
      </c>
      <c r="AE36" s="12">
        <f>IF(AND(ISNUMBER(RU_Clean!AE36),ISNUMBER(RU_Clean!AE35)),(RU_Clean!AE36-RU_Clean!AE35)/RU_Clean!AE35*100,"")</f>
        <v>0</v>
      </c>
      <c r="AF36" s="12">
        <f>IF(AND(ISNUMBER(RU_Clean!AF36),ISNUMBER(RU_Clean!AF35)),(RU_Clean!AF36-RU_Clean!AF35)/RU_Clean!AF35*100,"")</f>
        <v>0</v>
      </c>
      <c r="AG36" s="12">
        <f>IF(AND(ISNUMBER(RU_Clean!AG36),ISNUMBER(RU_Clean!AG35)),(RU_Clean!AG36-RU_Clean!AG35)/RU_Clean!AG35*100,"")</f>
        <v>0.970873786407769</v>
      </c>
      <c r="AH36" s="12">
        <f>IF(AND(ISNUMBER(RU_Clean!AH36),ISNUMBER(RU_Clean!AH35)),(RU_Clean!AH36-RU_Clean!AH35)/RU_Clean!AH35*100,"")</f>
        <v>1.1248668796592</v>
      </c>
    </row>
    <row r="37" spans="1:34">
      <c r="A37" s="6">
        <f>RU_Clean!A37</f>
        <v>2015</v>
      </c>
      <c r="B37" s="6">
        <f>RU_Clean!B37</f>
        <v>9</v>
      </c>
      <c r="C37" s="6" t="str">
        <f>RU_Clean!C37</f>
        <v>September</v>
      </c>
      <c r="D37" s="9">
        <f>RU_Clean!D37</f>
        <v>42248</v>
      </c>
      <c r="E37" s="6"/>
      <c r="F37" s="6"/>
      <c r="G37" s="12">
        <f>IF(AND(ISNUMBER(RU_Clean!G37),ISNUMBER(RU_Clean!G36)),(RU_Clean!G37-RU_Clean!G36)/RU_Clean!G36*100,"")</f>
        <v>0.322061191626402</v>
      </c>
      <c r="H37" s="12">
        <f>IF(AND(ISNUMBER(RU_Clean!H37),ISNUMBER(RU_Clean!H36)),(RU_Clean!H37-RU_Clean!H36)/RU_Clean!H36*100,"")</f>
        <v>-0.76103500761035</v>
      </c>
      <c r="I37" s="12">
        <f>IF(AND(ISNUMBER(RU_Clean!I37),ISNUMBER(RU_Clean!I36)),(RU_Clean!I37-RU_Clean!I36)/RU_Clean!I36*100,"")</f>
        <v>-1.16569525395503</v>
      </c>
      <c r="J37" s="12">
        <f>IF(AND(ISNUMBER(RU_Clean!J37),ISNUMBER(RU_Clean!J36)),(RU_Clean!J37-RU_Clean!J36)/RU_Clean!J36*100,"")</f>
        <v>0.311284046692611</v>
      </c>
      <c r="K37" s="12">
        <f>IF(AND(ISNUMBER(RU_Clean!K37),ISNUMBER(RU_Clean!K36)),(RU_Clean!K37-RU_Clean!K36)/RU_Clean!K36*100,"")</f>
        <v>0.448833034111311</v>
      </c>
      <c r="L37" s="12">
        <f>IF(AND(ISNUMBER(RU_Clean!L37),ISNUMBER(RU_Clean!L36)),(RU_Clean!L37-RU_Clean!L36)/RU_Clean!L36*100,"")</f>
        <v>-2.94784580498867</v>
      </c>
      <c r="M37" s="12">
        <f>IF(AND(ISNUMBER(RU_Clean!M37),ISNUMBER(RU_Clean!M36)),(RU_Clean!M37-RU_Clean!M36)/RU_Clean!M36*100,"")</f>
        <v>2.91878172588832</v>
      </c>
      <c r="N37" s="12">
        <f>IF(AND(ISNUMBER(RU_Clean!N37),ISNUMBER(RU_Clean!N36)),(RU_Clean!N37-RU_Clean!N36)/RU_Clean!N36*100,"")</f>
        <v>4.16666666666667</v>
      </c>
      <c r="O37" s="12">
        <f>IF(AND(ISNUMBER(RU_Clean!O37),ISNUMBER(RU_Clean!O36)),(RU_Clean!O37-RU_Clean!O36)/RU_Clean!O36*100,"")</f>
        <v>-0.110497237569054</v>
      </c>
      <c r="P37" s="12">
        <f>IF(AND(ISNUMBER(RU_Clean!P37),ISNUMBER(RU_Clean!P36)),(RU_Clean!P37-RU_Clean!P36)/RU_Clean!P36*100,"")</f>
        <v>1.26182965299685</v>
      </c>
      <c r="Q37" s="12">
        <f>IF(AND(ISNUMBER(RU_Clean!Q37),ISNUMBER(RU_Clean!Q36)),(RU_Clean!Q37-RU_Clean!Q36)/RU_Clean!Q36*100,"")</f>
        <v>0.249169435215944</v>
      </c>
      <c r="R37" s="12">
        <f>IF(AND(ISNUMBER(RU_Clean!R37),ISNUMBER(RU_Clean!R36)),(RU_Clean!R37-RU_Clean!R36)/RU_Clean!R36*100,"")</f>
        <v>0.30280090840273</v>
      </c>
      <c r="S37" s="12">
        <f>IF(AND(ISNUMBER(RU_Clean!S37),ISNUMBER(RU_Clean!S36)),(RU_Clean!S37-RU_Clean!S36)/RU_Clean!S36*100,"")</f>
        <v>0.690713737528762</v>
      </c>
      <c r="T37" s="12">
        <f>IF(AND(ISNUMBER(RU_Clean!T37),ISNUMBER(RU_Clean!T36)),(RU_Clean!T37-RU_Clean!T36)/RU_Clean!T36*100,"")</f>
        <v>0.609756097560984</v>
      </c>
      <c r="U37" s="12">
        <f>IF(AND(ISNUMBER(RU_Clean!U37),ISNUMBER(RU_Clean!U36)),(RU_Clean!U37-RU_Clean!U36)/RU_Clean!U36*100,"")</f>
        <v>0.550314465408807</v>
      </c>
      <c r="V37" s="12">
        <f>IF(AND(ISNUMBER(RU_Clean!V37),ISNUMBER(RU_Clean!V36)),(RU_Clean!V37-RU_Clean!V36)/RU_Clean!V36*100,"")</f>
        <v>0.406834825061025</v>
      </c>
      <c r="W37" s="12">
        <f>IF(AND(ISNUMBER(RU_Clean!W37),ISNUMBER(RU_Clean!W36)),(RU_Clean!W37-RU_Clean!W36)/RU_Clean!W36*100,"")</f>
        <v>0.473933649289106</v>
      </c>
      <c r="X37" s="12">
        <f>IF(AND(ISNUMBER(RU_Clean!X37),ISNUMBER(RU_Clean!X36)),(RU_Clean!X37-RU_Clean!X36)/RU_Clean!X36*100,"")</f>
        <v>0.578990901571537</v>
      </c>
      <c r="Y37" s="12">
        <f>IF(AND(ISNUMBER(RU_Clean!Y37),ISNUMBER(RU_Clean!Y36)),(RU_Clean!Y37-RU_Clean!Y36)/RU_Clean!Y36*100,"")</f>
        <v>-0.165837479270306</v>
      </c>
      <c r="Z37" s="12">
        <f>IF(AND(ISNUMBER(RU_Clean!Z37),ISNUMBER(RU_Clean!Z36)),(RU_Clean!Z37-RU_Clean!Z36)/RU_Clean!Z36*100,"")</f>
        <v>0.49180327868852</v>
      </c>
      <c r="AA37" s="12">
        <f>IF(AND(ISNUMBER(RU_Clean!AA37),ISNUMBER(RU_Clean!AA36)),(RU_Clean!AA37-RU_Clean!AA36)/RU_Clean!AA36*100,"")</f>
        <v>0.335008375209373</v>
      </c>
      <c r="AB37" s="12">
        <f>IF(AND(ISNUMBER(RU_Clean!AB37),ISNUMBER(RU_Clean!AB36)),(RU_Clean!AB37-RU_Clean!AB36)/RU_Clean!AB36*100,"")</f>
        <v>-0.358102059086845</v>
      </c>
      <c r="AC37" s="12">
        <f>IF(AND(ISNUMBER(RU_Clean!AC37),ISNUMBER(RU_Clean!AC36)),(RU_Clean!AC37-RU_Clean!AC36)/RU_Clean!AC36*100,"")</f>
        <v>0.424448217317487</v>
      </c>
      <c r="AD37" s="12">
        <f>IF(AND(ISNUMBER(RU_Clean!AD37),ISNUMBER(RU_Clean!AD36)),(RU_Clean!AD37-RU_Clean!AD36)/RU_Clean!AD36*100,"")</f>
        <v>0.479616306954443</v>
      </c>
      <c r="AE37" s="12">
        <f>IF(AND(ISNUMBER(RU_Clean!AE37),ISNUMBER(RU_Clean!AE36)),(RU_Clean!AE37-RU_Clean!AE36)/RU_Clean!AE36*100,"")</f>
        <v>0.979519145146935</v>
      </c>
      <c r="AF37" s="12">
        <f>IF(AND(ISNUMBER(RU_Clean!AF37),ISNUMBER(RU_Clean!AF36)),(RU_Clean!AF37-RU_Clean!AF36)/RU_Clean!AF36*100,"")</f>
        <v>0.255972696245731</v>
      </c>
      <c r="AG37" s="12">
        <f>IF(AND(ISNUMBER(RU_Clean!AG37),ISNUMBER(RU_Clean!AG36)),(RU_Clean!AG37-RU_Clean!AG36)/RU_Clean!AG36*100,"")</f>
        <v>0.480769230769238</v>
      </c>
      <c r="AH37" s="12">
        <f>IF(AND(ISNUMBER(RU_Clean!AH37),ISNUMBER(RU_Clean!AH36)),(RU_Clean!AH37-RU_Clean!AH36)/RU_Clean!AH36*100,"")</f>
        <v>0.513394326334508</v>
      </c>
    </row>
    <row r="38" spans="1:34">
      <c r="A38" s="6">
        <f>RU_Clean!A38</f>
        <v>2015</v>
      </c>
      <c r="B38" s="6">
        <f>RU_Clean!B38</f>
        <v>10</v>
      </c>
      <c r="C38" s="6" t="str">
        <f>RU_Clean!C38</f>
        <v>October</v>
      </c>
      <c r="D38" s="9">
        <f>RU_Clean!D38</f>
        <v>42278</v>
      </c>
      <c r="E38" s="6"/>
      <c r="F38" s="6"/>
      <c r="G38" s="12">
        <f>IF(AND(ISNUMBER(RU_Clean!G38),ISNUMBER(RU_Clean!G37)),(RU_Clean!G38-RU_Clean!G37)/RU_Clean!G37*100,"")</f>
        <v>0.321027287319427</v>
      </c>
      <c r="H38" s="12">
        <f>IF(AND(ISNUMBER(RU_Clean!H38),ISNUMBER(RU_Clean!H37)),(RU_Clean!H38-RU_Clean!H37)/RU_Clean!H37*100,"")</f>
        <v>-0.460122699386499</v>
      </c>
      <c r="I38" s="12">
        <f>IF(AND(ISNUMBER(RU_Clean!I38),ISNUMBER(RU_Clean!I37)),(RU_Clean!I38-RU_Clean!I37)/RU_Clean!I37*100,"")</f>
        <v>0.168491996630162</v>
      </c>
      <c r="J38" s="12">
        <f>IF(AND(ISNUMBER(RU_Clean!J38),ISNUMBER(RU_Clean!J37)),(RU_Clean!J38-RU_Clean!J37)/RU_Clean!J37*100,"")</f>
        <v>0.155159038013955</v>
      </c>
      <c r="K38" s="12">
        <f>IF(AND(ISNUMBER(RU_Clean!K38),ISNUMBER(RU_Clean!K37)),(RU_Clean!K38-RU_Clean!K37)/RU_Clean!K37*100,"")</f>
        <v>1.25111706881143</v>
      </c>
      <c r="L38" s="12">
        <f>IF(AND(ISNUMBER(RU_Clean!L38),ISNUMBER(RU_Clean!L37)),(RU_Clean!L38-RU_Clean!L37)/RU_Clean!L37*100,"")</f>
        <v>0.467289719626164</v>
      </c>
      <c r="M38" s="12">
        <f>IF(AND(ISNUMBER(RU_Clean!M38),ISNUMBER(RU_Clean!M37)),(RU_Clean!M38-RU_Clean!M37)/RU_Clean!M37*100,"")</f>
        <v>-1.10974106041923</v>
      </c>
      <c r="N38" s="12">
        <f>IF(AND(ISNUMBER(RU_Clean!N38),ISNUMBER(RU_Clean!N37)),(RU_Clean!N38-RU_Clean!N37)/RU_Clean!N37*100,"")</f>
        <v>10.2</v>
      </c>
      <c r="O38" s="12">
        <f>IF(AND(ISNUMBER(RU_Clean!O38),ISNUMBER(RU_Clean!O37)),(RU_Clean!O38-RU_Clean!O37)/RU_Clean!O37*100,"")</f>
        <v>2.10176991150441</v>
      </c>
      <c r="P38" s="12">
        <f>IF(AND(ISNUMBER(RU_Clean!P38),ISNUMBER(RU_Clean!P37)),(RU_Clean!P38-RU_Clean!P37)/RU_Clean!P37*100,"")</f>
        <v>1.01246105919002</v>
      </c>
      <c r="Q38" s="12">
        <f>IF(AND(ISNUMBER(RU_Clean!Q38),ISNUMBER(RU_Clean!Q37)),(RU_Clean!Q38-RU_Clean!Q37)/RU_Clean!Q37*100,"")</f>
        <v>0.331400165700076</v>
      </c>
      <c r="R38" s="12">
        <f>IF(AND(ISNUMBER(RU_Clean!R38),ISNUMBER(RU_Clean!R37)),(RU_Clean!R38-RU_Clean!R37)/RU_Clean!R37*100,"")</f>
        <v>0.377358490566038</v>
      </c>
      <c r="S38" s="12">
        <f>IF(AND(ISNUMBER(RU_Clean!S38),ISNUMBER(RU_Clean!S37)),(RU_Clean!S38-RU_Clean!S37)/RU_Clean!S37*100,"")</f>
        <v>0.685975609756102</v>
      </c>
      <c r="T38" s="12">
        <f>IF(AND(ISNUMBER(RU_Clean!T38),ISNUMBER(RU_Clean!T37)),(RU_Clean!T38-RU_Clean!T37)/RU_Clean!T37*100,"")</f>
        <v>0.378787878787879</v>
      </c>
      <c r="U38" s="12">
        <f>IF(AND(ISNUMBER(RU_Clean!U38),ISNUMBER(RU_Clean!U37)),(RU_Clean!U38-RU_Clean!U37)/RU_Clean!U37*100,"")</f>
        <v>0.469116497263483</v>
      </c>
      <c r="V38" s="12">
        <f>IF(AND(ISNUMBER(RU_Clean!V38),ISNUMBER(RU_Clean!V37)),(RU_Clean!V38-RU_Clean!V37)/RU_Clean!V37*100,"")</f>
        <v>0.324149108589944</v>
      </c>
      <c r="W38" s="12">
        <f>IF(AND(ISNUMBER(RU_Clean!W38),ISNUMBER(RU_Clean!W37)),(RU_Clean!W38-RU_Clean!W37)/RU_Clean!W37*100,"")</f>
        <v>0.471698113207543</v>
      </c>
      <c r="X38" s="12">
        <f>IF(AND(ISNUMBER(RU_Clean!X38),ISNUMBER(RU_Clean!X37)),(RU_Clean!X38-RU_Clean!X37)/RU_Clean!X37*100,"")</f>
        <v>0.657894736842115</v>
      </c>
      <c r="Y38" s="12">
        <f>IF(AND(ISNUMBER(RU_Clean!Y38),ISNUMBER(RU_Clean!Y37)),(RU_Clean!Y38-RU_Clean!Y37)/RU_Clean!Y37*100,"")</f>
        <v>0.332225913621255</v>
      </c>
      <c r="Z38" s="12">
        <f>IF(AND(ISNUMBER(RU_Clean!Z38),ISNUMBER(RU_Clean!Z37)),(RU_Clean!Z38-RU_Clean!Z37)/RU_Clean!Z37*100,"")</f>
        <v>0.326264274061995</v>
      </c>
      <c r="AA38" s="12">
        <f>IF(AND(ISNUMBER(RU_Clean!AA38),ISNUMBER(RU_Clean!AA37)),(RU_Clean!AA38-RU_Clean!AA37)/RU_Clean!AA37*100,"")</f>
        <v>0.500834724540909</v>
      </c>
      <c r="AB38" s="12">
        <f>IF(AND(ISNUMBER(RU_Clean!AB38),ISNUMBER(RU_Clean!AB37)),(RU_Clean!AB38-RU_Clean!AB37)/RU_Clean!AB37*100,"")</f>
        <v>0.0898472596585881</v>
      </c>
      <c r="AC38" s="12">
        <f>IF(AND(ISNUMBER(RU_Clean!AC38),ISNUMBER(RU_Clean!AC37)),(RU_Clean!AC38-RU_Clean!AC37)/RU_Clean!AC37*100,"")</f>
        <v>0.338123415046497</v>
      </c>
      <c r="AD38" s="12">
        <f>IF(AND(ISNUMBER(RU_Clean!AD38),ISNUMBER(RU_Clean!AD37)),(RU_Clean!AD38-RU_Clean!AD37)/RU_Clean!AD37*100,"")</f>
        <v>0.159108989657918</v>
      </c>
      <c r="AE38" s="12">
        <f>IF(AND(ISNUMBER(RU_Clean!AE38),ISNUMBER(RU_Clean!AE37)),(RU_Clean!AE38-RU_Clean!AE37)/RU_Clean!AE37*100,"")</f>
        <v>0.440917107583774</v>
      </c>
      <c r="AF38" s="12">
        <f>IF(AND(ISNUMBER(RU_Clean!AF38),ISNUMBER(RU_Clean!AF37)),(RU_Clean!AF38-RU_Clean!AF37)/RU_Clean!AF37*100,"")</f>
        <v>0.340425531914898</v>
      </c>
      <c r="AG38" s="12">
        <f>IF(AND(ISNUMBER(RU_Clean!AG38),ISNUMBER(RU_Clean!AG37)),(RU_Clean!AG38-RU_Clean!AG37)/RU_Clean!AG37*100,"")</f>
        <v>0.558213716108444</v>
      </c>
      <c r="AH38" s="12">
        <f>IF(AND(ISNUMBER(RU_Clean!AH38),ISNUMBER(RU_Clean!AH37)),(RU_Clean!AH38-RU_Clean!AH37)/RU_Clean!AH37*100,"")</f>
        <v>1.2965752079104</v>
      </c>
    </row>
    <row r="39" spans="1:34">
      <c r="A39" s="6">
        <f>RU_Clean!A39</f>
        <v>2015</v>
      </c>
      <c r="B39" s="6">
        <f>RU_Clean!B39</f>
        <v>11</v>
      </c>
      <c r="C39" s="6" t="str">
        <f>RU_Clean!C39</f>
        <v>November</v>
      </c>
      <c r="D39" s="9">
        <f>RU_Clean!D39</f>
        <v>42309</v>
      </c>
      <c r="E39" s="6"/>
      <c r="F39" s="6"/>
      <c r="G39" s="12">
        <f>IF(AND(ISNUMBER(RU_Clean!G39),ISNUMBER(RU_Clean!G38)),(RU_Clean!G39-RU_Clean!G38)/RU_Clean!G38*100,"")</f>
        <v>0.320000000000005</v>
      </c>
      <c r="H39" s="12">
        <f>IF(AND(ISNUMBER(RU_Clean!H39),ISNUMBER(RU_Clean!H38)),(RU_Clean!H39-RU_Clean!H38)/RU_Clean!H38*100,"")</f>
        <v>0.385208012326656</v>
      </c>
      <c r="I39" s="12">
        <f>IF(AND(ISNUMBER(RU_Clean!I39),ISNUMBER(RU_Clean!I38)),(RU_Clean!I39-RU_Clean!I38)/RU_Clean!I38*100,"")</f>
        <v>2.27081581160638</v>
      </c>
      <c r="J39" s="12">
        <f>IF(AND(ISNUMBER(RU_Clean!J39),ISNUMBER(RU_Clean!J38)),(RU_Clean!J39-RU_Clean!J38)/RU_Clean!J38*100,"")</f>
        <v>0.0774593338497245</v>
      </c>
      <c r="K39" s="12">
        <f>IF(AND(ISNUMBER(RU_Clean!K39),ISNUMBER(RU_Clean!K38)),(RU_Clean!K39-RU_Clean!K38)/RU_Clean!K38*100,"")</f>
        <v>1.41218005295676</v>
      </c>
      <c r="L39" s="12">
        <f>IF(AND(ISNUMBER(RU_Clean!L39),ISNUMBER(RU_Clean!L38)),(RU_Clean!L39-RU_Clean!L38)/RU_Clean!L38*100,"")</f>
        <v>-0.620155038759699</v>
      </c>
      <c r="M39" s="12">
        <f>IF(AND(ISNUMBER(RU_Clean!M39),ISNUMBER(RU_Clean!M38)),(RU_Clean!M39-RU_Clean!M38)/RU_Clean!M38*100,"")</f>
        <v>-1.24688279301746</v>
      </c>
      <c r="N39" s="12">
        <f>IF(AND(ISNUMBER(RU_Clean!N39),ISNUMBER(RU_Clean!N38)),(RU_Clean!N39-RU_Clean!N38)/RU_Clean!N38*100,"")</f>
        <v>3.56926799758014</v>
      </c>
      <c r="O39" s="12">
        <f>IF(AND(ISNUMBER(RU_Clean!O39),ISNUMBER(RU_Clean!O38)),(RU_Clean!O39-RU_Clean!O38)/RU_Clean!O38*100,"")</f>
        <v>1.08342361863489</v>
      </c>
      <c r="P39" s="12">
        <f>IF(AND(ISNUMBER(RU_Clean!P39),ISNUMBER(RU_Clean!P38)),(RU_Clean!P39-RU_Clean!P38)/RU_Clean!P38*100,"")</f>
        <v>1.15651503469545</v>
      </c>
      <c r="Q39" s="12">
        <f>IF(AND(ISNUMBER(RU_Clean!Q39),ISNUMBER(RU_Clean!Q38)),(RU_Clean!Q39-RU_Clean!Q38)/RU_Clean!Q38*100,"")</f>
        <v>0.495458298926514</v>
      </c>
      <c r="R39" s="12">
        <f>IF(AND(ISNUMBER(RU_Clean!R39),ISNUMBER(RU_Clean!R38)),(RU_Clean!R39-RU_Clean!R38)/RU_Clean!R38*100,"")</f>
        <v>0.75187969924812</v>
      </c>
      <c r="S39" s="12">
        <f>IF(AND(ISNUMBER(RU_Clean!S39),ISNUMBER(RU_Clean!S38)),(RU_Clean!S39-RU_Clean!S38)/RU_Clean!S38*100,"")</f>
        <v>0.454201362604084</v>
      </c>
      <c r="T39" s="12">
        <f>IF(AND(ISNUMBER(RU_Clean!T39),ISNUMBER(RU_Clean!T38)),(RU_Clean!T39-RU_Clean!T38)/RU_Clean!T38*100,"")</f>
        <v>0.830188679245279</v>
      </c>
      <c r="U39" s="12">
        <f>IF(AND(ISNUMBER(RU_Clean!U39),ISNUMBER(RU_Clean!U38)),(RU_Clean!U39-RU_Clean!U38)/RU_Clean!U38*100,"")</f>
        <v>0.622568093385223</v>
      </c>
      <c r="V39" s="12">
        <f>IF(AND(ISNUMBER(RU_Clean!V39),ISNUMBER(RU_Clean!V38)),(RU_Clean!V39-RU_Clean!V38)/RU_Clean!V38*100,"")</f>
        <v>0.565428109854607</v>
      </c>
      <c r="W39" s="12">
        <f>IF(AND(ISNUMBER(RU_Clean!W39),ISNUMBER(RU_Clean!W38)),(RU_Clean!W39-RU_Clean!W38)/RU_Clean!W38*100,"")</f>
        <v>0.625978090766821</v>
      </c>
      <c r="X39" s="12">
        <f>IF(AND(ISNUMBER(RU_Clean!X39),ISNUMBER(RU_Clean!X38)),(RU_Clean!X39-RU_Clean!X38)/RU_Clean!X38*100,"")</f>
        <v>0.408496732026144</v>
      </c>
      <c r="Y39" s="12">
        <f>IF(AND(ISNUMBER(RU_Clean!Y39),ISNUMBER(RU_Clean!Y38)),(RU_Clean!Y39-RU_Clean!Y38)/RU_Clean!Y38*100,"")</f>
        <v>0.662251655629137</v>
      </c>
      <c r="Z39" s="12">
        <f>IF(AND(ISNUMBER(RU_Clean!Z39),ISNUMBER(RU_Clean!Z38)),(RU_Clean!Z39-RU_Clean!Z38)/RU_Clean!Z38*100,"")</f>
        <v>0.325203252032525</v>
      </c>
      <c r="AA39" s="12">
        <f>IF(AND(ISNUMBER(RU_Clean!AA39),ISNUMBER(RU_Clean!AA38)),(RU_Clean!AA39-RU_Clean!AA38)/RU_Clean!AA38*100,"")</f>
        <v>0.415282392026578</v>
      </c>
      <c r="AB39" s="12">
        <f>IF(AND(ISNUMBER(RU_Clean!AB39),ISNUMBER(RU_Clean!AB38)),(RU_Clean!AB39-RU_Clean!AB38)/RU_Clean!AB38*100,"")</f>
        <v>0.089766606822257</v>
      </c>
      <c r="AC39" s="12">
        <f>IF(AND(ISNUMBER(RU_Clean!AC39),ISNUMBER(RU_Clean!AC38)),(RU_Clean!AC39-RU_Clean!AC38)/RU_Clean!AC38*100,"")</f>
        <v>0.4212299915754</v>
      </c>
      <c r="AD39" s="12">
        <f>IF(AND(ISNUMBER(RU_Clean!AD39),ISNUMBER(RU_Clean!AD38)),(RU_Clean!AD39-RU_Clean!AD38)/RU_Clean!AD38*100,"")</f>
        <v>0.317712470214449</v>
      </c>
      <c r="AE39" s="12">
        <f>IF(AND(ISNUMBER(RU_Clean!AE39),ISNUMBER(RU_Clean!AE38)),(RU_Clean!AE39-RU_Clean!AE38)/RU_Clean!AE38*100,"")</f>
        <v>-0.0877963125548802</v>
      </c>
      <c r="AF39" s="12">
        <f>IF(AND(ISNUMBER(RU_Clean!AF39),ISNUMBER(RU_Clean!AF38)),(RU_Clean!AF39-RU_Clean!AF38)/RU_Clean!AF38*100,"")</f>
        <v>0.169635284139091</v>
      </c>
      <c r="AG39" s="12">
        <f>IF(AND(ISNUMBER(RU_Clean!AG39),ISNUMBER(RU_Clean!AG38)),(RU_Clean!AG39-RU_Clean!AG38)/RU_Clean!AG38*100,"")</f>
        <v>0.396510705789056</v>
      </c>
      <c r="AH39" s="12">
        <f>IF(AND(ISNUMBER(RU_Clean!AH39),ISNUMBER(RU_Clean!AH38)),(RU_Clean!AH39-RU_Clean!AH38)/RU_Clean!AH38*100,"")</f>
        <v>0.808067748400026</v>
      </c>
    </row>
    <row r="40" spans="1:34">
      <c r="A40" s="6">
        <f>RU_Clean!A40</f>
        <v>2015</v>
      </c>
      <c r="B40" s="6">
        <f>RU_Clean!B40</f>
        <v>12</v>
      </c>
      <c r="C40" s="6" t="str">
        <f>RU_Clean!C40</f>
        <v>December</v>
      </c>
      <c r="D40" s="9">
        <f>RU_Clean!D40</f>
        <v>42339</v>
      </c>
      <c r="E40" s="6"/>
      <c r="F40" s="6"/>
      <c r="G40" s="12">
        <f>IF(AND(ISNUMBER(RU_Clean!G40),ISNUMBER(RU_Clean!G39)),(RU_Clean!G40-RU_Clean!G39)/RU_Clean!G39*100,"")</f>
        <v>0.239234449760763</v>
      </c>
      <c r="H40" s="12">
        <f>IF(AND(ISNUMBER(RU_Clean!H40),ISNUMBER(RU_Clean!H39)),(RU_Clean!H40-RU_Clean!H39)/RU_Clean!H39*100,"")</f>
        <v>0.844205679201837</v>
      </c>
      <c r="I40" s="12">
        <f>IF(AND(ISNUMBER(RU_Clean!I40),ISNUMBER(RU_Clean!I39)),(RU_Clean!I40-RU_Clean!I39)/RU_Clean!I39*100,"")</f>
        <v>2.63157894736842</v>
      </c>
      <c r="J40" s="12">
        <f>IF(AND(ISNUMBER(RU_Clean!J40),ISNUMBER(RU_Clean!J39)),(RU_Clean!J40-RU_Clean!J39)/RU_Clean!J39*100,"")</f>
        <v>0.15479876160992</v>
      </c>
      <c r="K40" s="12">
        <f>IF(AND(ISNUMBER(RU_Clean!K40),ISNUMBER(RU_Clean!K39)),(RU_Clean!K40-RU_Clean!K39)/RU_Clean!K39*100,"")</f>
        <v>0.348128807658826</v>
      </c>
      <c r="L40" s="12">
        <f>IF(AND(ISNUMBER(RU_Clean!L40),ISNUMBER(RU_Clean!L39)),(RU_Clean!L40-RU_Clean!L39)/RU_Clean!L39*100,"")</f>
        <v>-1.24804992199688</v>
      </c>
      <c r="M40" s="12">
        <f>IF(AND(ISNUMBER(RU_Clean!M40),ISNUMBER(RU_Clean!M39)),(RU_Clean!M40-RU_Clean!M39)/RU_Clean!M39*100,"")</f>
        <v>-7.38636363636365</v>
      </c>
      <c r="N40" s="12">
        <f>IF(AND(ISNUMBER(RU_Clean!N40),ISNUMBER(RU_Clean!N39)),(RU_Clean!N40-RU_Clean!N39)/RU_Clean!N39*100,"")</f>
        <v>0.17523364485982</v>
      </c>
      <c r="O40" s="12">
        <f>IF(AND(ISNUMBER(RU_Clean!O40),ISNUMBER(RU_Clean!O39)),(RU_Clean!O40-RU_Clean!O39)/RU_Clean!O39*100,"")</f>
        <v>1.28617363344052</v>
      </c>
      <c r="P40" s="12">
        <f>IF(AND(ISNUMBER(RU_Clean!P40),ISNUMBER(RU_Clean!P39)),(RU_Clean!P40-RU_Clean!P39)/RU_Clean!P39*100,"")</f>
        <v>0.685975609756102</v>
      </c>
      <c r="Q40" s="12">
        <f>IF(AND(ISNUMBER(RU_Clean!Q40),ISNUMBER(RU_Clean!Q39)),(RU_Clean!Q40-RU_Clean!Q39)/RU_Clean!Q39*100,"")</f>
        <v>0.246507806080524</v>
      </c>
      <c r="R40" s="12">
        <f>IF(AND(ISNUMBER(RU_Clean!R40),ISNUMBER(RU_Clean!R39)),(RU_Clean!R40-RU_Clean!R39)/RU_Clean!R39*100,"")</f>
        <v>0.522388059701484</v>
      </c>
      <c r="S40" s="12">
        <f>IF(AND(ISNUMBER(RU_Clean!S40),ISNUMBER(RU_Clean!S39)),(RU_Clean!S40-RU_Clean!S39)/RU_Clean!S39*100,"")</f>
        <v>-0.979653353428774</v>
      </c>
      <c r="T40" s="12">
        <f>IF(AND(ISNUMBER(RU_Clean!T40),ISNUMBER(RU_Clean!T39)),(RU_Clean!T40-RU_Clean!T39)/RU_Clean!T39*100,"")</f>
        <v>0.673652694610783</v>
      </c>
      <c r="U40" s="12">
        <f>IF(AND(ISNUMBER(RU_Clean!U40),ISNUMBER(RU_Clean!U39)),(RU_Clean!U40-RU_Clean!U39)/RU_Clean!U39*100,"")</f>
        <v>0.309358081979874</v>
      </c>
      <c r="V40" s="12">
        <f>IF(AND(ISNUMBER(RU_Clean!V40),ISNUMBER(RU_Clean!V39)),(RU_Clean!V40-RU_Clean!V39)/RU_Clean!V39*100,"")</f>
        <v>0.240963855421684</v>
      </c>
      <c r="W40" s="12">
        <f>IF(AND(ISNUMBER(RU_Clean!W40),ISNUMBER(RU_Clean!W39)),(RU_Clean!W40-RU_Clean!W39)/RU_Clean!W39*100,"")</f>
        <v>0.311041990668745</v>
      </c>
      <c r="X40" s="12">
        <f>IF(AND(ISNUMBER(RU_Clean!X40),ISNUMBER(RU_Clean!X39)),(RU_Clean!X40-RU_Clean!X39)/RU_Clean!X39*100,"")</f>
        <v>-0.406834825061025</v>
      </c>
      <c r="Y40" s="12">
        <f>IF(AND(ISNUMBER(RU_Clean!Y40),ISNUMBER(RU_Clean!Y39)),(RU_Clean!Y40-RU_Clean!Y39)/RU_Clean!Y39*100,"")</f>
        <v>0.328947368421057</v>
      </c>
      <c r="Z40" s="12">
        <f>IF(AND(ISNUMBER(RU_Clean!Z40),ISNUMBER(RU_Clean!Z39)),(RU_Clean!Z40-RU_Clean!Z39)/RU_Clean!Z39*100,"")</f>
        <v>0.162074554294966</v>
      </c>
      <c r="AA40" s="12">
        <f>IF(AND(ISNUMBER(RU_Clean!AA40),ISNUMBER(RU_Clean!AA39)),(RU_Clean!AA40-RU_Clean!AA39)/RU_Clean!AA39*100,"")</f>
        <v>0.413564929693962</v>
      </c>
      <c r="AB40" s="12">
        <f>IF(AND(ISNUMBER(RU_Clean!AB40),ISNUMBER(RU_Clean!AB39)),(RU_Clean!AB40-RU_Clean!AB39)/RU_Clean!AB39*100,"")</f>
        <v>0</v>
      </c>
      <c r="AC40" s="12">
        <f>IF(AND(ISNUMBER(RU_Clean!AC40),ISNUMBER(RU_Clean!AC39)),(RU_Clean!AC40-RU_Clean!AC39)/RU_Clean!AC39*100,"")</f>
        <v>0.335570469798651</v>
      </c>
      <c r="AD40" s="12">
        <f>IF(AND(ISNUMBER(RU_Clean!AD40),ISNUMBER(RU_Clean!AD39)),(RU_Clean!AD40-RU_Clean!AD39)/RU_Clean!AD39*100,"")</f>
        <v>-0.0791765637371293</v>
      </c>
      <c r="AE40" s="12">
        <f>IF(AND(ISNUMBER(RU_Clean!AE40),ISNUMBER(RU_Clean!AE39)),(RU_Clean!AE40-RU_Clean!AE39)/RU_Clean!AE39*100,"")</f>
        <v>-0.0878734622144063</v>
      </c>
      <c r="AF40" s="12">
        <f>IF(AND(ISNUMBER(RU_Clean!AF40),ISNUMBER(RU_Clean!AF39)),(RU_Clean!AF40-RU_Clean!AF39)/RU_Clean!AF39*100,"")</f>
        <v>0.169348010160883</v>
      </c>
      <c r="AG40" s="12">
        <f>IF(AND(ISNUMBER(RU_Clean!AG40),ISNUMBER(RU_Clean!AG39)),(RU_Clean!AG40-RU_Clean!AG39)/RU_Clean!AG39*100,"")</f>
        <v>-0.394944707740916</v>
      </c>
      <c r="AH40" s="12">
        <f>IF(AND(ISNUMBER(RU_Clean!AH40),ISNUMBER(RU_Clean!AH39)),(RU_Clean!AH40-RU_Clean!AH39)/RU_Clean!AH39*100,"")</f>
        <v>-0.30139797357957</v>
      </c>
    </row>
    <row r="41" spans="1:34">
      <c r="A41" s="6">
        <f>RU_Clean!A41</f>
        <v>2016</v>
      </c>
      <c r="B41" s="6">
        <f>RU_Clean!B41</f>
        <v>1</v>
      </c>
      <c r="C41" s="6" t="str">
        <f>RU_Clean!C41</f>
        <v>January</v>
      </c>
      <c r="D41" s="9">
        <f>RU_Clean!D41</f>
        <v>42370</v>
      </c>
      <c r="E41" s="6"/>
      <c r="F41" s="6"/>
      <c r="G41" s="12">
        <f>IF(AND(ISNUMBER(RU_Clean!G41),ISNUMBER(RU_Clean!G40)),(RU_Clean!G41-RU_Clean!G40)/RU_Clean!G40*100,"")</f>
        <v>0.318217979315825</v>
      </c>
      <c r="H41" s="12">
        <f>IF(AND(ISNUMBER(RU_Clean!H41),ISNUMBER(RU_Clean!H40)),(RU_Clean!H41-RU_Clean!H40)/RU_Clean!H40*100,"")</f>
        <v>2.05479452054794</v>
      </c>
      <c r="I41" s="12">
        <f>IF(AND(ISNUMBER(RU_Clean!I41),ISNUMBER(RU_Clean!I40)),(RU_Clean!I41-RU_Clean!I40)/RU_Clean!I40*100,"")</f>
        <v>3.04487179487179</v>
      </c>
      <c r="J41" s="12">
        <f>IF(AND(ISNUMBER(RU_Clean!J41),ISNUMBER(RU_Clean!J40)),(RU_Clean!J41-RU_Clean!J40)/RU_Clean!J40*100,"")</f>
        <v>0.386398763523957</v>
      </c>
      <c r="K41" s="12">
        <f>IF(AND(ISNUMBER(RU_Clean!K41),ISNUMBER(RU_Clean!K40)),(RU_Clean!K41-RU_Clean!K40)/RU_Clean!K40*100,"")</f>
        <v>0.173460537727669</v>
      </c>
      <c r="L41" s="12">
        <f>IF(AND(ISNUMBER(RU_Clean!L41),ISNUMBER(RU_Clean!L40)),(RU_Clean!L41-RU_Clean!L40)/RU_Clean!L40*100,"")</f>
        <v>-0.710900473933643</v>
      </c>
      <c r="M41" s="12">
        <f>IF(AND(ISNUMBER(RU_Clean!M41),ISNUMBER(RU_Clean!M40)),(RU_Clean!M41-RU_Clean!M40)/RU_Clean!M40*100,"")</f>
        <v>-3.54464894342194</v>
      </c>
      <c r="N41" s="12">
        <f>IF(AND(ISNUMBER(RU_Clean!N41),ISNUMBER(RU_Clean!N40)),(RU_Clean!N41-RU_Clean!N40)/RU_Clean!N40*100,"")</f>
        <v>-0.466472303207004</v>
      </c>
      <c r="O41" s="12">
        <f>IF(AND(ISNUMBER(RU_Clean!O41),ISNUMBER(RU_Clean!O40)),(RU_Clean!O41-RU_Clean!O40)/RU_Clean!O40*100,"")</f>
        <v>3.06878306878307</v>
      </c>
      <c r="P41" s="12">
        <f>IF(AND(ISNUMBER(RU_Clean!P41),ISNUMBER(RU_Clean!P40)),(RU_Clean!P41-RU_Clean!P40)/RU_Clean!P40*100,"")</f>
        <v>0.605601816805459</v>
      </c>
      <c r="Q41" s="12">
        <f>IF(AND(ISNUMBER(RU_Clean!Q41),ISNUMBER(RU_Clean!Q40)),(RU_Clean!Q41-RU_Clean!Q40)/RU_Clean!Q40*100,"")</f>
        <v>0.573770491803281</v>
      </c>
      <c r="R41" s="12">
        <f>IF(AND(ISNUMBER(RU_Clean!R41),ISNUMBER(RU_Clean!R40)),(RU_Clean!R41-RU_Clean!R40)/RU_Clean!R40*100,"")</f>
        <v>0.445434298440997</v>
      </c>
      <c r="S41" s="12">
        <f>IF(AND(ISNUMBER(RU_Clean!S41),ISNUMBER(RU_Clean!S40)),(RU_Clean!S41-RU_Clean!S40)/RU_Clean!S40*100,"")</f>
        <v>-0.0761035007610307</v>
      </c>
      <c r="T41" s="12">
        <f>IF(AND(ISNUMBER(RU_Clean!T41),ISNUMBER(RU_Clean!T40)),(RU_Clean!T41-RU_Clean!T40)/RU_Clean!T40*100,"")</f>
        <v>0.520446096654267</v>
      </c>
      <c r="U41" s="12">
        <f>IF(AND(ISNUMBER(RU_Clean!U41),ISNUMBER(RU_Clean!U40)),(RU_Clean!U41-RU_Clean!U40)/RU_Clean!U40*100,"")</f>
        <v>0.462606013878198</v>
      </c>
      <c r="V41" s="12">
        <f>IF(AND(ISNUMBER(RU_Clean!V41),ISNUMBER(RU_Clean!V40)),(RU_Clean!V41-RU_Clean!V40)/RU_Clean!V40*100,"")</f>
        <v>0.240384615384613</v>
      </c>
      <c r="W41" s="12">
        <f>IF(AND(ISNUMBER(RU_Clean!W41),ISNUMBER(RU_Clean!W40)),(RU_Clean!W41-RU_Clean!W40)/RU_Clean!W40*100,"")</f>
        <v>0.387596899224806</v>
      </c>
      <c r="X41" s="12">
        <f>IF(AND(ISNUMBER(RU_Clean!X41),ISNUMBER(RU_Clean!X40)),(RU_Clean!X41-RU_Clean!X40)/RU_Clean!X40*100,"")</f>
        <v>0.816993464052288</v>
      </c>
      <c r="Y41" s="12">
        <f>IF(AND(ISNUMBER(RU_Clean!Y41),ISNUMBER(RU_Clean!Y40)),(RU_Clean!Y41-RU_Clean!Y40)/RU_Clean!Y40*100,"")</f>
        <v>0.573770491803281</v>
      </c>
      <c r="Z41" s="12">
        <f>IF(AND(ISNUMBER(RU_Clean!Z41),ISNUMBER(RU_Clean!Z40)),(RU_Clean!Z41-RU_Clean!Z40)/RU_Clean!Z40*100,"")</f>
        <v>0.48543689320389</v>
      </c>
      <c r="AA41" s="12">
        <f>IF(AND(ISNUMBER(RU_Clean!AA41),ISNUMBER(RU_Clean!AA40)),(RU_Clean!AA41-RU_Clean!AA40)/RU_Clean!AA40*100,"")</f>
        <v>0.49423393739703</v>
      </c>
      <c r="AB41" s="12">
        <f>IF(AND(ISNUMBER(RU_Clean!AB41),ISNUMBER(RU_Clean!AB40)),(RU_Clean!AB41-RU_Clean!AB40)/RU_Clean!AB40*100,"")</f>
        <v>-0.358744394618839</v>
      </c>
      <c r="AC41" s="12">
        <f>IF(AND(ISNUMBER(RU_Clean!AC41),ISNUMBER(RU_Clean!AC40)),(RU_Clean!AC41-RU_Clean!AC40)/RU_Clean!AC40*100,"")</f>
        <v>0.167224080267561</v>
      </c>
      <c r="AD41" s="12">
        <f>IF(AND(ISNUMBER(RU_Clean!AD41),ISNUMBER(RU_Clean!AD40)),(RU_Clean!AD41-RU_Clean!AD40)/RU_Clean!AD40*100,"")</f>
        <v>0.0792393026941318</v>
      </c>
      <c r="AE41" s="12">
        <f>IF(AND(ISNUMBER(RU_Clean!AE41),ISNUMBER(RU_Clean!AE40)),(RU_Clean!AE41-RU_Clean!AE40)/RU_Clean!AE40*100,"")</f>
        <v>0.703605980650833</v>
      </c>
      <c r="AF41" s="12">
        <f>IF(AND(ISNUMBER(RU_Clean!AF41),ISNUMBER(RU_Clean!AF40)),(RU_Clean!AF41-RU_Clean!AF40)/RU_Clean!AF40*100,"")</f>
        <v>0.169061707523248</v>
      </c>
      <c r="AG41" s="12">
        <f>IF(AND(ISNUMBER(RU_Clean!AG41),ISNUMBER(RU_Clean!AG40)),(RU_Clean!AG41-RU_Clean!AG40)/RU_Clean!AG40*100,"")</f>
        <v>0.158604282315625</v>
      </c>
      <c r="AH41" s="12">
        <f>IF(AND(ISNUMBER(RU_Clean!AH41),ISNUMBER(RU_Clean!AH40)),(RU_Clean!AH41-RU_Clean!AH40)/RU_Clean!AH40*100,"")</f>
        <v>0.366630218048501</v>
      </c>
    </row>
    <row r="42" spans="1:34">
      <c r="A42" s="6">
        <f>RU_Clean!A42</f>
        <v>2016</v>
      </c>
      <c r="B42" s="6">
        <f>RU_Clean!B42</f>
        <v>2</v>
      </c>
      <c r="C42" s="6" t="str">
        <f>RU_Clean!C42</f>
        <v>February</v>
      </c>
      <c r="D42" s="9">
        <f>RU_Clean!D42</f>
        <v>42401</v>
      </c>
      <c r="E42" s="6"/>
      <c r="F42" s="6"/>
      <c r="G42" s="12">
        <f>IF(AND(ISNUMBER(RU_Clean!G42),ISNUMBER(RU_Clean!G41)),(RU_Clean!G42-RU_Clean!G41)/RU_Clean!G41*100,"")</f>
        <v>0.237906423473443</v>
      </c>
      <c r="H42" s="12">
        <f>IF(AND(ISNUMBER(RU_Clean!H42),ISNUMBER(RU_Clean!H41)),(RU_Clean!H42-RU_Clean!H41)/RU_Clean!H41*100,"")</f>
        <v>0.0745712155108086</v>
      </c>
      <c r="I42" s="12">
        <f>IF(AND(ISNUMBER(RU_Clean!I42),ISNUMBER(RU_Clean!I41)),(RU_Clean!I42-RU_Clean!I41)/RU_Clean!I41*100,"")</f>
        <v>0.0777604976671807</v>
      </c>
      <c r="J42" s="12">
        <f>IF(AND(ISNUMBER(RU_Clean!J42),ISNUMBER(RU_Clean!J41)),(RU_Clean!J42-RU_Clean!J41)/RU_Clean!J41*100,"")</f>
        <v>0.307929176289458</v>
      </c>
      <c r="K42" s="12">
        <f>IF(AND(ISNUMBER(RU_Clean!K42),ISNUMBER(RU_Clean!K41)),(RU_Clean!K42-RU_Clean!K41)/RU_Clean!K41*100,"")</f>
        <v>-0.606060606060609</v>
      </c>
      <c r="L42" s="12">
        <f>IF(AND(ISNUMBER(RU_Clean!L42),ISNUMBER(RU_Clean!L41)),(RU_Clean!L42-RU_Clean!L41)/RU_Clean!L41*100,"")</f>
        <v>-0.63643595863166</v>
      </c>
      <c r="M42" s="12">
        <f>IF(AND(ISNUMBER(RU_Clean!M42),ISNUMBER(RU_Clean!M41)),(RU_Clean!M42-RU_Clean!M41)/RU_Clean!M41*100,"")</f>
        <v>-7.91519434628974</v>
      </c>
      <c r="N42" s="12">
        <f>IF(AND(ISNUMBER(RU_Clean!N42),ISNUMBER(RU_Clean!N41)),(RU_Clean!N42-RU_Clean!N41)/RU_Clean!N41*100,"")</f>
        <v>-1.93321616871704</v>
      </c>
      <c r="O42" s="12">
        <f>IF(AND(ISNUMBER(RU_Clean!O42),ISNUMBER(RU_Clean!O41)),(RU_Clean!O42-RU_Clean!O41)/RU_Clean!O41*100,"")</f>
        <v>1.43737166324434</v>
      </c>
      <c r="P42" s="12">
        <f>IF(AND(ISNUMBER(RU_Clean!P42),ISNUMBER(RU_Clean!P41)),(RU_Clean!P42-RU_Clean!P41)/RU_Clean!P41*100,"")</f>
        <v>0.52671181339352</v>
      </c>
      <c r="Q42" s="12">
        <f>IF(AND(ISNUMBER(RU_Clean!Q42),ISNUMBER(RU_Clean!Q41)),(RU_Clean!Q42-RU_Clean!Q41)/RU_Clean!Q41*100,"")</f>
        <v>0.24449877750611</v>
      </c>
      <c r="R42" s="12">
        <f>IF(AND(ISNUMBER(RU_Clean!R42),ISNUMBER(RU_Clean!R41)),(RU_Clean!R42-RU_Clean!R41)/RU_Clean!R41*100,"")</f>
        <v>0.369549150036955</v>
      </c>
      <c r="S42" s="12">
        <f>IF(AND(ISNUMBER(RU_Clean!S42),ISNUMBER(RU_Clean!S41)),(RU_Clean!S42-RU_Clean!S41)/RU_Clean!S41*100,"")</f>
        <v>-1.06626047220107</v>
      </c>
      <c r="T42" s="12">
        <f>IF(AND(ISNUMBER(RU_Clean!T42),ISNUMBER(RU_Clean!T41)),(RU_Clean!T42-RU_Clean!T41)/RU_Clean!T41*100,"")</f>
        <v>0.517751479289953</v>
      </c>
      <c r="U42" s="12">
        <f>IF(AND(ISNUMBER(RU_Clean!U42),ISNUMBER(RU_Clean!U41)),(RU_Clean!U42-RU_Clean!U41)/RU_Clean!U41*100,"")</f>
        <v>0.460475825019182</v>
      </c>
      <c r="V42" s="12">
        <f>IF(AND(ISNUMBER(RU_Clean!V42),ISNUMBER(RU_Clean!V41)),(RU_Clean!V42-RU_Clean!V41)/RU_Clean!V41*100,"")</f>
        <v>0.559552358113511</v>
      </c>
      <c r="W42" s="12">
        <f>IF(AND(ISNUMBER(RU_Clean!W42),ISNUMBER(RU_Clean!W41)),(RU_Clean!W42-RU_Clean!W41)/RU_Clean!W41*100,"")</f>
        <v>0.540540540540532</v>
      </c>
      <c r="X42" s="12">
        <f>IF(AND(ISNUMBER(RU_Clean!X42),ISNUMBER(RU_Clean!X41)),(RU_Clean!X42-RU_Clean!X41)/RU_Clean!X41*100,"")</f>
        <v>0.810372771474878</v>
      </c>
      <c r="Y42" s="12">
        <f>IF(AND(ISNUMBER(RU_Clean!Y42),ISNUMBER(RU_Clean!Y41)),(RU_Clean!Y42-RU_Clean!Y41)/RU_Clean!Y41*100,"")</f>
        <v>0.325998370008143</v>
      </c>
      <c r="Z42" s="12">
        <f>IF(AND(ISNUMBER(RU_Clean!Z42),ISNUMBER(RU_Clean!Z41)),(RU_Clean!Z42-RU_Clean!Z41)/RU_Clean!Z41*100,"")</f>
        <v>0.322061191626402</v>
      </c>
      <c r="AA42" s="12">
        <f>IF(AND(ISNUMBER(RU_Clean!AA42),ISNUMBER(RU_Clean!AA41)),(RU_Clean!AA42-RU_Clean!AA41)/RU_Clean!AA41*100,"")</f>
        <v>0.409836065573771</v>
      </c>
      <c r="AB42" s="12">
        <f>IF(AND(ISNUMBER(RU_Clean!AB42),ISNUMBER(RU_Clean!AB41)),(RU_Clean!AB42-RU_Clean!AB41)/RU_Clean!AB41*100,"")</f>
        <v>0.27002700270028</v>
      </c>
      <c r="AC42" s="12">
        <f>IF(AND(ISNUMBER(RU_Clean!AC42),ISNUMBER(RU_Clean!AC41)),(RU_Clean!AC42-RU_Clean!AC41)/RU_Clean!AC41*100,"")</f>
        <v>0.417362270450751</v>
      </c>
      <c r="AD42" s="12">
        <f>IF(AND(ISNUMBER(RU_Clean!AD42),ISNUMBER(RU_Clean!AD41)),(RU_Clean!AD42-RU_Clean!AD41)/RU_Clean!AD41*100,"")</f>
        <v>0.237529691211399</v>
      </c>
      <c r="AE42" s="12">
        <f>IF(AND(ISNUMBER(RU_Clean!AE42),ISNUMBER(RU_Clean!AE41)),(RU_Clean!AE42-RU_Clean!AE41)/RU_Clean!AE41*100,"")</f>
        <v>1.83406113537117</v>
      </c>
      <c r="AF42" s="12">
        <f>IF(AND(ISNUMBER(RU_Clean!AF42),ISNUMBER(RU_Clean!AF41)),(RU_Clean!AF42-RU_Clean!AF41)/RU_Clean!AF41*100,"")</f>
        <v>0.506329113924046</v>
      </c>
      <c r="AG42" s="12">
        <f>IF(AND(ISNUMBER(RU_Clean!AG42),ISNUMBER(RU_Clean!AG41)),(RU_Clean!AG42-RU_Clean!AG41)/RU_Clean!AG41*100,"")</f>
        <v>-0.237529691211399</v>
      </c>
      <c r="AH42" s="12">
        <f>IF(AND(ISNUMBER(RU_Clean!AH42),ISNUMBER(RU_Clean!AH41)),(RU_Clean!AH42-RU_Clean!AH41)/RU_Clean!AH41*100,"")</f>
        <v>-0.781850807485278</v>
      </c>
    </row>
    <row r="43" spans="1:34">
      <c r="A43" s="6">
        <f>RU_Clean!A43</f>
        <v>2016</v>
      </c>
      <c r="B43" s="6">
        <f>RU_Clean!B43</f>
        <v>3</v>
      </c>
      <c r="C43" s="6" t="str">
        <f>RU_Clean!C43</f>
        <v>March</v>
      </c>
      <c r="D43" s="9">
        <f>RU_Clean!D43</f>
        <v>42430</v>
      </c>
      <c r="E43" s="6"/>
      <c r="F43" s="6"/>
      <c r="G43" s="12">
        <f>IF(AND(ISNUMBER(RU_Clean!G43),ISNUMBER(RU_Clean!G42)),(RU_Clean!G43-RU_Clean!G42)/RU_Clean!G42*100,"")</f>
        <v>0.0791139240506284</v>
      </c>
      <c r="H43" s="12">
        <f>IF(AND(ISNUMBER(RU_Clean!H43),ISNUMBER(RU_Clean!H42)),(RU_Clean!H43-RU_Clean!H42)/RU_Clean!H42*100,"")</f>
        <v>0.670640834575265</v>
      </c>
      <c r="I43" s="12">
        <f>IF(AND(ISNUMBER(RU_Clean!I43),ISNUMBER(RU_Clean!I42)),(RU_Clean!I43-RU_Clean!I42)/RU_Clean!I42*100,"")</f>
        <v>-3.18570318570318</v>
      </c>
      <c r="J43" s="12">
        <f>IF(AND(ISNUMBER(RU_Clean!J43),ISNUMBER(RU_Clean!J42)),(RU_Clean!J43-RU_Clean!J42)/RU_Clean!J42*100,"")</f>
        <v>-0.0767459708365485</v>
      </c>
      <c r="K43" s="12">
        <f>IF(AND(ISNUMBER(RU_Clean!K43),ISNUMBER(RU_Clean!K42)),(RU_Clean!K43-RU_Clean!K42)/RU_Clean!K42*100,"")</f>
        <v>-0.261324041811844</v>
      </c>
      <c r="L43" s="12">
        <f>IF(AND(ISNUMBER(RU_Clean!L43),ISNUMBER(RU_Clean!L42)),(RU_Clean!L43-RU_Clean!L42)/RU_Clean!L42*100,"")</f>
        <v>1.0408326661329</v>
      </c>
      <c r="M43" s="12">
        <f>IF(AND(ISNUMBER(RU_Clean!M43),ISNUMBER(RU_Clean!M42)),(RU_Clean!M43-RU_Clean!M42)/RU_Clean!M42*100,"")</f>
        <v>-0.383729854182655</v>
      </c>
      <c r="N43" s="12">
        <f>IF(AND(ISNUMBER(RU_Clean!N43),ISNUMBER(RU_Clean!N42)),(RU_Clean!N43-RU_Clean!N42)/RU_Clean!N42*100,"")</f>
        <v>-1.85185185185185</v>
      </c>
      <c r="O43" s="12">
        <f>IF(AND(ISNUMBER(RU_Clean!O43),ISNUMBER(RU_Clean!O42)),(RU_Clean!O43-RU_Clean!O42)/RU_Clean!O42*100,"")</f>
        <v>2.1255060728745</v>
      </c>
      <c r="P43" s="12">
        <f>IF(AND(ISNUMBER(RU_Clean!P43),ISNUMBER(RU_Clean!P42)),(RU_Clean!P43-RU_Clean!P42)/RU_Clean!P42*100,"")</f>
        <v>0.224550898203601</v>
      </c>
      <c r="Q43" s="12">
        <f>IF(AND(ISNUMBER(RU_Clean!Q43),ISNUMBER(RU_Clean!Q42)),(RU_Clean!Q43-RU_Clean!Q42)/RU_Clean!Q42*100,"")</f>
        <v>0.0813008130081255</v>
      </c>
      <c r="R43" s="12">
        <f>IF(AND(ISNUMBER(RU_Clean!R43),ISNUMBER(RU_Clean!R42)),(RU_Clean!R43-RU_Clean!R42)/RU_Clean!R42*100,"")</f>
        <v>0.368188512518409</v>
      </c>
      <c r="S43" s="12">
        <f>IF(AND(ISNUMBER(RU_Clean!S43),ISNUMBER(RU_Clean!S42)),(RU_Clean!S43-RU_Clean!S42)/RU_Clean!S42*100,"")</f>
        <v>-0.076982294072359</v>
      </c>
      <c r="T43" s="12">
        <f>IF(AND(ISNUMBER(RU_Clean!T43),ISNUMBER(RU_Clean!T42)),(RU_Clean!T43-RU_Clean!T42)/RU_Clean!T42*100,"")</f>
        <v>0.441501103752755</v>
      </c>
      <c r="U43" s="12">
        <f>IF(AND(ISNUMBER(RU_Clean!U43),ISNUMBER(RU_Clean!U42)),(RU_Clean!U43-RU_Clean!U42)/RU_Clean!U42*100,"")</f>
        <v>0.305576776165016</v>
      </c>
      <c r="V43" s="12">
        <f>IF(AND(ISNUMBER(RU_Clean!V43),ISNUMBER(RU_Clean!V42)),(RU_Clean!V43-RU_Clean!V42)/RU_Clean!V42*100,"")</f>
        <v>0.23847376788553</v>
      </c>
      <c r="W43" s="12">
        <f>IF(AND(ISNUMBER(RU_Clean!W43),ISNUMBER(RU_Clean!W42)),(RU_Clean!W43-RU_Clean!W42)/RU_Clean!W42*100,"")</f>
        <v>0.230414746543788</v>
      </c>
      <c r="X43" s="12">
        <f>IF(AND(ISNUMBER(RU_Clean!X43),ISNUMBER(RU_Clean!X42)),(RU_Clean!X43-RU_Clean!X42)/RU_Clean!X42*100,"")</f>
        <v>0.401929260450161</v>
      </c>
      <c r="Y43" s="12">
        <f>IF(AND(ISNUMBER(RU_Clean!Y43),ISNUMBER(RU_Clean!Y42)),(RU_Clean!Y43-RU_Clean!Y42)/RU_Clean!Y42*100,"")</f>
        <v>-0.56864337936636</v>
      </c>
      <c r="Z43" s="12">
        <f>IF(AND(ISNUMBER(RU_Clean!Z43),ISNUMBER(RU_Clean!Z42)),(RU_Clean!Z43-RU_Clean!Z42)/RU_Clean!Z42*100,"")</f>
        <v>0.401284109149278</v>
      </c>
      <c r="AA43" s="12">
        <f>IF(AND(ISNUMBER(RU_Clean!AA43),ISNUMBER(RU_Clean!AA42)),(RU_Clean!AA43-RU_Clean!AA42)/RU_Clean!AA42*100,"")</f>
        <v>0.326530612244903</v>
      </c>
      <c r="AB43" s="12">
        <f>IF(AND(ISNUMBER(RU_Clean!AB43),ISNUMBER(RU_Clean!AB42)),(RU_Clean!AB43-RU_Clean!AB42)/RU_Clean!AB42*100,"")</f>
        <v>-0.448833034111311</v>
      </c>
      <c r="AC43" s="12">
        <f>IF(AND(ISNUMBER(RU_Clean!AC43),ISNUMBER(RU_Clean!AC42)),(RU_Clean!AC43-RU_Clean!AC42)/RU_Clean!AC42*100,"")</f>
        <v>0.249376558603489</v>
      </c>
      <c r="AD43" s="12">
        <f>IF(AND(ISNUMBER(RU_Clean!AD43),ISNUMBER(RU_Clean!AD42)),(RU_Clean!AD43-RU_Clean!AD42)/RU_Clean!AD42*100,"")</f>
        <v>0.236966824644559</v>
      </c>
      <c r="AE43" s="12">
        <f>IF(AND(ISNUMBER(RU_Clean!AE43),ISNUMBER(RU_Clean!AE42)),(RU_Clean!AE43-RU_Clean!AE42)/RU_Clean!AE42*100,"")</f>
        <v>0.600343053173244</v>
      </c>
      <c r="AF43" s="12">
        <f>IF(AND(ISNUMBER(RU_Clean!AF43),ISNUMBER(RU_Clean!AF42)),(RU_Clean!AF43-RU_Clean!AF42)/RU_Clean!AF42*100,"")</f>
        <v>0.167926112510498</v>
      </c>
      <c r="AG43" s="12">
        <f>IF(AND(ISNUMBER(RU_Clean!AG43),ISNUMBER(RU_Clean!AG42)),(RU_Clean!AG43-RU_Clean!AG42)/RU_Clean!AG42*100,"")</f>
        <v>0</v>
      </c>
      <c r="AH43" s="12">
        <f>IF(AND(ISNUMBER(RU_Clean!AH43),ISNUMBER(RU_Clean!AH42)),(RU_Clean!AH43-RU_Clean!AH42)/RU_Clean!AH42*100,"")</f>
        <v>-0.180855186668371</v>
      </c>
    </row>
    <row r="44" spans="1:34">
      <c r="A44" s="6">
        <f>RU_Clean!A44</f>
        <v>2016</v>
      </c>
      <c r="B44" s="6">
        <f>RU_Clean!B44</f>
        <v>4</v>
      </c>
      <c r="C44" s="6" t="str">
        <f>RU_Clean!C44</f>
        <v>April</v>
      </c>
      <c r="D44" s="9">
        <f>RU_Clean!D44</f>
        <v>42461</v>
      </c>
      <c r="E44" s="6"/>
      <c r="F44" s="6"/>
      <c r="G44" s="12">
        <f>IF(AND(ISNUMBER(RU_Clean!G44),ISNUMBER(RU_Clean!G43)),(RU_Clean!G44-RU_Clean!G43)/RU_Clean!G43*100,"")</f>
        <v>0.079051383399205</v>
      </c>
      <c r="H44" s="12">
        <f>IF(AND(ISNUMBER(RU_Clean!H44),ISNUMBER(RU_Clean!H43)),(RU_Clean!H44-RU_Clean!H43)/RU_Clean!H43*100,"")</f>
        <v>1.25832716506293</v>
      </c>
      <c r="I44" s="12">
        <f>IF(AND(ISNUMBER(RU_Clean!I44),ISNUMBER(RU_Clean!I43)),(RU_Clean!I44-RU_Clean!I43)/RU_Clean!I43*100,"")</f>
        <v>-2.08667736757624</v>
      </c>
      <c r="J44" s="12">
        <f>IF(AND(ISNUMBER(RU_Clean!J44),ISNUMBER(RU_Clean!J43)),(RU_Clean!J44-RU_Clean!J43)/RU_Clean!J43*100,"")</f>
        <v>0.537634408602164</v>
      </c>
      <c r="K44" s="12">
        <f>IF(AND(ISNUMBER(RU_Clean!K44),ISNUMBER(RU_Clean!K43)),(RU_Clean!K44-RU_Clean!K43)/RU_Clean!K43*100,"")</f>
        <v>0.262008733624452</v>
      </c>
      <c r="L44" s="12">
        <f>IF(AND(ISNUMBER(RU_Clean!L44),ISNUMBER(RU_Clean!L43)),(RU_Clean!L44-RU_Clean!L43)/RU_Clean!L43*100,"")</f>
        <v>6.81458003169573</v>
      </c>
      <c r="M44" s="12">
        <f>IF(AND(ISNUMBER(RU_Clean!M44),ISNUMBER(RU_Clean!M43)),(RU_Clean!M44-RU_Clean!M43)/RU_Clean!M43*100,"")</f>
        <v>4.00616332819722</v>
      </c>
      <c r="N44" s="12">
        <f>IF(AND(ISNUMBER(RU_Clean!N44),ISNUMBER(RU_Clean!N43)),(RU_Clean!N44-RU_Clean!N43)/RU_Clean!N43*100,"")</f>
        <v>1.94765672550212</v>
      </c>
      <c r="O44" s="12">
        <f>IF(AND(ISNUMBER(RU_Clean!O44),ISNUMBER(RU_Clean!O43)),(RU_Clean!O44-RU_Clean!O43)/RU_Clean!O43*100,"")</f>
        <v>5.45094152626363</v>
      </c>
      <c r="P44" s="12">
        <f>IF(AND(ISNUMBER(RU_Clean!P44),ISNUMBER(RU_Clean!P43)),(RU_Clean!P44-RU_Clean!P43)/RU_Clean!P43*100,"")</f>
        <v>0.373412994772218</v>
      </c>
      <c r="Q44" s="12">
        <f>IF(AND(ISNUMBER(RU_Clean!Q44),ISNUMBER(RU_Clean!Q43)),(RU_Clean!Q44-RU_Clean!Q43)/RU_Clean!Q43*100,"")</f>
        <v>0.406173842404549</v>
      </c>
      <c r="R44" s="12">
        <f>IF(AND(ISNUMBER(RU_Clean!R44),ISNUMBER(RU_Clean!R43)),(RU_Clean!R44-RU_Clean!R43)/RU_Clean!R43*100,"")</f>
        <v>0.293470286133512</v>
      </c>
      <c r="S44" s="12">
        <f>IF(AND(ISNUMBER(RU_Clean!S44),ISNUMBER(RU_Clean!S43)),(RU_Clean!S44-RU_Clean!S43)/RU_Clean!S43*100,"")</f>
        <v>1.54083204930663</v>
      </c>
      <c r="T44" s="12">
        <f>IF(AND(ISNUMBER(RU_Clean!T44),ISNUMBER(RU_Clean!T43)),(RU_Clean!T44-RU_Clean!T43)/RU_Clean!T43*100,"")</f>
        <v>0.439560439560435</v>
      </c>
      <c r="U44" s="12">
        <f>IF(AND(ISNUMBER(RU_Clean!U44),ISNUMBER(RU_Clean!U43)),(RU_Clean!U44-RU_Clean!U43)/RU_Clean!U43*100,"")</f>
        <v>0.380807311500381</v>
      </c>
      <c r="V44" s="12">
        <f>IF(AND(ISNUMBER(RU_Clean!V44),ISNUMBER(RU_Clean!V43)),(RU_Clean!V44-RU_Clean!V43)/RU_Clean!V43*100,"")</f>
        <v>0.237906423473443</v>
      </c>
      <c r="W44" s="12">
        <f>IF(AND(ISNUMBER(RU_Clean!W44),ISNUMBER(RU_Clean!W43)),(RU_Clean!W44-RU_Clean!W43)/RU_Clean!W43*100,"")</f>
        <v>0.383141762452107</v>
      </c>
      <c r="X44" s="12">
        <f>IF(AND(ISNUMBER(RU_Clean!X44),ISNUMBER(RU_Clean!X43)),(RU_Clean!X44-RU_Clean!X43)/RU_Clean!X43*100,"")</f>
        <v>0.56044835868694</v>
      </c>
      <c r="Y44" s="12">
        <f>IF(AND(ISNUMBER(RU_Clean!Y44),ISNUMBER(RU_Clean!Y43)),(RU_Clean!Y44-RU_Clean!Y43)/RU_Clean!Y43*100,"")</f>
        <v>-0.0816993464052357</v>
      </c>
      <c r="Z44" s="12">
        <f>IF(AND(ISNUMBER(RU_Clean!Z44),ISNUMBER(RU_Clean!Z43)),(RU_Clean!Z44-RU_Clean!Z43)/RU_Clean!Z43*100,"")</f>
        <v>0.319744204636295</v>
      </c>
      <c r="AA44" s="12">
        <f>IF(AND(ISNUMBER(RU_Clean!AA44),ISNUMBER(RU_Clean!AA43)),(RU_Clean!AA44-RU_Clean!AA43)/RU_Clean!AA43*100,"")</f>
        <v>0.244100895036613</v>
      </c>
      <c r="AB44" s="12">
        <f>IF(AND(ISNUMBER(RU_Clean!AB44),ISNUMBER(RU_Clean!AB43)),(RU_Clean!AB44-RU_Clean!AB43)/RU_Clean!AB43*100,"")</f>
        <v>1.08205590622181</v>
      </c>
      <c r="AC44" s="12">
        <f>IF(AND(ISNUMBER(RU_Clean!AC44),ISNUMBER(RU_Clean!AC43)),(RU_Clean!AC44-RU_Clean!AC43)/RU_Clean!AC43*100,"")</f>
        <v>0.414593698175788</v>
      </c>
      <c r="AD44" s="12">
        <f>IF(AND(ISNUMBER(RU_Clean!AD44),ISNUMBER(RU_Clean!AD43)),(RU_Clean!AD44-RU_Clean!AD43)/RU_Clean!AD43*100,"")</f>
        <v>0.630417651694245</v>
      </c>
      <c r="AE44" s="12">
        <f>IF(AND(ISNUMBER(RU_Clean!AE44),ISNUMBER(RU_Clean!AE43)),(RU_Clean!AE44-RU_Clean!AE43)/RU_Clean!AE43*100,"")</f>
        <v>0.682011935208864</v>
      </c>
      <c r="AF44" s="12">
        <f>IF(AND(ISNUMBER(RU_Clean!AF44),ISNUMBER(RU_Clean!AF43)),(RU_Clean!AF44-RU_Clean!AF43)/RU_Clean!AF43*100,"")</f>
        <v>0.586756077116515</v>
      </c>
      <c r="AG44" s="12">
        <f>IF(AND(ISNUMBER(RU_Clean!AG44),ISNUMBER(RU_Clean!AG43)),(RU_Clean!AG44-RU_Clean!AG43)/RU_Clean!AG43*100,"")</f>
        <v>1.03174603174603</v>
      </c>
      <c r="AH44" s="12">
        <f>IF(AND(ISNUMBER(RU_Clean!AH44),ISNUMBER(RU_Clean!AH43)),(RU_Clean!AH44-RU_Clean!AH43)/RU_Clean!AH43*100,"")</f>
        <v>1.55946680471075</v>
      </c>
    </row>
    <row r="45" spans="1:34">
      <c r="A45" s="6">
        <f>RU_Clean!A45</f>
        <v>2016</v>
      </c>
      <c r="B45" s="6">
        <f>RU_Clean!B45</f>
        <v>5</v>
      </c>
      <c r="C45" s="6" t="str">
        <f>RU_Clean!C45</f>
        <v>May</v>
      </c>
      <c r="D45" s="9">
        <f>RU_Clean!D45</f>
        <v>42491</v>
      </c>
      <c r="E45" s="6"/>
      <c r="F45" s="6"/>
      <c r="G45" s="12">
        <f>IF(AND(ISNUMBER(RU_Clean!G45),ISNUMBER(RU_Clean!G44)),(RU_Clean!G45-RU_Clean!G44)/RU_Clean!G44*100,"")</f>
        <v>0.157977883096369</v>
      </c>
      <c r="H45" s="12">
        <f>IF(AND(ISNUMBER(RU_Clean!H45),ISNUMBER(RU_Clean!H44)),(RU_Clean!H45-RU_Clean!H44)/RU_Clean!H44*100,"")</f>
        <v>1.68128654970759</v>
      </c>
      <c r="I45" s="12">
        <f>IF(AND(ISNUMBER(RU_Clean!I45),ISNUMBER(RU_Clean!I44)),(RU_Clean!I45-RU_Clean!I44)/RU_Clean!I44*100,"")</f>
        <v>2.78688524590164</v>
      </c>
      <c r="J45" s="12">
        <f>IF(AND(ISNUMBER(RU_Clean!J45),ISNUMBER(RU_Clean!J44)),(RU_Clean!J45-RU_Clean!J44)/RU_Clean!J44*100,"")</f>
        <v>0.61115355233001</v>
      </c>
      <c r="K45" s="12">
        <f>IF(AND(ISNUMBER(RU_Clean!K45),ISNUMBER(RU_Clean!K44)),(RU_Clean!K45-RU_Clean!K44)/RU_Clean!K44*100,"")</f>
        <v>0.174216027874567</v>
      </c>
      <c r="L45" s="12">
        <f>IF(AND(ISNUMBER(RU_Clean!L45),ISNUMBER(RU_Clean!L44)),(RU_Clean!L45-RU_Clean!L44)/RU_Clean!L44*100,"")</f>
        <v>0.890207715133523</v>
      </c>
      <c r="M45" s="12">
        <f>IF(AND(ISNUMBER(RU_Clean!M45),ISNUMBER(RU_Clean!M44)),(RU_Clean!M45-RU_Clean!M44)/RU_Clean!M44*100,"")</f>
        <v>7.48148148148148</v>
      </c>
      <c r="N45" s="12">
        <f>IF(AND(ISNUMBER(RU_Clean!N45),ISNUMBER(RU_Clean!N44)),(RU_Clean!N45-RU_Clean!N44)/RU_Clean!N44*100,"")</f>
        <v>2.50746268656716</v>
      </c>
      <c r="O45" s="12">
        <f>IF(AND(ISNUMBER(RU_Clean!O45),ISNUMBER(RU_Clean!O44)),(RU_Clean!O45-RU_Clean!O44)/RU_Clean!O44*100,"")</f>
        <v>2.16165413533834</v>
      </c>
      <c r="P45" s="12">
        <f>IF(AND(ISNUMBER(RU_Clean!P45),ISNUMBER(RU_Clean!P44)),(RU_Clean!P45-RU_Clean!P44)/RU_Clean!P44*100,"")</f>
        <v>0.669642857142861</v>
      </c>
      <c r="Q45" s="12">
        <f>IF(AND(ISNUMBER(RU_Clean!Q45),ISNUMBER(RU_Clean!Q44)),(RU_Clean!Q45-RU_Clean!Q44)/RU_Clean!Q44*100,"")</f>
        <v>0.48543689320389</v>
      </c>
      <c r="R45" s="12">
        <f>IF(AND(ISNUMBER(RU_Clean!R45),ISNUMBER(RU_Clean!R44)),(RU_Clean!R45-RU_Clean!R44)/RU_Clean!R44*100,"")</f>
        <v>0.51207022677397</v>
      </c>
      <c r="S45" s="12">
        <f>IF(AND(ISNUMBER(RU_Clean!S45),ISNUMBER(RU_Clean!S44)),(RU_Clean!S45-RU_Clean!S44)/RU_Clean!S44*100,"")</f>
        <v>1.66919575113808</v>
      </c>
      <c r="T45" s="12">
        <f>IF(AND(ISNUMBER(RU_Clean!T45),ISNUMBER(RU_Clean!T44)),(RU_Clean!T45-RU_Clean!T44)/RU_Clean!T44*100,"")</f>
        <v>0.437636761487961</v>
      </c>
      <c r="U45" s="12">
        <f>IF(AND(ISNUMBER(RU_Clean!U45),ISNUMBER(RU_Clean!U44)),(RU_Clean!U45-RU_Clean!U44)/RU_Clean!U44*100,"")</f>
        <v>0.303490136570544</v>
      </c>
      <c r="V45" s="12">
        <f>IF(AND(ISNUMBER(RU_Clean!V45),ISNUMBER(RU_Clean!V44)),(RU_Clean!V45-RU_Clean!V44)/RU_Clean!V44*100,"")</f>
        <v>0.316455696202525</v>
      </c>
      <c r="W45" s="12">
        <f>IF(AND(ISNUMBER(RU_Clean!W45),ISNUMBER(RU_Clean!W44)),(RU_Clean!W45-RU_Clean!W44)/RU_Clean!W44*100,"")</f>
        <v>0.305343511450386</v>
      </c>
      <c r="X45" s="12">
        <f>IF(AND(ISNUMBER(RU_Clean!X45),ISNUMBER(RU_Clean!X44)),(RU_Clean!X45-RU_Clean!X44)/RU_Clean!X44*100,"")</f>
        <v>0.318471337579622</v>
      </c>
      <c r="Y45" s="12">
        <f>IF(AND(ISNUMBER(RU_Clean!Y45),ISNUMBER(RU_Clean!Y44)),(RU_Clean!Y45-RU_Clean!Y44)/RU_Clean!Y44*100,"")</f>
        <v>0.327064595257568</v>
      </c>
      <c r="Z45" s="12">
        <f>IF(AND(ISNUMBER(RU_Clean!Z45),ISNUMBER(RU_Clean!Z44)),(RU_Clean!Z45-RU_Clean!Z44)/RU_Clean!Z44*100,"")</f>
        <v>0.398406374501992</v>
      </c>
      <c r="AA45" s="12">
        <f>IF(AND(ISNUMBER(RU_Clean!AA45),ISNUMBER(RU_Clean!AA44)),(RU_Clean!AA45-RU_Clean!AA44)/RU_Clean!AA44*100,"")</f>
        <v>0.405844155844156</v>
      </c>
      <c r="AB45" s="12">
        <f>IF(AND(ISNUMBER(RU_Clean!AB45),ISNUMBER(RU_Clean!AB44)),(RU_Clean!AB45-RU_Clean!AB44)/RU_Clean!AB44*100,"")</f>
        <v>0.624442462087424</v>
      </c>
      <c r="AC45" s="12">
        <f>IF(AND(ISNUMBER(RU_Clean!AC45),ISNUMBER(RU_Clean!AC44)),(RU_Clean!AC45-RU_Clean!AC44)/RU_Clean!AC44*100,"")</f>
        <v>0.330305532617676</v>
      </c>
      <c r="AD45" s="12">
        <f>IF(AND(ISNUMBER(RU_Clean!AD45),ISNUMBER(RU_Clean!AD44)),(RU_Clean!AD45-RU_Clean!AD44)/RU_Clean!AD44*100,"")</f>
        <v>0.626468285043067</v>
      </c>
      <c r="AE45" s="12">
        <f>IF(AND(ISNUMBER(RU_Clean!AE45),ISNUMBER(RU_Clean!AE44)),(RU_Clean!AE45-RU_Clean!AE44)/RU_Clean!AE44*100,"")</f>
        <v>0.931414055884851</v>
      </c>
      <c r="AF45" s="12">
        <f>IF(AND(ISNUMBER(RU_Clean!AF45),ISNUMBER(RU_Clean!AF44)),(RU_Clean!AF45-RU_Clean!AF44)/RU_Clean!AF44*100,"")</f>
        <v>0.583333333333336</v>
      </c>
      <c r="AG45" s="12">
        <f>IF(AND(ISNUMBER(RU_Clean!AG45),ISNUMBER(RU_Clean!AG44)),(RU_Clean!AG45-RU_Clean!AG44)/RU_Clean!AG44*100,"")</f>
        <v>1.02120974076983</v>
      </c>
      <c r="AH45" s="12">
        <f>IF(AND(ISNUMBER(RU_Clean!AH45),ISNUMBER(RU_Clean!AH44)),(RU_Clean!AH45-RU_Clean!AH44)/RU_Clean!AH44*100,"")</f>
        <v>1.71392163109271</v>
      </c>
    </row>
    <row r="46" spans="1:34">
      <c r="A46" s="6">
        <f>RU_Clean!A46</f>
        <v>2016</v>
      </c>
      <c r="B46" s="6">
        <f>RU_Clean!B46</f>
        <v>6</v>
      </c>
      <c r="C46" s="6" t="str">
        <f>RU_Clean!C46</f>
        <v>June</v>
      </c>
      <c r="D46" s="9">
        <f>RU_Clean!D46</f>
        <v>42522</v>
      </c>
      <c r="E46" s="6"/>
      <c r="F46" s="6"/>
      <c r="G46" s="12">
        <f>IF(AND(ISNUMBER(RU_Clean!G46),ISNUMBER(RU_Clean!G45)),(RU_Clean!G46-RU_Clean!G45)/RU_Clean!G45*100,"")</f>
        <v>0.70977917981073</v>
      </c>
      <c r="H46" s="12">
        <f>IF(AND(ISNUMBER(RU_Clean!H46),ISNUMBER(RU_Clean!H45)),(RU_Clean!H46-RU_Clean!H45)/RU_Clean!H45*100,"")</f>
        <v>1.00647016534867</v>
      </c>
      <c r="I46" s="12">
        <f>IF(AND(ISNUMBER(RU_Clean!I46),ISNUMBER(RU_Clean!I45)),(RU_Clean!I46-RU_Clean!I45)/RU_Clean!I45*100,"")</f>
        <v>2.31259968102074</v>
      </c>
      <c r="J46" s="12">
        <f>IF(AND(ISNUMBER(RU_Clean!J46),ISNUMBER(RU_Clean!J45)),(RU_Clean!J46-RU_Clean!J45)/RU_Clean!J45*100,"")</f>
        <v>0.683371298405471</v>
      </c>
      <c r="K46" s="12">
        <f>IF(AND(ISNUMBER(RU_Clean!K46),ISNUMBER(RU_Clean!K45)),(RU_Clean!K46-RU_Clean!K45)/RU_Clean!K45*100,"")</f>
        <v>0.434782608695652</v>
      </c>
      <c r="L46" s="12">
        <f>IF(AND(ISNUMBER(RU_Clean!L46),ISNUMBER(RU_Clean!L45)),(RU_Clean!L46-RU_Clean!L45)/RU_Clean!L45*100,"")</f>
        <v>0.367647058823529</v>
      </c>
      <c r="M46" s="12">
        <f>IF(AND(ISNUMBER(RU_Clean!M46),ISNUMBER(RU_Clean!M45)),(RU_Clean!M46-RU_Clean!M45)/RU_Clean!M45*100,"")</f>
        <v>10.0620261888353</v>
      </c>
      <c r="N46" s="12">
        <f>IF(AND(ISNUMBER(RU_Clean!N46),ISNUMBER(RU_Clean!N45)),(RU_Clean!N46-RU_Clean!N45)/RU_Clean!N45*100,"")</f>
        <v>1.51426907396623</v>
      </c>
      <c r="O46" s="12">
        <f>IF(AND(ISNUMBER(RU_Clean!O46),ISNUMBER(RU_Clean!O45)),(RU_Clean!O46-RU_Clean!O45)/RU_Clean!O45*100,"")</f>
        <v>1.10395584176633</v>
      </c>
      <c r="P46" s="12">
        <f>IF(AND(ISNUMBER(RU_Clean!P46),ISNUMBER(RU_Clean!P45)),(RU_Clean!P46-RU_Clean!P45)/RU_Clean!P45*100,"")</f>
        <v>0.73909830007391</v>
      </c>
      <c r="Q46" s="12">
        <f>IF(AND(ISNUMBER(RU_Clean!Q46),ISNUMBER(RU_Clean!Q45)),(RU_Clean!Q46-RU_Clean!Q45)/RU_Clean!Q45*100,"")</f>
        <v>0.161030595813207</v>
      </c>
      <c r="R46" s="12">
        <f>IF(AND(ISNUMBER(RU_Clean!R46),ISNUMBER(RU_Clean!R45)),(RU_Clean!R46-RU_Clean!R45)/RU_Clean!R45*100,"")</f>
        <v>0.509461426491986</v>
      </c>
      <c r="S46" s="12">
        <f>IF(AND(ISNUMBER(RU_Clean!S46),ISNUMBER(RU_Clean!S45)),(RU_Clean!S46-RU_Clean!S45)/RU_Clean!S45*100,"")</f>
        <v>2.08955223880598</v>
      </c>
      <c r="T46" s="12">
        <f>IF(AND(ISNUMBER(RU_Clean!T46),ISNUMBER(RU_Clean!T45)),(RU_Clean!T46-RU_Clean!T45)/RU_Clean!T45*100,"")</f>
        <v>0.726216412490922</v>
      </c>
      <c r="U46" s="12">
        <f>IF(AND(ISNUMBER(RU_Clean!U46),ISNUMBER(RU_Clean!U45)),(RU_Clean!U46-RU_Clean!U45)/RU_Clean!U45*100,"")</f>
        <v>0.529500756429665</v>
      </c>
      <c r="V46" s="12">
        <f>IF(AND(ISNUMBER(RU_Clean!V46),ISNUMBER(RU_Clean!V45)),(RU_Clean!V46-RU_Clean!V45)/RU_Clean!V45*100,"")</f>
        <v>0.315457413249216</v>
      </c>
      <c r="W46" s="12">
        <f>IF(AND(ISNUMBER(RU_Clean!W46),ISNUMBER(RU_Clean!W45)),(RU_Clean!W46-RU_Clean!W45)/RU_Clean!W45*100,"")</f>
        <v>0.456621004566206</v>
      </c>
      <c r="X46" s="12">
        <f>IF(AND(ISNUMBER(RU_Clean!X46),ISNUMBER(RU_Clean!X45)),(RU_Clean!X46-RU_Clean!X45)/RU_Clean!X45*100,"")</f>
        <v>-0.396825396825397</v>
      </c>
      <c r="Y46" s="12">
        <f>IF(AND(ISNUMBER(RU_Clean!Y46),ISNUMBER(RU_Clean!Y45)),(RU_Clean!Y46-RU_Clean!Y45)/RU_Clean!Y45*100,"")</f>
        <v>0.48899755501222</v>
      </c>
      <c r="Z46" s="12">
        <f>IF(AND(ISNUMBER(RU_Clean!Z46),ISNUMBER(RU_Clean!Z45)),(RU_Clean!Z46-RU_Clean!Z45)/RU_Clean!Z45*100,"")</f>
        <v>0.317460317460322</v>
      </c>
      <c r="AA46" s="12">
        <f>IF(AND(ISNUMBER(RU_Clean!AA46),ISNUMBER(RU_Clean!AA45)),(RU_Clean!AA46-RU_Clean!AA45)/RU_Clean!AA45*100,"")</f>
        <v>0.323362974939363</v>
      </c>
      <c r="AB46" s="12">
        <f>IF(AND(ISNUMBER(RU_Clean!AB46),ISNUMBER(RU_Clean!AB45)),(RU_Clean!AB46-RU_Clean!AB45)/RU_Clean!AB45*100,"")</f>
        <v>1.24113475177305</v>
      </c>
      <c r="AC46" s="12">
        <f>IF(AND(ISNUMBER(RU_Clean!AC46),ISNUMBER(RU_Clean!AC45)),(RU_Clean!AC46-RU_Clean!AC45)/RU_Clean!AC45*100,"")</f>
        <v>0.164609053497945</v>
      </c>
      <c r="AD46" s="12">
        <f>IF(AND(ISNUMBER(RU_Clean!AD46),ISNUMBER(RU_Clean!AD45)),(RU_Clean!AD46-RU_Clean!AD45)/RU_Clean!AD45*100,"")</f>
        <v>0.933852140077812</v>
      </c>
      <c r="AE46" s="12">
        <f>IF(AND(ISNUMBER(RU_Clean!AE46),ISNUMBER(RU_Clean!AE45)),(RU_Clean!AE46-RU_Clean!AE45)/RU_Clean!AE45*100,"")</f>
        <v>0.167785234899331</v>
      </c>
      <c r="AF46" s="12">
        <f>IF(AND(ISNUMBER(RU_Clean!AF46),ISNUMBER(RU_Clean!AF45)),(RU_Clean!AF46-RU_Clean!AF45)/RU_Clean!AF45*100,"")</f>
        <v>0.662800331400163</v>
      </c>
      <c r="AG46" s="12">
        <f>IF(AND(ISNUMBER(RU_Clean!AG46),ISNUMBER(RU_Clean!AG45)),(RU_Clean!AG46-RU_Clean!AG45)/RU_Clean!AG45*100,"")</f>
        <v>1.16640746500778</v>
      </c>
      <c r="AH46" s="12">
        <f>IF(AND(ISNUMBER(RU_Clean!AH46),ISNUMBER(RU_Clean!AH45)),(RU_Clean!AH46-RU_Clean!AH45)/RU_Clean!AH45*100,"")</f>
        <v>1.71636181408168</v>
      </c>
    </row>
    <row r="47" spans="1:34">
      <c r="A47" s="6">
        <f>RU_Clean!A47</f>
        <v>2016</v>
      </c>
      <c r="B47" s="6">
        <f>RU_Clean!B47</f>
        <v>7</v>
      </c>
      <c r="C47" s="6" t="str">
        <f>RU_Clean!C47</f>
        <v>July</v>
      </c>
      <c r="D47" s="9">
        <f>RU_Clean!D47</f>
        <v>42552</v>
      </c>
      <c r="E47" s="6"/>
      <c r="F47" s="6"/>
      <c r="G47" s="12">
        <f>IF(AND(ISNUMBER(RU_Clean!G47),ISNUMBER(RU_Clean!G46)),(RU_Clean!G47-RU_Clean!G46)/RU_Clean!G46*100,"")</f>
        <v>0.626468285043067</v>
      </c>
      <c r="H47" s="12">
        <f>IF(AND(ISNUMBER(RU_Clean!H47),ISNUMBER(RU_Clean!H46)),(RU_Clean!H47-RU_Clean!H46)/RU_Clean!H46*100,"")</f>
        <v>0.498220640569387</v>
      </c>
      <c r="I47" s="12">
        <f>IF(AND(ISNUMBER(RU_Clean!I47),ISNUMBER(RU_Clean!I46)),(RU_Clean!I47-RU_Clean!I46)/RU_Clean!I46*100,"")</f>
        <v>3.11769290724864</v>
      </c>
      <c r="J47" s="12">
        <f>IF(AND(ISNUMBER(RU_Clean!J47),ISNUMBER(RU_Clean!J46)),(RU_Clean!J47-RU_Clean!J46)/RU_Clean!J46*100,"")</f>
        <v>0.678733031674213</v>
      </c>
      <c r="K47" s="12">
        <f>IF(AND(ISNUMBER(RU_Clean!K47),ISNUMBER(RU_Clean!K46)),(RU_Clean!K47-RU_Clean!K46)/RU_Clean!K46*100,"")</f>
        <v>0.779220779220784</v>
      </c>
      <c r="L47" s="12">
        <f>IF(AND(ISNUMBER(RU_Clean!L47),ISNUMBER(RU_Clean!L46)),(RU_Clean!L47-RU_Clean!L46)/RU_Clean!L46*100,"")</f>
        <v>0.952380952380961</v>
      </c>
      <c r="M47" s="12">
        <f>IF(AND(ISNUMBER(RU_Clean!M47),ISNUMBER(RU_Clean!M46)),(RU_Clean!M47-RU_Clean!M46)/RU_Clean!M46*100,"")</f>
        <v>3.56919223544146</v>
      </c>
      <c r="N47" s="12">
        <f>IF(AND(ISNUMBER(RU_Clean!N47),ISNUMBER(RU_Clean!N46)),(RU_Clean!N47-RU_Clean!N46)/RU_Clean!N46*100,"")</f>
        <v>1.77854274239816</v>
      </c>
      <c r="O47" s="12">
        <f>IF(AND(ISNUMBER(RU_Clean!O47),ISNUMBER(RU_Clean!O46)),(RU_Clean!O47-RU_Clean!O46)/RU_Clean!O46*100,"")</f>
        <v>1.27388535031846</v>
      </c>
      <c r="P47" s="12">
        <f>IF(AND(ISNUMBER(RU_Clean!P47),ISNUMBER(RU_Clean!P46)),(RU_Clean!P47-RU_Clean!P46)/RU_Clean!P46*100,"")</f>
        <v>0.880410858400578</v>
      </c>
      <c r="Q47" s="12">
        <f>IF(AND(ISNUMBER(RU_Clean!Q47),ISNUMBER(RU_Clean!Q46)),(RU_Clean!Q47-RU_Clean!Q46)/RU_Clean!Q46*100,"")</f>
        <v>0.482315112540188</v>
      </c>
      <c r="R47" s="12">
        <f>IF(AND(ISNUMBER(RU_Clean!R47),ISNUMBER(RU_Clean!R46)),(RU_Clean!R47-RU_Clean!R46)/RU_Clean!R46*100,"")</f>
        <v>0.506879073135421</v>
      </c>
      <c r="S47" s="12">
        <f>IF(AND(ISNUMBER(RU_Clean!S47),ISNUMBER(RU_Clean!S46)),(RU_Clean!S47-RU_Clean!S46)/RU_Clean!S46*100,"")</f>
        <v>1.16959064327485</v>
      </c>
      <c r="T47" s="12">
        <f>IF(AND(ISNUMBER(RU_Clean!T47),ISNUMBER(RU_Clean!T46)),(RU_Clean!T47-RU_Clean!T46)/RU_Clean!T46*100,"")</f>
        <v>0.432588320115373</v>
      </c>
      <c r="U47" s="12">
        <f>IF(AND(ISNUMBER(RU_Clean!U47),ISNUMBER(RU_Clean!U46)),(RU_Clean!U47-RU_Clean!U46)/RU_Clean!U46*100,"")</f>
        <v>0.451467268623021</v>
      </c>
      <c r="V47" s="12">
        <f>IF(AND(ISNUMBER(RU_Clean!V47),ISNUMBER(RU_Clean!V46)),(RU_Clean!V47-RU_Clean!V46)/RU_Clean!V46*100,"")</f>
        <v>0.314465408805025</v>
      </c>
      <c r="W47" s="12">
        <f>IF(AND(ISNUMBER(RU_Clean!W47),ISNUMBER(RU_Clean!W46)),(RU_Clean!W47-RU_Clean!W46)/RU_Clean!W46*100,"")</f>
        <v>0.530303030303022</v>
      </c>
      <c r="X47" s="12">
        <f>IF(AND(ISNUMBER(RU_Clean!X47),ISNUMBER(RU_Clean!X46)),(RU_Clean!X47-RU_Clean!X46)/RU_Clean!X46*100,"")</f>
        <v>0.71713147410359</v>
      </c>
      <c r="Y47" s="12">
        <f>IF(AND(ISNUMBER(RU_Clean!Y47),ISNUMBER(RU_Clean!Y46)),(RU_Clean!Y47-RU_Clean!Y46)/RU_Clean!Y46*100,"")</f>
        <v>0.0811030008110369</v>
      </c>
      <c r="Z47" s="12">
        <f>IF(AND(ISNUMBER(RU_Clean!Z47),ISNUMBER(RU_Clean!Z46)),(RU_Clean!Z47-RU_Clean!Z46)/RU_Clean!Z46*100,"")</f>
        <v>0.395569620253164</v>
      </c>
      <c r="AA47" s="12">
        <f>IF(AND(ISNUMBER(RU_Clean!AA47),ISNUMBER(RU_Clean!AA46)),(RU_Clean!AA47-RU_Clean!AA46)/RU_Clean!AA46*100,"")</f>
        <v>0.322320709105565</v>
      </c>
      <c r="AB47" s="12">
        <f>IF(AND(ISNUMBER(RU_Clean!AB47),ISNUMBER(RU_Clean!AB46)),(RU_Clean!AB47-RU_Clean!AB46)/RU_Clean!AB46*100,"")</f>
        <v>-0.262697022767073</v>
      </c>
      <c r="AC47" s="12">
        <f>IF(AND(ISNUMBER(RU_Clean!AC47),ISNUMBER(RU_Clean!AC46)),(RU_Clean!AC47-RU_Clean!AC46)/RU_Clean!AC46*100,"")</f>
        <v>0.575184880854563</v>
      </c>
      <c r="AD47" s="12">
        <f>IF(AND(ISNUMBER(RU_Clean!AD47),ISNUMBER(RU_Clean!AD46)),(RU_Clean!AD47-RU_Clean!AD46)/RU_Clean!AD46*100,"")</f>
        <v>0.848111025443348</v>
      </c>
      <c r="AE47" s="12">
        <f>IF(AND(ISNUMBER(RU_Clean!AE47),ISNUMBER(RU_Clean!AE46)),(RU_Clean!AE47-RU_Clean!AE46)/RU_Clean!AE46*100,"")</f>
        <v>0.921273031825791</v>
      </c>
      <c r="AF47" s="12">
        <f>IF(AND(ISNUMBER(RU_Clean!AF47),ISNUMBER(RU_Clean!AF46)),(RU_Clean!AF47-RU_Clean!AF46)/RU_Clean!AF46*100,"")</f>
        <v>0.329218106995889</v>
      </c>
      <c r="AG47" s="12">
        <f>IF(AND(ISNUMBER(RU_Clean!AG47),ISNUMBER(RU_Clean!AG46)),(RU_Clean!AG47-RU_Clean!AG46)/RU_Clean!AG46*100,"")</f>
        <v>0.768639508070715</v>
      </c>
      <c r="AH47" s="12">
        <f>IF(AND(ISNUMBER(RU_Clean!AH47),ISNUMBER(RU_Clean!AH46)),(RU_Clean!AH47-RU_Clean!AH46)/RU_Clean!AH46*100,"")</f>
        <v>1.311737898756</v>
      </c>
    </row>
    <row r="48" spans="1:34">
      <c r="A48" s="6">
        <f>RU_Clean!A48</f>
        <v>2016</v>
      </c>
      <c r="B48" s="6">
        <f>RU_Clean!B48</f>
        <v>8</v>
      </c>
      <c r="C48" s="6" t="str">
        <f>RU_Clean!C48</f>
        <v>August</v>
      </c>
      <c r="D48" s="9">
        <f>RU_Clean!D48</f>
        <v>42583</v>
      </c>
      <c r="E48" s="6"/>
      <c r="F48" s="6"/>
      <c r="G48" s="12">
        <f>IF(AND(ISNUMBER(RU_Clean!G48),ISNUMBER(RU_Clean!G47)),(RU_Clean!G48-RU_Clean!G47)/RU_Clean!G47*100,"")</f>
        <v>0.622568093385223</v>
      </c>
      <c r="H48" s="12">
        <f>IF(AND(ISNUMBER(RU_Clean!H48),ISNUMBER(RU_Clean!H47)),(RU_Clean!H48-RU_Clean!H47)/RU_Clean!H47*100,"")</f>
        <v>-1.34560906515579</v>
      </c>
      <c r="I48" s="12">
        <f>IF(AND(ISNUMBER(RU_Clean!I48),ISNUMBER(RU_Clean!I47)),(RU_Clean!I48-RU_Clean!I47)/RU_Clean!I47*100,"")</f>
        <v>-0.529100529100542</v>
      </c>
      <c r="J48" s="12">
        <f>IF(AND(ISNUMBER(RU_Clean!J48),ISNUMBER(RU_Clean!J47)),(RU_Clean!J48-RU_Clean!J47)/RU_Clean!J47*100,"")</f>
        <v>0.449438202247187</v>
      </c>
      <c r="K48" s="12">
        <f>IF(AND(ISNUMBER(RU_Clean!K48),ISNUMBER(RU_Clean!K47)),(RU_Clean!K48-RU_Clean!K47)/RU_Clean!K47*100,"")</f>
        <v>0.429553264604811</v>
      </c>
      <c r="L48" s="12">
        <f>IF(AND(ISNUMBER(RU_Clean!L48),ISNUMBER(RU_Clean!L47)),(RU_Clean!L48-RU_Clean!L47)/RU_Clean!L47*100,"")</f>
        <v>0.217706821480394</v>
      </c>
      <c r="M48" s="12">
        <f>IF(AND(ISNUMBER(RU_Clean!M48),ISNUMBER(RU_Clean!M47)),(RU_Clean!M48-RU_Clean!M47)/RU_Clean!M47*100,"")</f>
        <v>-3.80894800483677</v>
      </c>
      <c r="N48" s="12">
        <f>IF(AND(ISNUMBER(RU_Clean!N48),ISNUMBER(RU_Clean!N47)),(RU_Clean!N48-RU_Clean!N47)/RU_Clean!N47*100,"")</f>
        <v>-1.01465614430666</v>
      </c>
      <c r="O48" s="12">
        <f>IF(AND(ISNUMBER(RU_Clean!O48),ISNUMBER(RU_Clean!O47)),(RU_Clean!O48-RU_Clean!O47)/RU_Clean!O47*100,"")</f>
        <v>1.43755615453729</v>
      </c>
      <c r="P48" s="12">
        <f>IF(AND(ISNUMBER(RU_Clean!P48),ISNUMBER(RU_Clean!P47)),(RU_Clean!P48-RU_Clean!P47)/RU_Clean!P47*100,"")</f>
        <v>0.436363636363632</v>
      </c>
      <c r="Q48" s="12">
        <f>IF(AND(ISNUMBER(RU_Clean!Q48),ISNUMBER(RU_Clean!Q47)),(RU_Clean!Q48-RU_Clean!Q47)/RU_Clean!Q47*100,"")</f>
        <v>0.4</v>
      </c>
      <c r="R48" s="12">
        <f>IF(AND(ISNUMBER(RU_Clean!R48),ISNUMBER(RU_Clean!R47)),(RU_Clean!R48-RU_Clean!R47)/RU_Clean!R47*100,"")</f>
        <v>0.504322766570597</v>
      </c>
      <c r="S48" s="12">
        <f>IF(AND(ISNUMBER(RU_Clean!S48),ISNUMBER(RU_Clean!S47)),(RU_Clean!S48-RU_Clean!S47)/RU_Clean!S47*100,"")</f>
        <v>-0.361271676300578</v>
      </c>
      <c r="T48" s="12">
        <f>IF(AND(ISNUMBER(RU_Clean!T48),ISNUMBER(RU_Clean!T47)),(RU_Clean!T48-RU_Clean!T47)/RU_Clean!T47*100,"")</f>
        <v>0.646087580760931</v>
      </c>
      <c r="U48" s="12">
        <f>IF(AND(ISNUMBER(RU_Clean!U48),ISNUMBER(RU_Clean!U47)),(RU_Clean!U48-RU_Clean!U47)/RU_Clean!U47*100,"")</f>
        <v>0.449438202247187</v>
      </c>
      <c r="V48" s="12">
        <f>IF(AND(ISNUMBER(RU_Clean!V48),ISNUMBER(RU_Clean!V47)),(RU_Clean!V48-RU_Clean!V47)/RU_Clean!V47*100,"")</f>
        <v>0.470219435736673</v>
      </c>
      <c r="W48" s="12">
        <f>IF(AND(ISNUMBER(RU_Clean!W48),ISNUMBER(RU_Clean!W47)),(RU_Clean!W48-RU_Clean!W47)/RU_Clean!W47*100,"")</f>
        <v>0.376789751318764</v>
      </c>
      <c r="X48" s="12">
        <f>IF(AND(ISNUMBER(RU_Clean!X48),ISNUMBER(RU_Clean!X47)),(RU_Clean!X48-RU_Clean!X47)/RU_Clean!X47*100,"")</f>
        <v>0.712025316455689</v>
      </c>
      <c r="Y48" s="12">
        <f>IF(AND(ISNUMBER(RU_Clean!Y48),ISNUMBER(RU_Clean!Y47)),(RU_Clean!Y48-RU_Clean!Y47)/RU_Clean!Y47*100,"")</f>
        <v>0.162074554294966</v>
      </c>
      <c r="Z48" s="12">
        <f>IF(AND(ISNUMBER(RU_Clean!Z48),ISNUMBER(RU_Clean!Z47)),(RU_Clean!Z48-RU_Clean!Z47)/RU_Clean!Z47*100,"")</f>
        <v>0.394011032308905</v>
      </c>
      <c r="AA48" s="12">
        <f>IF(AND(ISNUMBER(RU_Clean!AA48),ISNUMBER(RU_Clean!AA47)),(RU_Clean!AA48-RU_Clean!AA47)/RU_Clean!AA47*100,"")</f>
        <v>0.240963855421684</v>
      </c>
      <c r="AB48" s="12">
        <f>IF(AND(ISNUMBER(RU_Clean!AB48),ISNUMBER(RU_Clean!AB47)),(RU_Clean!AB48-RU_Clean!AB47)/RU_Clean!AB47*100,"")</f>
        <v>-0.702370500438992</v>
      </c>
      <c r="AC48" s="12">
        <f>IF(AND(ISNUMBER(RU_Clean!AC48),ISNUMBER(RU_Clean!AC47)),(RU_Clean!AC48-RU_Clean!AC47)/RU_Clean!AC47*100,"")</f>
        <v>0.245098039215684</v>
      </c>
      <c r="AD48" s="12">
        <f>IF(AND(ISNUMBER(RU_Clean!AD48),ISNUMBER(RU_Clean!AD47)),(RU_Clean!AD48-RU_Clean!AD47)/RU_Clean!AD47*100,"")</f>
        <v>0.688073394495395</v>
      </c>
      <c r="AE48" s="12">
        <f>IF(AND(ISNUMBER(RU_Clean!AE48),ISNUMBER(RU_Clean!AE47)),(RU_Clean!AE48-RU_Clean!AE47)/RU_Clean!AE47*100,"")</f>
        <v>0.829875518672199</v>
      </c>
      <c r="AF48" s="12">
        <f>IF(AND(ISNUMBER(RU_Clean!AF48),ISNUMBER(RU_Clean!AF47)),(RU_Clean!AF48-RU_Clean!AF47)/RU_Clean!AF47*100,"")</f>
        <v>0.164068908941746</v>
      </c>
      <c r="AG48" s="12">
        <f>IF(AND(ISNUMBER(RU_Clean!AG48),ISNUMBER(RU_Clean!AG47)),(RU_Clean!AG48-RU_Clean!AG47)/RU_Clean!AG47*100,"")</f>
        <v>0</v>
      </c>
      <c r="AH48" s="12">
        <f>IF(AND(ISNUMBER(RU_Clean!AH48),ISNUMBER(RU_Clean!AH47)),(RU_Clean!AH48-RU_Clean!AH47)/RU_Clean!AH47*100,"")</f>
        <v>-0.310011549449876</v>
      </c>
    </row>
    <row r="49" spans="1:34">
      <c r="A49" s="6">
        <f>RU_Clean!A49</f>
        <v>2016</v>
      </c>
      <c r="B49" s="6">
        <f>RU_Clean!B49</f>
        <v>9</v>
      </c>
      <c r="C49" s="6" t="str">
        <f>RU_Clean!C49</f>
        <v>September</v>
      </c>
      <c r="D49" s="9">
        <f>RU_Clean!D49</f>
        <v>42614</v>
      </c>
      <c r="E49" s="6"/>
      <c r="F49" s="6"/>
      <c r="G49" s="12">
        <f>IF(AND(ISNUMBER(RU_Clean!G49),ISNUMBER(RU_Clean!G48)),(RU_Clean!G49-RU_Clean!G48)/RU_Clean!G48*100,"")</f>
        <v>0.464037122969833</v>
      </c>
      <c r="H49" s="12">
        <f>IF(AND(ISNUMBER(RU_Clean!H49),ISNUMBER(RU_Clean!H48)),(RU_Clean!H49-RU_Clean!H48)/RU_Clean!H48*100,"")</f>
        <v>-0.93323761665471</v>
      </c>
      <c r="I49" s="12">
        <f>IF(AND(ISNUMBER(RU_Clean!I49),ISNUMBER(RU_Clean!I48)),(RU_Clean!I49-RU_Clean!I48)/RU_Clean!I48*100,"")</f>
        <v>-0.835866261398172</v>
      </c>
      <c r="J49" s="12">
        <f>IF(AND(ISNUMBER(RU_Clean!J49),ISNUMBER(RU_Clean!J48)),(RU_Clean!J49-RU_Clean!J48)/RU_Clean!J48*100,"")</f>
        <v>0.223713646532447</v>
      </c>
      <c r="K49" s="12">
        <f>IF(AND(ISNUMBER(RU_Clean!K49),ISNUMBER(RU_Clean!K48)),(RU_Clean!K49-RU_Clean!K48)/RU_Clean!K48*100,"")</f>
        <v>0.256629597946961</v>
      </c>
      <c r="L49" s="12">
        <f>IF(AND(ISNUMBER(RU_Clean!L49),ISNUMBER(RU_Clean!L48)),(RU_Clean!L49-RU_Clean!L48)/RU_Clean!L48*100,"")</f>
        <v>-1.44822592324403</v>
      </c>
      <c r="M49" s="12">
        <f>IF(AND(ISNUMBER(RU_Clean!M49),ISNUMBER(RU_Clean!M48)),(RU_Clean!M49-RU_Clean!M48)/RU_Clean!M48*100,"")</f>
        <v>-5.27969830295412</v>
      </c>
      <c r="N49" s="12">
        <f>IF(AND(ISNUMBER(RU_Clean!N49),ISNUMBER(RU_Clean!N48)),(RU_Clean!N49-RU_Clean!N48)/RU_Clean!N48*100,"")</f>
        <v>-2.33485193621868</v>
      </c>
      <c r="O49" s="12">
        <f>IF(AND(ISNUMBER(RU_Clean!O49),ISNUMBER(RU_Clean!O48)),(RU_Clean!O49-RU_Clean!O48)/RU_Clean!O48*100,"")</f>
        <v>0.797165633303801</v>
      </c>
      <c r="P49" s="12">
        <f>IF(AND(ISNUMBER(RU_Clean!P49),ISNUMBER(RU_Clean!P48)),(RU_Clean!P49-RU_Clean!P48)/RU_Clean!P48*100,"")</f>
        <v>0.506879073135421</v>
      </c>
      <c r="Q49" s="12">
        <f>IF(AND(ISNUMBER(RU_Clean!Q49),ISNUMBER(RU_Clean!Q48)),(RU_Clean!Q49-RU_Clean!Q48)/RU_Clean!Q48*100,"")</f>
        <v>0.398406374501992</v>
      </c>
      <c r="R49" s="12">
        <f>IF(AND(ISNUMBER(RU_Clean!R49),ISNUMBER(RU_Clean!R48)),(RU_Clean!R49-RU_Clean!R48)/RU_Clean!R48*100,"")</f>
        <v>0.501792114695332</v>
      </c>
      <c r="S49" s="12">
        <f>IF(AND(ISNUMBER(RU_Clean!S49),ISNUMBER(RU_Clean!S48)),(RU_Clean!S49-RU_Clean!S48)/RU_Clean!S48*100,"")</f>
        <v>-0.942712110224809</v>
      </c>
      <c r="T49" s="12">
        <f>IF(AND(ISNUMBER(RU_Clean!T49),ISNUMBER(RU_Clean!T48)),(RU_Clean!T49-RU_Clean!T48)/RU_Clean!T48*100,"")</f>
        <v>0.570613409415129</v>
      </c>
      <c r="U49" s="12">
        <f>IF(AND(ISNUMBER(RU_Clean!U49),ISNUMBER(RU_Clean!U48)),(RU_Clean!U49-RU_Clean!U48)/RU_Clean!U48*100,"")</f>
        <v>0.372856077554064</v>
      </c>
      <c r="V49" s="12">
        <f>IF(AND(ISNUMBER(RU_Clean!V49),ISNUMBER(RU_Clean!V48)),(RU_Clean!V49-RU_Clean!V48)/RU_Clean!V48*100,"")</f>
        <v>0.312012480499224</v>
      </c>
      <c r="W49" s="12">
        <f>IF(AND(ISNUMBER(RU_Clean!W49),ISNUMBER(RU_Clean!W48)),(RU_Clean!W49-RU_Clean!W48)/RU_Clean!W48*100,"")</f>
        <v>0.450450450450468</v>
      </c>
      <c r="X49" s="12">
        <f>IF(AND(ISNUMBER(RU_Clean!X49),ISNUMBER(RU_Clean!X48)),(RU_Clean!X49-RU_Clean!X48)/RU_Clean!X48*100,"")</f>
        <v>0.471327572663008</v>
      </c>
      <c r="Y49" s="12">
        <f>IF(AND(ISNUMBER(RU_Clean!Y49),ISNUMBER(RU_Clean!Y48)),(RU_Clean!Y49-RU_Clean!Y48)/RU_Clean!Y48*100,"")</f>
        <v>0.40453074433657</v>
      </c>
      <c r="Z49" s="12">
        <f>IF(AND(ISNUMBER(RU_Clean!Z49),ISNUMBER(RU_Clean!Z48)),(RU_Clean!Z49-RU_Clean!Z48)/RU_Clean!Z48*100,"")</f>
        <v>0.392464678178964</v>
      </c>
      <c r="AA49" s="12">
        <f>IF(AND(ISNUMBER(RU_Clean!AA49),ISNUMBER(RU_Clean!AA48)),(RU_Clean!AA49-RU_Clean!AA48)/RU_Clean!AA48*100,"")</f>
        <v>0.480769230769238</v>
      </c>
      <c r="AB49" s="12">
        <f>IF(AND(ISNUMBER(RU_Clean!AB49),ISNUMBER(RU_Clean!AB48)),(RU_Clean!AB49-RU_Clean!AB48)/RU_Clean!AB48*100,"")</f>
        <v>1.06100795755968</v>
      </c>
      <c r="AC49" s="12">
        <f>IF(AND(ISNUMBER(RU_Clean!AC49),ISNUMBER(RU_Clean!AC48)),(RU_Clean!AC49-RU_Clean!AC48)/RU_Clean!AC48*100,"")</f>
        <v>0.162999185004077</v>
      </c>
      <c r="AD49" s="12">
        <f>IF(AND(ISNUMBER(RU_Clean!AD49),ISNUMBER(RU_Clean!AD48)),(RU_Clean!AD49-RU_Clean!AD48)/RU_Clean!AD48*100,"")</f>
        <v>0.0759301442672914</v>
      </c>
      <c r="AE49" s="12">
        <f>IF(AND(ISNUMBER(RU_Clean!AE49),ISNUMBER(RU_Clean!AE48)),(RU_Clean!AE49-RU_Clean!AE48)/RU_Clean!AE48*100,"")</f>
        <v>0.493827160493822</v>
      </c>
      <c r="AF49" s="12">
        <f>IF(AND(ISNUMBER(RU_Clean!AF49),ISNUMBER(RU_Clean!AF48)),(RU_Clean!AF49-RU_Clean!AF48)/RU_Clean!AF48*100,"")</f>
        <v>0.573300573300576</v>
      </c>
      <c r="AG49" s="12">
        <f>IF(AND(ISNUMBER(RU_Clean!AG49),ISNUMBER(RU_Clean!AG48)),(RU_Clean!AG49-RU_Clean!AG48)/RU_Clean!AG48*100,"")</f>
        <v>-0.152555301296711</v>
      </c>
      <c r="AH49" s="12">
        <f>IF(AND(ISNUMBER(RU_Clean!AH49),ISNUMBER(RU_Clean!AH48)),(RU_Clean!AH49-RU_Clean!AH48)/RU_Clean!AH48*100,"")</f>
        <v>-0.786585365853664</v>
      </c>
    </row>
    <row r="50" spans="1:34">
      <c r="A50" s="6">
        <f>RU_Clean!A50</f>
        <v>2016</v>
      </c>
      <c r="B50" s="6">
        <f>RU_Clean!B50</f>
        <v>10</v>
      </c>
      <c r="C50" s="6" t="str">
        <f>RU_Clean!C50</f>
        <v>October</v>
      </c>
      <c r="D50" s="9">
        <f>RU_Clean!D50</f>
        <v>42644</v>
      </c>
      <c r="E50" s="6"/>
      <c r="F50" s="6"/>
      <c r="G50" s="12">
        <f>IF(AND(ISNUMBER(RU_Clean!G50),ISNUMBER(RU_Clean!G49)),(RU_Clean!G50-RU_Clean!G49)/RU_Clean!G49*100,"")</f>
        <v>0.461893764434176</v>
      </c>
      <c r="H50" s="12">
        <f>IF(AND(ISNUMBER(RU_Clean!H50),ISNUMBER(RU_Clean!H49)),(RU_Clean!H50-RU_Clean!H49)/RU_Clean!H49*100,"")</f>
        <v>-0.0724637681159379</v>
      </c>
      <c r="I50" s="12">
        <f>IF(AND(ISNUMBER(RU_Clean!I50),ISNUMBER(RU_Clean!I49)),(RU_Clean!I50-RU_Clean!I49)/RU_Clean!I49*100,"")</f>
        <v>-0.229885057471273</v>
      </c>
      <c r="J50" s="12">
        <f>IF(AND(ISNUMBER(RU_Clean!J50),ISNUMBER(RU_Clean!J49)),(RU_Clean!J50-RU_Clean!J49)/RU_Clean!J49*100,"")</f>
        <v>0.297619047619052</v>
      </c>
      <c r="K50" s="12">
        <f>IF(AND(ISNUMBER(RU_Clean!K50),ISNUMBER(RU_Clean!K49)),(RU_Clean!K50-RU_Clean!K49)/RU_Clean!K49*100,"")</f>
        <v>0.511945392491463</v>
      </c>
      <c r="L50" s="12">
        <f>IF(AND(ISNUMBER(RU_Clean!L50),ISNUMBER(RU_Clean!L49)),(RU_Clean!L50-RU_Clean!L49)/RU_Clean!L49*100,"")</f>
        <v>-1.02865540044086</v>
      </c>
      <c r="M50" s="12">
        <f>IF(AND(ISNUMBER(RU_Clean!M50),ISNUMBER(RU_Clean!M49)),(RU_Clean!M50-RU_Clean!M49)/RU_Clean!M49*100,"")</f>
        <v>0.33178500331785</v>
      </c>
      <c r="N50" s="12">
        <f>IF(AND(ISNUMBER(RU_Clean!N50),ISNUMBER(RU_Clean!N49)),(RU_Clean!N50-RU_Clean!N49)/RU_Clean!N49*100,"")</f>
        <v>0.349854227405245</v>
      </c>
      <c r="O50" s="12">
        <f>IF(AND(ISNUMBER(RU_Clean!O50),ISNUMBER(RU_Clean!O49)),(RU_Clean!O50-RU_Clean!O49)/RU_Clean!O49*100,"")</f>
        <v>0.263620386643231</v>
      </c>
      <c r="P50" s="12">
        <f>IF(AND(ISNUMBER(RU_Clean!P50),ISNUMBER(RU_Clean!P49)),(RU_Clean!P50-RU_Clean!P49)/RU_Clean!P49*100,"")</f>
        <v>0.360230547550432</v>
      </c>
      <c r="Q50" s="12">
        <f>IF(AND(ISNUMBER(RU_Clean!Q50),ISNUMBER(RU_Clean!Q49)),(RU_Clean!Q50-RU_Clean!Q49)/RU_Clean!Q49*100,"")</f>
        <v>0.0793650793650749</v>
      </c>
      <c r="R50" s="12">
        <f>IF(AND(ISNUMBER(RU_Clean!R50),ISNUMBER(RU_Clean!R49)),(RU_Clean!R50-RU_Clean!R49)/RU_Clean!R49*100,"")</f>
        <v>0.641940085592016</v>
      </c>
      <c r="S50" s="12">
        <f>IF(AND(ISNUMBER(RU_Clean!S50),ISNUMBER(RU_Clean!S49)),(RU_Clean!S50-RU_Clean!S49)/RU_Clean!S49*100,"")</f>
        <v>0.292825768667647</v>
      </c>
      <c r="T50" s="12">
        <f>IF(AND(ISNUMBER(RU_Clean!T50),ISNUMBER(RU_Clean!T49)),(RU_Clean!T50-RU_Clean!T49)/RU_Clean!T49*100,"")</f>
        <v>0.567375886524831</v>
      </c>
      <c r="U50" s="12">
        <f>IF(AND(ISNUMBER(RU_Clean!U50),ISNUMBER(RU_Clean!U49)),(RU_Clean!U50-RU_Clean!U49)/RU_Clean!U49*100,"")</f>
        <v>0.668647845468058</v>
      </c>
      <c r="V50" s="12">
        <f>IF(AND(ISNUMBER(RU_Clean!V50),ISNUMBER(RU_Clean!V49)),(RU_Clean!V50-RU_Clean!V49)/RU_Clean!V49*100,"")</f>
        <v>0.388802488335925</v>
      </c>
      <c r="W50" s="12">
        <f>IF(AND(ISNUMBER(RU_Clean!W50),ISNUMBER(RU_Clean!W49)),(RU_Clean!W50-RU_Clean!W49)/RU_Clean!W49*100,"")</f>
        <v>0.523168908819124</v>
      </c>
      <c r="X50" s="12">
        <f>IF(AND(ISNUMBER(RU_Clean!X50),ISNUMBER(RU_Clean!X49)),(RU_Clean!X50-RU_Clean!X49)/RU_Clean!X49*100,"")</f>
        <v>0.625488663017969</v>
      </c>
      <c r="Y50" s="12">
        <f>IF(AND(ISNUMBER(RU_Clean!Y50),ISNUMBER(RU_Clean!Y49)),(RU_Clean!Y50-RU_Clean!Y49)/RU_Clean!Y49*100,"")</f>
        <v>0.161160354552782</v>
      </c>
      <c r="Z50" s="12">
        <f>IF(AND(ISNUMBER(RU_Clean!Z50),ISNUMBER(RU_Clean!Z49)),(RU_Clean!Z50-RU_Clean!Z49)/RU_Clean!Z49*100,"")</f>
        <v>0.390930414386239</v>
      </c>
      <c r="AA50" s="12">
        <f>IF(AND(ISNUMBER(RU_Clean!AA50),ISNUMBER(RU_Clean!AA49)),(RU_Clean!AA50-RU_Clean!AA49)/RU_Clean!AA49*100,"")</f>
        <v>0.558213716108444</v>
      </c>
      <c r="AB50" s="12">
        <f>IF(AND(ISNUMBER(RU_Clean!AB50),ISNUMBER(RU_Clean!AB49)),(RU_Clean!AB50-RU_Clean!AB49)/RU_Clean!AB49*100,"")</f>
        <v>0.787401574803155</v>
      </c>
      <c r="AC50" s="12">
        <f>IF(AND(ISNUMBER(RU_Clean!AC50),ISNUMBER(RU_Clean!AC49)),(RU_Clean!AC50-RU_Clean!AC49)/RU_Clean!AC49*100,"")</f>
        <v>0.488201790073226</v>
      </c>
      <c r="AD50" s="12">
        <f>IF(AND(ISNUMBER(RU_Clean!AD50),ISNUMBER(RU_Clean!AD49)),(RU_Clean!AD50-RU_Clean!AD49)/RU_Clean!AD49*100,"")</f>
        <v>0.455235204855838</v>
      </c>
      <c r="AE50" s="12">
        <f>IF(AND(ISNUMBER(RU_Clean!AE50),ISNUMBER(RU_Clean!AE49)),(RU_Clean!AE50-RU_Clean!AE49)/RU_Clean!AE49*100,"")</f>
        <v>0</v>
      </c>
      <c r="AF50" s="12">
        <f>IF(AND(ISNUMBER(RU_Clean!AF50),ISNUMBER(RU_Clean!AF49)),(RU_Clean!AF50-RU_Clean!AF49)/RU_Clean!AF49*100,"")</f>
        <v>0.488599348534209</v>
      </c>
      <c r="AG50" s="12">
        <f>IF(AND(ISNUMBER(RU_Clean!AG50),ISNUMBER(RU_Clean!AG49)),(RU_Clean!AG50-RU_Clean!AG49)/RU_Clean!AG49*100,"")</f>
        <v>0.381970970206264</v>
      </c>
      <c r="AH50" s="12">
        <f>IF(AND(ISNUMBER(RU_Clean!AH50),ISNUMBER(RU_Clean!AH49)),(RU_Clean!AH50-RU_Clean!AH49)/RU_Clean!AH49*100,"")</f>
        <v>0.165939401388949</v>
      </c>
    </row>
    <row r="51" spans="1:34">
      <c r="A51" s="6">
        <f>RU_Clean!A51</f>
        <v>2016</v>
      </c>
      <c r="B51" s="6">
        <f>RU_Clean!B51</f>
        <v>11</v>
      </c>
      <c r="C51" s="6" t="str">
        <f>RU_Clean!C51</f>
        <v>November</v>
      </c>
      <c r="D51" s="9">
        <f>RU_Clean!D51</f>
        <v>42675</v>
      </c>
      <c r="E51" s="6"/>
      <c r="F51" s="6"/>
      <c r="G51" s="12">
        <f>IF(AND(ISNUMBER(RU_Clean!G51),ISNUMBER(RU_Clean!G50)),(RU_Clean!G51-RU_Clean!G50)/RU_Clean!G50*100,"")</f>
        <v>0.689655172413797</v>
      </c>
      <c r="H51" s="12">
        <f>IF(AND(ISNUMBER(RU_Clean!H51),ISNUMBER(RU_Clean!H50)),(RU_Clean!H51-RU_Clean!H50)/RU_Clean!H50*100,"")</f>
        <v>-0.0725163161711344</v>
      </c>
      <c r="I51" s="12">
        <f>IF(AND(ISNUMBER(RU_Clean!I51),ISNUMBER(RU_Clean!I50)),(RU_Clean!I51-RU_Clean!I50)/RU_Clean!I50*100,"")</f>
        <v>1.38248847926268</v>
      </c>
      <c r="J51" s="12">
        <f>IF(AND(ISNUMBER(RU_Clean!J51),ISNUMBER(RU_Clean!J50)),(RU_Clean!J51-RU_Clean!J50)/RU_Clean!J50*100,"")</f>
        <v>0.148367952522247</v>
      </c>
      <c r="K51" s="12">
        <f>IF(AND(ISNUMBER(RU_Clean!K51),ISNUMBER(RU_Clean!K50)),(RU_Clean!K51-RU_Clean!K50)/RU_Clean!K50*100,"")</f>
        <v>0.169779286926997</v>
      </c>
      <c r="L51" s="12">
        <f>IF(AND(ISNUMBER(RU_Clean!L51),ISNUMBER(RU_Clean!L50)),(RU_Clean!L51-RU_Clean!L50)/RU_Clean!L50*100,"")</f>
        <v>-0.445434298440976</v>
      </c>
      <c r="M51" s="12">
        <f>IF(AND(ISNUMBER(RU_Clean!M51),ISNUMBER(RU_Clean!M50)),(RU_Clean!M51-RU_Clean!M50)/RU_Clean!M50*100,"")</f>
        <v>-6.15079365079364</v>
      </c>
      <c r="N51" s="12">
        <f>IF(AND(ISNUMBER(RU_Clean!N51),ISNUMBER(RU_Clean!N50)),(RU_Clean!N51-RU_Clean!N50)/RU_Clean!N50*100,"")</f>
        <v>-0.232423009877981</v>
      </c>
      <c r="O51" s="12">
        <f>IF(AND(ISNUMBER(RU_Clean!O51),ISNUMBER(RU_Clean!O50)),(RU_Clean!O51-RU_Clean!O50)/RU_Clean!O50*100,"")</f>
        <v>0</v>
      </c>
      <c r="P51" s="12">
        <f>IF(AND(ISNUMBER(RU_Clean!P51),ISNUMBER(RU_Clean!P50)),(RU_Clean!P51-RU_Clean!P50)/RU_Clean!P50*100,"")</f>
        <v>0.287150035893738</v>
      </c>
      <c r="Q51" s="12">
        <f>IF(AND(ISNUMBER(RU_Clean!Q51),ISNUMBER(RU_Clean!Q50)),(RU_Clean!Q51-RU_Clean!Q50)/RU_Clean!Q50*100,"")</f>
        <v>0.079302141157818</v>
      </c>
      <c r="R51" s="12">
        <f>IF(AND(ISNUMBER(RU_Clean!R51),ISNUMBER(RU_Clean!R50)),(RU_Clean!R51-RU_Clean!R50)/RU_Clean!R50*100,"")</f>
        <v>0.496102055279955</v>
      </c>
      <c r="S51" s="12">
        <f>IF(AND(ISNUMBER(RU_Clean!S51),ISNUMBER(RU_Clean!S50)),(RU_Clean!S51-RU_Clean!S50)/RU_Clean!S50*100,"")</f>
        <v>-0.656934306569347</v>
      </c>
      <c r="T51" s="12">
        <f>IF(AND(ISNUMBER(RU_Clean!T51),ISNUMBER(RU_Clean!T50)),(RU_Clean!T51-RU_Clean!T50)/RU_Clean!T50*100,"")</f>
        <v>0.141043723554294</v>
      </c>
      <c r="U51" s="12">
        <f>IF(AND(ISNUMBER(RU_Clean!U51),ISNUMBER(RU_Clean!U50)),(RU_Clean!U51-RU_Clean!U50)/RU_Clean!U50*100,"")</f>
        <v>0.221402214022149</v>
      </c>
      <c r="V51" s="12">
        <f>IF(AND(ISNUMBER(RU_Clean!V51),ISNUMBER(RU_Clean!V50)),(RU_Clean!V51-RU_Clean!V50)/RU_Clean!V50*100,"")</f>
        <v>0.154918667699471</v>
      </c>
      <c r="W51" s="12">
        <f>IF(AND(ISNUMBER(RU_Clean!W51),ISNUMBER(RU_Clean!W50)),(RU_Clean!W51-RU_Clean!W50)/RU_Clean!W50*100,"")</f>
        <v>0.371747211895911</v>
      </c>
      <c r="X51" s="12">
        <f>IF(AND(ISNUMBER(RU_Clean!X51),ISNUMBER(RU_Clean!X50)),(RU_Clean!X51-RU_Clean!X50)/RU_Clean!X50*100,"")</f>
        <v>0.310800310800315</v>
      </c>
      <c r="Y51" s="12">
        <f>IF(AND(ISNUMBER(RU_Clean!Y51),ISNUMBER(RU_Clean!Y50)),(RU_Clean!Y51-RU_Clean!Y50)/RU_Clean!Y50*100,"")</f>
        <v>0.563153660498795</v>
      </c>
      <c r="Z51" s="12">
        <f>IF(AND(ISNUMBER(RU_Clean!Z51),ISNUMBER(RU_Clean!Z50)),(RU_Clean!Z51-RU_Clean!Z50)/RU_Clean!Z50*100,"")</f>
        <v>0.155763239875381</v>
      </c>
      <c r="AA51" s="12">
        <f>IF(AND(ISNUMBER(RU_Clean!AA51),ISNUMBER(RU_Clean!AA50)),(RU_Clean!AA51-RU_Clean!AA50)/RU_Clean!AA50*100,"")</f>
        <v>0.237906423473443</v>
      </c>
      <c r="AB51" s="12">
        <f>IF(AND(ISNUMBER(RU_Clean!AB51),ISNUMBER(RU_Clean!AB50)),(RU_Clean!AB51-RU_Clean!AB50)/RU_Clean!AB50*100,"")</f>
        <v>0.434027777777778</v>
      </c>
      <c r="AC51" s="12">
        <f>IF(AND(ISNUMBER(RU_Clean!AC51),ISNUMBER(RU_Clean!AC50)),(RU_Clean!AC51-RU_Clean!AC50)/RU_Clean!AC50*100,"")</f>
        <v>0.404858299595142</v>
      </c>
      <c r="AD51" s="12">
        <f>IF(AND(ISNUMBER(RU_Clean!AD51),ISNUMBER(RU_Clean!AD50)),(RU_Clean!AD51-RU_Clean!AD50)/RU_Clean!AD50*100,"")</f>
        <v>0.302114803625382</v>
      </c>
      <c r="AE51" s="12">
        <f>IF(AND(ISNUMBER(RU_Clean!AE51),ISNUMBER(RU_Clean!AE50)),(RU_Clean!AE51-RU_Clean!AE50)/RU_Clean!AE50*100,"")</f>
        <v>0.40950040950041</v>
      </c>
      <c r="AF51" s="12">
        <f>IF(AND(ISNUMBER(RU_Clean!AF51),ISNUMBER(RU_Clean!AF50)),(RU_Clean!AF51-RU_Clean!AF50)/RU_Clean!AF50*100,"")</f>
        <v>0.324149108589944</v>
      </c>
      <c r="AG51" s="12">
        <f>IF(AND(ISNUMBER(RU_Clean!AG51),ISNUMBER(RU_Clean!AG50)),(RU_Clean!AG51-RU_Clean!AG50)/RU_Clean!AG50*100,"")</f>
        <v>-0.152207001522083</v>
      </c>
      <c r="AH51" s="12">
        <f>IF(AND(ISNUMBER(RU_Clean!AH51),ISNUMBER(RU_Clean!AH50)),(RU_Clean!AH51-RU_Clean!AH50)/RU_Clean!AH50*100,"")</f>
        <v>-0.374279052644463</v>
      </c>
    </row>
    <row r="52" spans="1:34">
      <c r="A52" s="6">
        <f>RU_Clean!A52</f>
        <v>2016</v>
      </c>
      <c r="B52" s="6">
        <f>RU_Clean!B52</f>
        <v>12</v>
      </c>
      <c r="C52" s="6" t="str">
        <f>RU_Clean!C52</f>
        <v>December</v>
      </c>
      <c r="D52" s="9">
        <f>RU_Clean!D52</f>
        <v>42705</v>
      </c>
      <c r="E52" s="6"/>
      <c r="F52" s="6"/>
      <c r="G52" s="12">
        <f>IF(AND(ISNUMBER(RU_Clean!G52),ISNUMBER(RU_Clean!G51)),(RU_Clean!G52-RU_Clean!G51)/RU_Clean!G51*100,"")</f>
        <v>0.684931506849319</v>
      </c>
      <c r="H52" s="12">
        <f>IF(AND(ISNUMBER(RU_Clean!H52),ISNUMBER(RU_Clean!H51)),(RU_Clean!H52-RU_Clean!H51)/RU_Clean!H51*100,"")</f>
        <v>-0.14513788098695</v>
      </c>
      <c r="I52" s="12">
        <f>IF(AND(ISNUMBER(RU_Clean!I52),ISNUMBER(RU_Clean!I51)),(RU_Clean!I52-RU_Clean!I51)/RU_Clean!I51*100,"")</f>
        <v>0.681818181818186</v>
      </c>
      <c r="J52" s="12">
        <f>IF(AND(ISNUMBER(RU_Clean!J52),ISNUMBER(RU_Clean!J51)),(RU_Clean!J52-RU_Clean!J51)/RU_Clean!J51*100,"")</f>
        <v>0.0740740740740699</v>
      </c>
      <c r="K52" s="12">
        <f>IF(AND(ISNUMBER(RU_Clean!K52),ISNUMBER(RU_Clean!K51)),(RU_Clean!K52-RU_Clean!K51)/RU_Clean!K51*100,"")</f>
        <v>0.508474576271182</v>
      </c>
      <c r="L52" s="12">
        <f>IF(AND(ISNUMBER(RU_Clean!L52),ISNUMBER(RU_Clean!L51)),(RU_Clean!L52-RU_Clean!L51)/RU_Clean!L51*100,"")</f>
        <v>-1.04399701715138</v>
      </c>
      <c r="M52" s="12">
        <f>IF(AND(ISNUMBER(RU_Clean!M52),ISNUMBER(RU_Clean!M51)),(RU_Clean!M52-RU_Clean!M51)/RU_Clean!M51*100,"")</f>
        <v>-11.6983791402396</v>
      </c>
      <c r="N52" s="12">
        <f>IF(AND(ISNUMBER(RU_Clean!N52),ISNUMBER(RU_Clean!N51)),(RU_Clean!N52-RU_Clean!N51)/RU_Clean!N51*100,"")</f>
        <v>-1.7472335468841</v>
      </c>
      <c r="O52" s="12">
        <f>IF(AND(ISNUMBER(RU_Clean!O52),ISNUMBER(RU_Clean!O51)),(RU_Clean!O52-RU_Clean!O51)/RU_Clean!O51*100,"")</f>
        <v>0.262927256792297</v>
      </c>
      <c r="P52" s="12">
        <f>IF(AND(ISNUMBER(RU_Clean!P52),ISNUMBER(RU_Clean!P51)),(RU_Clean!P52-RU_Clean!P51)/RU_Clean!P51*100,"")</f>
        <v>0.357909806728704</v>
      </c>
      <c r="Q52" s="12">
        <f>IF(AND(ISNUMBER(RU_Clean!Q52),ISNUMBER(RU_Clean!Q51)),(RU_Clean!Q52-RU_Clean!Q51)/RU_Clean!Q51*100,"")</f>
        <v>0.316957210776538</v>
      </c>
      <c r="R52" s="12">
        <f>IF(AND(ISNUMBER(RU_Clean!R52),ISNUMBER(RU_Clean!R51)),(RU_Clean!R52-RU_Clean!R51)/RU_Clean!R51*100,"")</f>
        <v>0.352609308885755</v>
      </c>
      <c r="S52" s="12">
        <f>IF(AND(ISNUMBER(RU_Clean!S52),ISNUMBER(RU_Clean!S51)),(RU_Clean!S52-RU_Clean!S51)/RU_Clean!S51*100,"")</f>
        <v>-1.54298310066127</v>
      </c>
      <c r="T52" s="12">
        <f>IF(AND(ISNUMBER(RU_Clean!T52),ISNUMBER(RU_Clean!T51)),(RU_Clean!T52-RU_Clean!T51)/RU_Clean!T51*100,"")</f>
        <v>0.77464788732394</v>
      </c>
      <c r="U52" s="12">
        <f>IF(AND(ISNUMBER(RU_Clean!U52),ISNUMBER(RU_Clean!U51)),(RU_Clean!U52-RU_Clean!U51)/RU_Clean!U51*100,"")</f>
        <v>0.368188512518409</v>
      </c>
      <c r="V52" s="12">
        <f>IF(AND(ISNUMBER(RU_Clean!V52),ISNUMBER(RU_Clean!V51)),(RU_Clean!V52-RU_Clean!V51)/RU_Clean!V51*100,"")</f>
        <v>0.386697602474865</v>
      </c>
      <c r="W52" s="12">
        <f>IF(AND(ISNUMBER(RU_Clean!W52),ISNUMBER(RU_Clean!W51)),(RU_Clean!W52-RU_Clean!W51)/RU_Clean!W51*100,"")</f>
        <v>0.2962962962963</v>
      </c>
      <c r="X52" s="12">
        <f>IF(AND(ISNUMBER(RU_Clean!X52),ISNUMBER(RU_Clean!X51)),(RU_Clean!X52-RU_Clean!X51)/RU_Clean!X51*100,"")</f>
        <v>-0.464756003098369</v>
      </c>
      <c r="Y52" s="12">
        <f>IF(AND(ISNUMBER(RU_Clean!Y52),ISNUMBER(RU_Clean!Y51)),(RU_Clean!Y52-RU_Clean!Y51)/RU_Clean!Y51*100,"")</f>
        <v>1.28</v>
      </c>
      <c r="Z52" s="12">
        <f>IF(AND(ISNUMBER(RU_Clean!Z52),ISNUMBER(RU_Clean!Z51)),(RU_Clean!Z52-RU_Clean!Z51)/RU_Clean!Z51*100,"")</f>
        <v>0.466562986003106</v>
      </c>
      <c r="AA52" s="12">
        <f>IF(AND(ISNUMBER(RU_Clean!AA52),ISNUMBER(RU_Clean!AA51)),(RU_Clean!AA52-RU_Clean!AA51)/RU_Clean!AA51*100,"")</f>
        <v>0.395569620253164</v>
      </c>
      <c r="AB52" s="12">
        <f>IF(AND(ISNUMBER(RU_Clean!AB52),ISNUMBER(RU_Clean!AB51)),(RU_Clean!AB52-RU_Clean!AB51)/RU_Clean!AB51*100,"")</f>
        <v>0.259291270527223</v>
      </c>
      <c r="AC52" s="12">
        <f>IF(AND(ISNUMBER(RU_Clean!AC52),ISNUMBER(RU_Clean!AC51)),(RU_Clean!AC52-RU_Clean!AC51)/RU_Clean!AC51*100,"")</f>
        <v>0.161290322580647</v>
      </c>
      <c r="AD52" s="12">
        <f>IF(AND(ISNUMBER(RU_Clean!AD52),ISNUMBER(RU_Clean!AD51)),(RU_Clean!AD52-RU_Clean!AD51)/RU_Clean!AD51*100,"")</f>
        <v>0.225903614457818</v>
      </c>
      <c r="AE52" s="12">
        <f>IF(AND(ISNUMBER(RU_Clean!AE52),ISNUMBER(RU_Clean!AE51)),(RU_Clean!AE52-RU_Clean!AE51)/RU_Clean!AE51*100,"")</f>
        <v>-1.22349102773246</v>
      </c>
      <c r="AF52" s="12">
        <f>IF(AND(ISNUMBER(RU_Clean!AF52),ISNUMBER(RU_Clean!AF51)),(RU_Clean!AF52-RU_Clean!AF51)/RU_Clean!AF51*100,"")</f>
        <v>0.0807754442649503</v>
      </c>
      <c r="AG52" s="12">
        <f>IF(AND(ISNUMBER(RU_Clean!AG52),ISNUMBER(RU_Clean!AG51)),(RU_Clean!AG52-RU_Clean!AG51)/RU_Clean!AG51*100,"")</f>
        <v>-0.609756097560963</v>
      </c>
      <c r="AH52" s="12">
        <f>IF(AND(ISNUMBER(RU_Clean!AH52),ISNUMBER(RU_Clean!AH51)),(RU_Clean!AH52-RU_Clean!AH51)/RU_Clean!AH51*100,"")</f>
        <v>-1.04699143930529</v>
      </c>
    </row>
    <row r="53" spans="1:34">
      <c r="A53" s="6">
        <f>RU_Clean!A53</f>
        <v>2017</v>
      </c>
      <c r="B53" s="6">
        <f>RU_Clean!B53</f>
        <v>1</v>
      </c>
      <c r="C53" s="6" t="str">
        <f>RU_Clean!C53</f>
        <v>January</v>
      </c>
      <c r="D53" s="9">
        <f>RU_Clean!D53</f>
        <v>42736</v>
      </c>
      <c r="E53" s="6"/>
      <c r="F53" s="6"/>
      <c r="G53" s="12">
        <f>IF(AND(ISNUMBER(RU_Clean!G53),ISNUMBER(RU_Clean!G52)),(RU_Clean!G53-RU_Clean!G52)/RU_Clean!G52*100,"")</f>
        <v>0.377928949357521</v>
      </c>
      <c r="H53" s="12">
        <f>IF(AND(ISNUMBER(RU_Clean!H53),ISNUMBER(RU_Clean!H52)),(RU_Clean!H53-RU_Clean!H52)/RU_Clean!H52*100,"")</f>
        <v>0.436046511627903</v>
      </c>
      <c r="I53" s="12">
        <f>IF(AND(ISNUMBER(RU_Clean!I53),ISNUMBER(RU_Clean!I52)),(RU_Clean!I53-RU_Clean!I52)/RU_Clean!I52*100,"")</f>
        <v>-0.526711813393542</v>
      </c>
      <c r="J53" s="12">
        <f>IF(AND(ISNUMBER(RU_Clean!J53),ISNUMBER(RU_Clean!J52)),(RU_Clean!J53-RU_Clean!J52)/RU_Clean!J52*100,"")</f>
        <v>0.222057735011111</v>
      </c>
      <c r="K53" s="12">
        <f>IF(AND(ISNUMBER(RU_Clean!K53),ISNUMBER(RU_Clean!K52)),(RU_Clean!K53-RU_Clean!K52)/RU_Clean!K52*100,"")</f>
        <v>0.421585160202361</v>
      </c>
      <c r="L53" s="12">
        <f>IF(AND(ISNUMBER(RU_Clean!L53),ISNUMBER(RU_Clean!L52)),(RU_Clean!L53-RU_Clean!L52)/RU_Clean!L52*100,"")</f>
        <v>0.226073850791267</v>
      </c>
      <c r="M53" s="12">
        <f>IF(AND(ISNUMBER(RU_Clean!M53),ISNUMBER(RU_Clean!M52)),(RU_Clean!M53-RU_Clean!M52)/RU_Clean!M52*100,"")</f>
        <v>-4.70869912210694</v>
      </c>
      <c r="N53" s="12">
        <f>IF(AND(ISNUMBER(RU_Clean!N53),ISNUMBER(RU_Clean!N52)),(RU_Clean!N53-RU_Clean!N52)/RU_Clean!N52*100,"")</f>
        <v>-5.45346769413159</v>
      </c>
      <c r="O53" s="12">
        <f>IF(AND(ISNUMBER(RU_Clean!O53),ISNUMBER(RU_Clean!O52)),(RU_Clean!O53-RU_Clean!O52)/RU_Clean!O52*100,"")</f>
        <v>1.04895104895104</v>
      </c>
      <c r="P53" s="12">
        <f>IF(AND(ISNUMBER(RU_Clean!P53),ISNUMBER(RU_Clean!P52)),(RU_Clean!P53-RU_Clean!P52)/RU_Clean!P52*100,"")</f>
        <v>-0.427960057061337</v>
      </c>
      <c r="Q53" s="12">
        <f>IF(AND(ISNUMBER(RU_Clean!Q53),ISNUMBER(RU_Clean!Q52)),(RU_Clean!Q53-RU_Clean!Q52)/RU_Clean!Q52*100,"")</f>
        <v>0</v>
      </c>
      <c r="R53" s="12">
        <f>IF(AND(ISNUMBER(RU_Clean!R53),ISNUMBER(RU_Clean!R52)),(RU_Clean!R53-RU_Clean!R52)/RU_Clean!R52*100,"")</f>
        <v>0.351370344342937</v>
      </c>
      <c r="S53" s="12">
        <f>IF(AND(ISNUMBER(RU_Clean!S53),ISNUMBER(RU_Clean!S52)),(RU_Clean!S53-RU_Clean!S52)/RU_Clean!S52*100,"")</f>
        <v>-0.67164179104478</v>
      </c>
      <c r="T53" s="12">
        <f>IF(AND(ISNUMBER(RU_Clean!T53),ISNUMBER(RU_Clean!T52)),(RU_Clean!T53-RU_Clean!T52)/RU_Clean!T52*100,"")</f>
        <v>0.489168413696728</v>
      </c>
      <c r="U53" s="12">
        <f>IF(AND(ISNUMBER(RU_Clean!U53),ISNUMBER(RU_Clean!U52)),(RU_Clean!U53-RU_Clean!U52)/RU_Clean!U52*100,"")</f>
        <v>0.220102714600134</v>
      </c>
      <c r="V53" s="12">
        <f>IF(AND(ISNUMBER(RU_Clean!V53),ISNUMBER(RU_Clean!V52)),(RU_Clean!V53-RU_Clean!V52)/RU_Clean!V52*100,"")</f>
        <v>0.308166409861308</v>
      </c>
      <c r="W53" s="12">
        <f>IF(AND(ISNUMBER(RU_Clean!W53),ISNUMBER(RU_Clean!W52)),(RU_Clean!W53-RU_Clean!W52)/RU_Clean!W52*100,"")</f>
        <v>0.1477104874446</v>
      </c>
      <c r="X53" s="12">
        <f>IF(AND(ISNUMBER(RU_Clean!X53),ISNUMBER(RU_Clean!X52)),(RU_Clean!X53-RU_Clean!X52)/RU_Clean!X52*100,"")</f>
        <v>0.856031128404665</v>
      </c>
      <c r="Y53" s="12">
        <f>IF(AND(ISNUMBER(RU_Clean!Y53),ISNUMBER(RU_Clean!Y52)),(RU_Clean!Y53-RU_Clean!Y52)/RU_Clean!Y52*100,"")</f>
        <v>0.157977883096369</v>
      </c>
      <c r="Z53" s="12">
        <f>IF(AND(ISNUMBER(RU_Clean!Z53),ISNUMBER(RU_Clean!Z52)),(RU_Clean!Z53-RU_Clean!Z52)/RU_Clean!Z52*100,"")</f>
        <v>0.15479876160992</v>
      </c>
      <c r="AA53" s="12">
        <f>IF(AND(ISNUMBER(RU_Clean!AA53),ISNUMBER(RU_Clean!AA52)),(RU_Clean!AA53-RU_Clean!AA52)/RU_Clean!AA52*100,"")</f>
        <v>0.157604412923553</v>
      </c>
      <c r="AB53" s="12">
        <f>IF(AND(ISNUMBER(RU_Clean!AB53),ISNUMBER(RU_Clean!AB52)),(RU_Clean!AB53-RU_Clean!AB52)/RU_Clean!AB52*100,"")</f>
        <v>0.862068965517241</v>
      </c>
      <c r="AC53" s="12">
        <f>IF(AND(ISNUMBER(RU_Clean!AC53),ISNUMBER(RU_Clean!AC52)),(RU_Clean!AC53-RU_Clean!AC52)/RU_Clean!AC52*100,"")</f>
        <v>0</v>
      </c>
      <c r="AD53" s="12">
        <f>IF(AND(ISNUMBER(RU_Clean!AD53),ISNUMBER(RU_Clean!AD52)),(RU_Clean!AD53-RU_Clean!AD52)/RU_Clean!AD52*100,"")</f>
        <v>0.150262960180328</v>
      </c>
      <c r="AE53" s="12">
        <f>IF(AND(ISNUMBER(RU_Clean!AE53),ISNUMBER(RU_Clean!AE52)),(RU_Clean!AE53-RU_Clean!AE52)/RU_Clean!AE52*100,"")</f>
        <v>0.495458298926514</v>
      </c>
      <c r="AF53" s="12">
        <f>IF(AND(ISNUMBER(RU_Clean!AF53),ISNUMBER(RU_Clean!AF52)),(RU_Clean!AF53-RU_Clean!AF52)/RU_Clean!AF52*100,"")</f>
        <v>0.403551251008878</v>
      </c>
      <c r="AG53" s="12">
        <f>IF(AND(ISNUMBER(RU_Clean!AG53),ISNUMBER(RU_Clean!AG52)),(RU_Clean!AG53-RU_Clean!AG52)/RU_Clean!AG52*100,"")</f>
        <v>-0.0766871165644128</v>
      </c>
      <c r="AH53" s="12">
        <f>IF(AND(ISNUMBER(RU_Clean!AH53),ISNUMBER(RU_Clean!AH52)),(RU_Clean!AH53-RU_Clean!AH52)/RU_Clean!AH52*100,"")</f>
        <v>-0.777992157839077</v>
      </c>
    </row>
    <row r="54" spans="1:34">
      <c r="A54" s="6">
        <f>RU_Clean!A54</f>
        <v>2017</v>
      </c>
      <c r="B54" s="6">
        <f>RU_Clean!B54</f>
        <v>2</v>
      </c>
      <c r="C54" s="6" t="str">
        <f>RU_Clean!C54</f>
        <v>February</v>
      </c>
      <c r="D54" s="9">
        <f>RU_Clean!D54</f>
        <v>42767</v>
      </c>
      <c r="E54" s="6"/>
      <c r="F54" s="6"/>
      <c r="G54" s="12">
        <f>IF(AND(ISNUMBER(RU_Clean!G54),ISNUMBER(RU_Clean!G53)),(RU_Clean!G54-RU_Clean!G53)/RU_Clean!G53*100,"")</f>
        <v>0.225903614457818</v>
      </c>
      <c r="H54" s="12">
        <f>IF(AND(ISNUMBER(RU_Clean!H54),ISNUMBER(RU_Clean!H53)),(RU_Clean!H54-RU_Clean!H53)/RU_Clean!H53*100,"")</f>
        <v>0.434153400868323</v>
      </c>
      <c r="I54" s="12">
        <f>IF(AND(ISNUMBER(RU_Clean!I54),ISNUMBER(RU_Clean!I53)),(RU_Clean!I54-RU_Clean!I53)/RU_Clean!I53*100,"")</f>
        <v>-2.19364599092283</v>
      </c>
      <c r="J54" s="12">
        <f>IF(AND(ISNUMBER(RU_Clean!J54),ISNUMBER(RU_Clean!J53)),(RU_Clean!J54-RU_Clean!J53)/RU_Clean!J53*100,"")</f>
        <v>0.295420974889221</v>
      </c>
      <c r="K54" s="12">
        <f>IF(AND(ISNUMBER(RU_Clean!K54),ISNUMBER(RU_Clean!K53)),(RU_Clean!K54-RU_Clean!K53)/RU_Clean!K53*100,"")</f>
        <v>0.0839630562552549</v>
      </c>
      <c r="L54" s="12">
        <f>IF(AND(ISNUMBER(RU_Clean!L54),ISNUMBER(RU_Clean!L53)),(RU_Clean!L54-RU_Clean!L53)/RU_Clean!L53*100,"")</f>
        <v>1.72932330827069</v>
      </c>
      <c r="M54" s="12">
        <f>IF(AND(ISNUMBER(RU_Clean!M54),ISNUMBER(RU_Clean!M53)),(RU_Clean!M54-RU_Clean!M53)/RU_Clean!M53*100,"")</f>
        <v>0.0837520938023403</v>
      </c>
      <c r="N54" s="12">
        <f>IF(AND(ISNUMBER(RU_Clean!N54),ISNUMBER(RU_Clean!N53)),(RU_Clean!N54-RU_Clean!N53)/RU_Clean!N53*100,"")</f>
        <v>-4.576802507837</v>
      </c>
      <c r="O54" s="12">
        <f>IF(AND(ISNUMBER(RU_Clean!O54),ISNUMBER(RU_Clean!O53)),(RU_Clean!O54-RU_Clean!O53)/RU_Clean!O53*100,"")</f>
        <v>1.47058823529412</v>
      </c>
      <c r="P54" s="12">
        <f>IF(AND(ISNUMBER(RU_Clean!P54),ISNUMBER(RU_Clean!P53)),(RU_Clean!P54-RU_Clean!P53)/RU_Clean!P53*100,"")</f>
        <v>-0.64469914040115</v>
      </c>
      <c r="Q54" s="12">
        <f>IF(AND(ISNUMBER(RU_Clean!Q54),ISNUMBER(RU_Clean!Q53)),(RU_Clean!Q54-RU_Clean!Q53)/RU_Clean!Q53*100,"")</f>
        <v>0.236966824644559</v>
      </c>
      <c r="R54" s="12">
        <f>IF(AND(ISNUMBER(RU_Clean!R54),ISNUMBER(RU_Clean!R53)),(RU_Clean!R54-RU_Clean!R53)/RU_Clean!R53*100,"")</f>
        <v>0.280112044817911</v>
      </c>
      <c r="S54" s="12">
        <f>IF(AND(ISNUMBER(RU_Clean!S54),ISNUMBER(RU_Clean!S53)),(RU_Clean!S54-RU_Clean!S53)/RU_Clean!S53*100,"")</f>
        <v>-0.0751314800901535</v>
      </c>
      <c r="T54" s="12">
        <f>IF(AND(ISNUMBER(RU_Clean!T54),ISNUMBER(RU_Clean!T53)),(RU_Clean!T54-RU_Clean!T53)/RU_Clean!T53*100,"")</f>
        <v>0.41724617524339</v>
      </c>
      <c r="U54" s="12">
        <f>IF(AND(ISNUMBER(RU_Clean!U54),ISNUMBER(RU_Clean!U53)),(RU_Clean!U54-RU_Clean!U53)/RU_Clean!U53*100,"")</f>
        <v>0.146412884333834</v>
      </c>
      <c r="V54" s="12">
        <f>IF(AND(ISNUMBER(RU_Clean!V54),ISNUMBER(RU_Clean!V53)),(RU_Clean!V54-RU_Clean!V53)/RU_Clean!V53*100,"")</f>
        <v>0.0768049155146104</v>
      </c>
      <c r="W54" s="12">
        <f>IF(AND(ISNUMBER(RU_Clean!W54),ISNUMBER(RU_Clean!W53)),(RU_Clean!W54-RU_Clean!W53)/RU_Clean!W53*100,"")</f>
        <v>0.221238938053106</v>
      </c>
      <c r="X54" s="12">
        <f>IF(AND(ISNUMBER(RU_Clean!X54),ISNUMBER(RU_Clean!X53)),(RU_Clean!X54-RU_Clean!X53)/RU_Clean!X53*100,"")</f>
        <v>0.694444444444449</v>
      </c>
      <c r="Y54" s="12">
        <f>IF(AND(ISNUMBER(RU_Clean!Y54),ISNUMBER(RU_Clean!Y53)),(RU_Clean!Y54-RU_Clean!Y53)/RU_Clean!Y53*100,"")</f>
        <v>0.867507886435338</v>
      </c>
      <c r="Z54" s="12">
        <f>IF(AND(ISNUMBER(RU_Clean!Z54),ISNUMBER(RU_Clean!Z53)),(RU_Clean!Z54-RU_Clean!Z53)/RU_Clean!Z53*100,"")</f>
        <v>0.231839258114361</v>
      </c>
      <c r="AA54" s="12">
        <f>IF(AND(ISNUMBER(RU_Clean!AA54),ISNUMBER(RU_Clean!AA53)),(RU_Clean!AA54-RU_Clean!AA53)/RU_Clean!AA53*100,"")</f>
        <v>0.236034618410709</v>
      </c>
      <c r="AB54" s="12">
        <f>IF(AND(ISNUMBER(RU_Clean!AB54),ISNUMBER(RU_Clean!AB53)),(RU_Clean!AB54-RU_Clean!AB53)/RU_Clean!AB53*100,"")</f>
        <v>0.341880341880347</v>
      </c>
      <c r="AC54" s="12">
        <f>IF(AND(ISNUMBER(RU_Clean!AC54),ISNUMBER(RU_Clean!AC53)),(RU_Clean!AC54-RU_Clean!AC53)/RU_Clean!AC53*100,"")</f>
        <v>0.322061191626402</v>
      </c>
      <c r="AD54" s="12">
        <f>IF(AND(ISNUMBER(RU_Clean!AD54),ISNUMBER(RU_Clean!AD53)),(RU_Clean!AD54-RU_Clean!AD53)/RU_Clean!AD53*100,"")</f>
        <v>0.0750187546886679</v>
      </c>
      <c r="AE54" s="12">
        <f>IF(AND(ISNUMBER(RU_Clean!AE54),ISNUMBER(RU_Clean!AE53)),(RU_Clean!AE54-RU_Clean!AE53)/RU_Clean!AE53*100,"")</f>
        <v>0.739523418241571</v>
      </c>
      <c r="AF54" s="12">
        <f>IF(AND(ISNUMBER(RU_Clean!AF54),ISNUMBER(RU_Clean!AF53)),(RU_Clean!AF54-RU_Clean!AF53)/RU_Clean!AF53*100,"")</f>
        <v>0.321543408360122</v>
      </c>
      <c r="AG54" s="12">
        <f>IF(AND(ISNUMBER(RU_Clean!AG54),ISNUMBER(RU_Clean!AG53)),(RU_Clean!AG54-RU_Clean!AG53)/RU_Clean!AG53*100,"")</f>
        <v>0.23023791250958</v>
      </c>
      <c r="AH54" s="12">
        <f>IF(AND(ISNUMBER(RU_Clean!AH54),ISNUMBER(RU_Clean!AH53)),(RU_Clean!AH54-RU_Clean!AH53)/RU_Clean!AH53*100,"")</f>
        <v>-0.307364195207591</v>
      </c>
    </row>
    <row r="55" spans="1:34">
      <c r="A55" s="6">
        <f>RU_Clean!A55</f>
        <v>2017</v>
      </c>
      <c r="B55" s="6">
        <f>RU_Clean!B55</f>
        <v>3</v>
      </c>
      <c r="C55" s="6" t="str">
        <f>RU_Clean!C55</f>
        <v>March</v>
      </c>
      <c r="D55" s="9">
        <f>RU_Clean!D55</f>
        <v>42795</v>
      </c>
      <c r="E55" s="6"/>
      <c r="F55" s="6"/>
      <c r="G55" s="12">
        <f>IF(AND(ISNUMBER(RU_Clean!G55),ISNUMBER(RU_Clean!G54)),(RU_Clean!G55-RU_Clean!G54)/RU_Clean!G54*100,"")</f>
        <v>0.150262960180328</v>
      </c>
      <c r="H55" s="12">
        <f>IF(AND(ISNUMBER(RU_Clean!H55),ISNUMBER(RU_Clean!H54)),(RU_Clean!H55-RU_Clean!H54)/RU_Clean!H54*100,"")</f>
        <v>0.144092219020165</v>
      </c>
      <c r="I55" s="12">
        <f>IF(AND(ISNUMBER(RU_Clean!I55),ISNUMBER(RU_Clean!I54)),(RU_Clean!I55-RU_Clean!I54)/RU_Clean!I54*100,"")</f>
        <v>-0.541376643464824</v>
      </c>
      <c r="J55" s="12">
        <f>IF(AND(ISNUMBER(RU_Clean!J55),ISNUMBER(RU_Clean!J54)),(RU_Clean!J55-RU_Clean!J54)/RU_Clean!J54*100,"")</f>
        <v>0.368188512518409</v>
      </c>
      <c r="K55" s="12">
        <f>IF(AND(ISNUMBER(RU_Clean!K55),ISNUMBER(RU_Clean!K54)),(RU_Clean!K55-RU_Clean!K54)/RU_Clean!K54*100,"")</f>
        <v>-0.335570469798663</v>
      </c>
      <c r="L55" s="12">
        <f>IF(AND(ISNUMBER(RU_Clean!L55),ISNUMBER(RU_Clean!L54)),(RU_Clean!L55-RU_Clean!L54)/RU_Clean!L54*100,"")</f>
        <v>2.21729490022173</v>
      </c>
      <c r="M55" s="12">
        <f>IF(AND(ISNUMBER(RU_Clean!M55),ISNUMBER(RU_Clean!M54)),(RU_Clean!M55-RU_Clean!M54)/RU_Clean!M54*100,"")</f>
        <v>0.836820083682008</v>
      </c>
      <c r="N55" s="12">
        <f>IF(AND(ISNUMBER(RU_Clean!N55),ISNUMBER(RU_Clean!N54)),(RU_Clean!N55-RU_Clean!N54)/RU_Clean!N54*100,"")</f>
        <v>-5.45335085413928</v>
      </c>
      <c r="O55" s="12">
        <f>IF(AND(ISNUMBER(RU_Clean!O55),ISNUMBER(RU_Clean!O54)),(RU_Clean!O55-RU_Clean!O54)/RU_Clean!O54*100,"")</f>
        <v>0.59676044330776</v>
      </c>
      <c r="P55" s="12">
        <f>IF(AND(ISNUMBER(RU_Clean!P55),ISNUMBER(RU_Clean!P54)),(RU_Clean!P55-RU_Clean!P54)/RU_Clean!P54*100,"")</f>
        <v>-0.576784426820464</v>
      </c>
      <c r="Q55" s="12">
        <f>IF(AND(ISNUMBER(RU_Clean!Q55),ISNUMBER(RU_Clean!Q54)),(RU_Clean!Q55-RU_Clean!Q54)/RU_Clean!Q54*100,"")</f>
        <v>0.236406619385341</v>
      </c>
      <c r="R55" s="12">
        <f>IF(AND(ISNUMBER(RU_Clean!R55),ISNUMBER(RU_Clean!R54)),(RU_Clean!R55-RU_Clean!R54)/RU_Clean!R54*100,"")</f>
        <v>0.558659217877103</v>
      </c>
      <c r="S55" s="12">
        <f>IF(AND(ISNUMBER(RU_Clean!S55),ISNUMBER(RU_Clean!S54)),(RU_Clean!S55-RU_Clean!S54)/RU_Clean!S54*100,"")</f>
        <v>0.0751879699248078</v>
      </c>
      <c r="T55" s="12">
        <f>IF(AND(ISNUMBER(RU_Clean!T55),ISNUMBER(RU_Clean!T54)),(RU_Clean!T55-RU_Clean!T54)/RU_Clean!T54*100,"")</f>
        <v>0.48476454293628</v>
      </c>
      <c r="U55" s="12">
        <f>IF(AND(ISNUMBER(RU_Clean!U55),ISNUMBER(RU_Clean!U54)),(RU_Clean!U55-RU_Clean!U54)/RU_Clean!U54*100,"")</f>
        <v>0.365497076023392</v>
      </c>
      <c r="V55" s="12">
        <f>IF(AND(ISNUMBER(RU_Clean!V55),ISNUMBER(RU_Clean!V54)),(RU_Clean!V55-RU_Clean!V54)/RU_Clean!V54*100,"")</f>
        <v>0.23023791250958</v>
      </c>
      <c r="W55" s="12">
        <f>IF(AND(ISNUMBER(RU_Clean!W55),ISNUMBER(RU_Clean!W54)),(RU_Clean!W55-RU_Clean!W54)/RU_Clean!W54*100,"")</f>
        <v>0.367917586460633</v>
      </c>
      <c r="X55" s="12">
        <f>IF(AND(ISNUMBER(RU_Clean!X55),ISNUMBER(RU_Clean!X54)),(RU_Clean!X55-RU_Clean!X54)/RU_Clean!X54*100,"")</f>
        <v>0.459770114942524</v>
      </c>
      <c r="Y55" s="12">
        <f>IF(AND(ISNUMBER(RU_Clean!Y55),ISNUMBER(RU_Clean!Y54)),(RU_Clean!Y55-RU_Clean!Y54)/RU_Clean!Y54*100,"")</f>
        <v>0.938232994526965</v>
      </c>
      <c r="Z55" s="12">
        <f>IF(AND(ISNUMBER(RU_Clean!Z55),ISNUMBER(RU_Clean!Z54)),(RU_Clean!Z55-RU_Clean!Z54)/RU_Clean!Z54*100,"")</f>
        <v>0.308404009252125</v>
      </c>
      <c r="AA55" s="12">
        <f>IF(AND(ISNUMBER(RU_Clean!AA55),ISNUMBER(RU_Clean!AA54)),(RU_Clean!AA55-RU_Clean!AA54)/RU_Clean!AA54*100,"")</f>
        <v>0.313971742543164</v>
      </c>
      <c r="AB55" s="12">
        <f>IF(AND(ISNUMBER(RU_Clean!AB55),ISNUMBER(RU_Clean!AB54)),(RU_Clean!AB55-RU_Clean!AB54)/RU_Clean!AB54*100,"")</f>
        <v>0.170357751277673</v>
      </c>
      <c r="AC55" s="12">
        <f>IF(AND(ISNUMBER(RU_Clean!AC55),ISNUMBER(RU_Clean!AC54)),(RU_Clean!AC55-RU_Clean!AC54)/RU_Clean!AC54*100,"")</f>
        <v>0.321027287319427</v>
      </c>
      <c r="AD55" s="12">
        <f>IF(AND(ISNUMBER(RU_Clean!AD55),ISNUMBER(RU_Clean!AD54)),(RU_Clean!AD55-RU_Clean!AD54)/RU_Clean!AD54*100,"")</f>
        <v>0.299850074962523</v>
      </c>
      <c r="AE55" s="12">
        <f>IF(AND(ISNUMBER(RU_Clean!AE55),ISNUMBER(RU_Clean!AE54)),(RU_Clean!AE55-RU_Clean!AE54)/RU_Clean!AE54*100,"")</f>
        <v>0</v>
      </c>
      <c r="AF55" s="12">
        <f>IF(AND(ISNUMBER(RU_Clean!AF55),ISNUMBER(RU_Clean!AF54)),(RU_Clean!AF55-RU_Clean!AF54)/RU_Clean!AF54*100,"")</f>
        <v>0.240384615384613</v>
      </c>
      <c r="AG55" s="12">
        <f>IF(AND(ISNUMBER(RU_Clean!AG55),ISNUMBER(RU_Clean!AG54)),(RU_Clean!AG55-RU_Clean!AG54)/RU_Clean!AG54*100,"")</f>
        <v>0.229709035222061</v>
      </c>
      <c r="AH55" s="12">
        <f>IF(AND(ISNUMBER(RU_Clean!AH55),ISNUMBER(RU_Clean!AH54)),(RU_Clean!AH55-RU_Clean!AH54)/RU_Clean!AH54*100,"")</f>
        <v>-0.22022273957088</v>
      </c>
    </row>
    <row r="56" spans="1:34">
      <c r="A56" s="6">
        <f>RU_Clean!A56</f>
        <v>2017</v>
      </c>
      <c r="B56" s="6">
        <f>RU_Clean!B56</f>
        <v>4</v>
      </c>
      <c r="C56" s="6" t="str">
        <f>RU_Clean!C56</f>
        <v>April</v>
      </c>
      <c r="D56" s="9">
        <f>RU_Clean!D56</f>
        <v>42826</v>
      </c>
      <c r="E56" s="6"/>
      <c r="F56" s="6"/>
      <c r="G56" s="12">
        <f>IF(AND(ISNUMBER(RU_Clean!G56),ISNUMBER(RU_Clean!G55)),(RU_Clean!G56-RU_Clean!G55)/RU_Clean!G55*100,"")</f>
        <v>-0.225056264066025</v>
      </c>
      <c r="H56" s="12">
        <f>IF(AND(ISNUMBER(RU_Clean!H56),ISNUMBER(RU_Clean!H55)),(RU_Clean!H56-RU_Clean!H55)/RU_Clean!H55*100,"")</f>
        <v>0.287769784172666</v>
      </c>
      <c r="I56" s="12">
        <f>IF(AND(ISNUMBER(RU_Clean!I56),ISNUMBER(RU_Clean!I55)),(RU_Clean!I56-RU_Clean!I55)/RU_Clean!I55*100,"")</f>
        <v>-1.94401244167963</v>
      </c>
      <c r="J56" s="12">
        <f>IF(AND(ISNUMBER(RU_Clean!J56),ISNUMBER(RU_Clean!J55)),(RU_Clean!J56-RU_Clean!J55)/RU_Clean!J55*100,"")</f>
        <v>0.660308143800423</v>
      </c>
      <c r="K56" s="12">
        <f>IF(AND(ISNUMBER(RU_Clean!K56),ISNUMBER(RU_Clean!K55)),(RU_Clean!K56-RU_Clean!K55)/RU_Clean!K55*100,"")</f>
        <v>-0.33670033670033</v>
      </c>
      <c r="L56" s="12">
        <f>IF(AND(ISNUMBER(RU_Clean!L56),ISNUMBER(RU_Clean!L55)),(RU_Clean!L56-RU_Clean!L55)/RU_Clean!L55*100,"")</f>
        <v>1.15690527838033</v>
      </c>
      <c r="M56" s="12">
        <f>IF(AND(ISNUMBER(RU_Clean!M56),ISNUMBER(RU_Clean!M55)),(RU_Clean!M56-RU_Clean!M55)/RU_Clean!M55*100,"")</f>
        <v>2.40663900414938</v>
      </c>
      <c r="N56" s="12">
        <f>IF(AND(ISNUMBER(RU_Clean!N56),ISNUMBER(RU_Clean!N55)),(RU_Clean!N56-RU_Clean!N55)/RU_Clean!N55*100,"")</f>
        <v>-2.08478109798471</v>
      </c>
      <c r="O56" s="12">
        <f>IF(AND(ISNUMBER(RU_Clean!O56),ISNUMBER(RU_Clean!O55)),(RU_Clean!O56-RU_Clean!O55)/RU_Clean!O55*100,"")</f>
        <v>0.423728813559322</v>
      </c>
      <c r="P56" s="12">
        <f>IF(AND(ISNUMBER(RU_Clean!P56),ISNUMBER(RU_Clean!P55)),(RU_Clean!P56-RU_Clean!P55)/RU_Clean!P55*100,"")</f>
        <v>-1.01522842639594</v>
      </c>
      <c r="Q56" s="12">
        <f>IF(AND(ISNUMBER(RU_Clean!Q56),ISNUMBER(RU_Clean!Q55)),(RU_Clean!Q56-RU_Clean!Q55)/RU_Clean!Q55*100,"")</f>
        <v>0.157232704402518</v>
      </c>
      <c r="R56" s="12">
        <f>IF(AND(ISNUMBER(RU_Clean!R56),ISNUMBER(RU_Clean!R55)),(RU_Clean!R56-RU_Clean!R55)/RU_Clean!R55*100,"")</f>
        <v>0.138888888888881</v>
      </c>
      <c r="S56" s="12">
        <f>IF(AND(ISNUMBER(RU_Clean!S56),ISNUMBER(RU_Clean!S55)),(RU_Clean!S56-RU_Clean!S55)/RU_Clean!S55*100,"")</f>
        <v>0.300525920360635</v>
      </c>
      <c r="T56" s="12">
        <f>IF(AND(ISNUMBER(RU_Clean!T56),ISNUMBER(RU_Clean!T55)),(RU_Clean!T56-RU_Clean!T55)/RU_Clean!T55*100,"")</f>
        <v>0.206753962784295</v>
      </c>
      <c r="U56" s="12">
        <f>IF(AND(ISNUMBER(RU_Clean!U56),ISNUMBER(RU_Clean!U55)),(RU_Clean!U56-RU_Clean!U55)/RU_Clean!U55*100,"")</f>
        <v>0.509832483612519</v>
      </c>
      <c r="V56" s="12">
        <f>IF(AND(ISNUMBER(RU_Clean!V56),ISNUMBER(RU_Clean!V55)),(RU_Clean!V56-RU_Clean!V55)/RU_Clean!V55*100,"")</f>
        <v>0.382848392036753</v>
      </c>
      <c r="W56" s="12">
        <f>IF(AND(ISNUMBER(RU_Clean!W56),ISNUMBER(RU_Clean!W55)),(RU_Clean!W56-RU_Clean!W55)/RU_Clean!W55*100,"")</f>
        <v>0.43988269794721</v>
      </c>
      <c r="X56" s="12">
        <f>IF(AND(ISNUMBER(RU_Clean!X56),ISNUMBER(RU_Clean!X55)),(RU_Clean!X56-RU_Clean!X55)/RU_Clean!X55*100,"")</f>
        <v>0.457665903890156</v>
      </c>
      <c r="Y56" s="12">
        <f>IF(AND(ISNUMBER(RU_Clean!Y56),ISNUMBER(RU_Clean!Y55)),(RU_Clean!Y56-RU_Clean!Y55)/RU_Clean!Y55*100,"")</f>
        <v>0.542215336948116</v>
      </c>
      <c r="Z56" s="12">
        <f>IF(AND(ISNUMBER(RU_Clean!Z56),ISNUMBER(RU_Clean!Z55)),(RU_Clean!Z56-RU_Clean!Z55)/RU_Clean!Z55*100,"")</f>
        <v>0.230591852421223</v>
      </c>
      <c r="AA56" s="12">
        <f>IF(AND(ISNUMBER(RU_Clean!AA56),ISNUMBER(RU_Clean!AA55)),(RU_Clean!AA56-RU_Clean!AA55)/RU_Clean!AA55*100,"")</f>
        <v>0.234741784037556</v>
      </c>
      <c r="AB56" s="12">
        <f>IF(AND(ISNUMBER(RU_Clean!AB56),ISNUMBER(RU_Clean!AB55)),(RU_Clean!AB56-RU_Clean!AB55)/RU_Clean!AB55*100,"")</f>
        <v>-0.850340136054422</v>
      </c>
      <c r="AC56" s="12">
        <f>IF(AND(ISNUMBER(RU_Clean!AC56),ISNUMBER(RU_Clean!AC55)),(RU_Clean!AC56-RU_Clean!AC55)/RU_Clean!AC55*100,"")</f>
        <v>0.0799999999999954</v>
      </c>
      <c r="AD56" s="12">
        <f>IF(AND(ISNUMBER(RU_Clean!AD56),ISNUMBER(RU_Clean!AD55)),(RU_Clean!AD56-RU_Clean!AD55)/RU_Clean!AD55*100,"")</f>
        <v>0.523168908819124</v>
      </c>
      <c r="AE56" s="12">
        <f>IF(AND(ISNUMBER(RU_Clean!AE56),ISNUMBER(RU_Clean!AE55)),(RU_Clean!AE56-RU_Clean!AE55)/RU_Clean!AE55*100,"")</f>
        <v>0.407830342577488</v>
      </c>
      <c r="AF56" s="12">
        <f>IF(AND(ISNUMBER(RU_Clean!AF56),ISNUMBER(RU_Clean!AF55)),(RU_Clean!AF56-RU_Clean!AF55)/RU_Clean!AF55*100,"")</f>
        <v>0</v>
      </c>
      <c r="AG56" s="12">
        <f>IF(AND(ISNUMBER(RU_Clean!AG56),ISNUMBER(RU_Clean!AG55)),(RU_Clean!AG56-RU_Clean!AG55)/RU_Clean!AG55*100,"")</f>
        <v>0.152788388082497</v>
      </c>
      <c r="AH56" s="12">
        <f>IF(AND(ISNUMBER(RU_Clean!AH56),ISNUMBER(RU_Clean!AH55)),(RU_Clean!AH56-RU_Clean!AH55)/RU_Clean!AH55*100,"")</f>
        <v>-0.0567536889897901</v>
      </c>
    </row>
    <row r="57" spans="1:34">
      <c r="A57" s="6">
        <f>RU_Clean!A57</f>
        <v>2017</v>
      </c>
      <c r="B57" s="6">
        <f>RU_Clean!B57</f>
        <v>5</v>
      </c>
      <c r="C57" s="6" t="str">
        <f>RU_Clean!C57</f>
        <v>May</v>
      </c>
      <c r="D57" s="9">
        <f>RU_Clean!D57</f>
        <v>42856</v>
      </c>
      <c r="E57" s="6"/>
      <c r="F57" s="6"/>
      <c r="G57" s="12">
        <f>IF(AND(ISNUMBER(RU_Clean!G57),ISNUMBER(RU_Clean!G56)),(RU_Clean!G57-RU_Clean!G56)/RU_Clean!G56*100,"")</f>
        <v>-0.0751879699248078</v>
      </c>
      <c r="H57" s="12">
        <f>IF(AND(ISNUMBER(RU_Clean!H57),ISNUMBER(RU_Clean!H56)),(RU_Clean!H57-RU_Clean!H56)/RU_Clean!H56*100,"")</f>
        <v>1.57819225251075</v>
      </c>
      <c r="I57" s="12">
        <f>IF(AND(ISNUMBER(RU_Clean!I57),ISNUMBER(RU_Clean!I56)),(RU_Clean!I57-RU_Clean!I56)/RU_Clean!I56*100,"")</f>
        <v>0.158604282315625</v>
      </c>
      <c r="J57" s="12">
        <f>IF(AND(ISNUMBER(RU_Clean!J57),ISNUMBER(RU_Clean!J56)),(RU_Clean!J57-RU_Clean!J56)/RU_Clean!J56*100,"")</f>
        <v>0.364431486880467</v>
      </c>
      <c r="K57" s="12">
        <f>IF(AND(ISNUMBER(RU_Clean!K57),ISNUMBER(RU_Clean!K56)),(RU_Clean!K57-RU_Clean!K56)/RU_Clean!K56*100,"")</f>
        <v>-0.253378378378388</v>
      </c>
      <c r="L57" s="12">
        <f>IF(AND(ISNUMBER(RU_Clean!L57),ISNUMBER(RU_Clean!L56)),(RU_Clean!L57-RU_Clean!L56)/RU_Clean!L56*100,"")</f>
        <v>-1.42959256611866</v>
      </c>
      <c r="M57" s="12">
        <f>IF(AND(ISNUMBER(RU_Clean!M57),ISNUMBER(RU_Clean!M56)),(RU_Clean!M57-RU_Clean!M56)/RU_Clean!M56*100,"")</f>
        <v>1.78282009724472</v>
      </c>
      <c r="N57" s="12">
        <f>IF(AND(ISNUMBER(RU_Clean!N57),ISNUMBER(RU_Clean!N56)),(RU_Clean!N57-RU_Clean!N56)/RU_Clean!N56*100,"")</f>
        <v>-1.84528034066714</v>
      </c>
      <c r="O57" s="12">
        <f>IF(AND(ISNUMBER(RU_Clean!O57),ISNUMBER(RU_Clean!O56)),(RU_Clean!O57-RU_Clean!O56)/RU_Clean!O56*100,"")</f>
        <v>0.759493670886081</v>
      </c>
      <c r="P57" s="12">
        <f>IF(AND(ISNUMBER(RU_Clean!P57),ISNUMBER(RU_Clean!P56)),(RU_Clean!P57-RU_Clean!P56)/RU_Clean!P56*100,"")</f>
        <v>-0.366300366300366</v>
      </c>
      <c r="Q57" s="12">
        <f>IF(AND(ISNUMBER(RU_Clean!Q57),ISNUMBER(RU_Clean!Q56)),(RU_Clean!Q57-RU_Clean!Q56)/RU_Clean!Q56*100,"")</f>
        <v>0.156985871271577</v>
      </c>
      <c r="R57" s="12">
        <f>IF(AND(ISNUMBER(RU_Clean!R57),ISNUMBER(RU_Clean!R56)),(RU_Clean!R57-RU_Clean!R56)/RU_Clean!R56*100,"")</f>
        <v>0.208044382801672</v>
      </c>
      <c r="S57" s="12">
        <f>IF(AND(ISNUMBER(RU_Clean!S57),ISNUMBER(RU_Clean!S56)),(RU_Clean!S57-RU_Clean!S56)/RU_Clean!S56*100,"")</f>
        <v>0.149812734082388</v>
      </c>
      <c r="T57" s="12">
        <f>IF(AND(ISNUMBER(RU_Clean!T57),ISNUMBER(RU_Clean!T56)),(RU_Clean!T57-RU_Clean!T56)/RU_Clean!T56*100,"")</f>
        <v>0.550206327372753</v>
      </c>
      <c r="U57" s="12">
        <f>IF(AND(ISNUMBER(RU_Clean!U57),ISNUMBER(RU_Clean!U56)),(RU_Clean!U57-RU_Clean!U56)/RU_Clean!U56*100,"")</f>
        <v>0.144927536231876</v>
      </c>
      <c r="V57" s="12">
        <f>IF(AND(ISNUMBER(RU_Clean!V57),ISNUMBER(RU_Clean!V56)),(RU_Clean!V57-RU_Clean!V56)/RU_Clean!V56*100,"")</f>
        <v>0.228832951945089</v>
      </c>
      <c r="W57" s="12">
        <f>IF(AND(ISNUMBER(RU_Clean!W57),ISNUMBER(RU_Clean!W56)),(RU_Clean!W57-RU_Clean!W56)/RU_Clean!W56*100,"")</f>
        <v>0.145985401459846</v>
      </c>
      <c r="X57" s="12">
        <f>IF(AND(ISNUMBER(RU_Clean!X57),ISNUMBER(RU_Clean!X56)),(RU_Clean!X57-RU_Clean!X56)/RU_Clean!X56*100,"")</f>
        <v>0.303720577069101</v>
      </c>
      <c r="Y57" s="12">
        <f>IF(AND(ISNUMBER(RU_Clean!Y57),ISNUMBER(RU_Clean!Y56)),(RU_Clean!Y57-RU_Clean!Y56)/RU_Clean!Y56*100,"")</f>
        <v>-0.308166409861329</v>
      </c>
      <c r="Z57" s="12">
        <f>IF(AND(ISNUMBER(RU_Clean!Z57),ISNUMBER(RU_Clean!Z56)),(RU_Clean!Z57-RU_Clean!Z56)/RU_Clean!Z56*100,"")</f>
        <v>0.383435582822086</v>
      </c>
      <c r="AA57" s="12">
        <f>IF(AND(ISNUMBER(RU_Clean!AA57),ISNUMBER(RU_Clean!AA56)),(RU_Clean!AA57-RU_Clean!AA56)/RU_Clean!AA56*100,"")</f>
        <v>0.234192037470735</v>
      </c>
      <c r="AB57" s="12">
        <f>IF(AND(ISNUMBER(RU_Clean!AB57),ISNUMBER(RU_Clean!AB56)),(RU_Clean!AB57-RU_Clean!AB56)/RU_Clean!AB56*100,"")</f>
        <v>0.0857632933104704</v>
      </c>
      <c r="AC57" s="12">
        <f>IF(AND(ISNUMBER(RU_Clean!AC57),ISNUMBER(RU_Clean!AC56)),(RU_Clean!AC57-RU_Clean!AC56)/RU_Clean!AC56*100,"")</f>
        <v>0.479616306954443</v>
      </c>
      <c r="AD57" s="12">
        <f>IF(AND(ISNUMBER(RU_Clean!AD57),ISNUMBER(RU_Clean!AD56)),(RU_Clean!AD57-RU_Clean!AD56)/RU_Clean!AD56*100,"")</f>
        <v>0.223048327137555</v>
      </c>
      <c r="AE57" s="12">
        <f>IF(AND(ISNUMBER(RU_Clean!AE57),ISNUMBER(RU_Clean!AE56)),(RU_Clean!AE57-RU_Clean!AE56)/RU_Clean!AE56*100,"")</f>
        <v>-0.0812347684809052</v>
      </c>
      <c r="AF57" s="12">
        <f>IF(AND(ISNUMBER(RU_Clean!AF57),ISNUMBER(RU_Clean!AF56)),(RU_Clean!AF57-RU_Clean!AF56)/RU_Clean!AF56*100,"")</f>
        <v>0.159872102318148</v>
      </c>
      <c r="AG57" s="12">
        <f>IF(AND(ISNUMBER(RU_Clean!AG57),ISNUMBER(RU_Clean!AG56)),(RU_Clean!AG57-RU_Clean!AG56)/RU_Clean!AG56*100,"")</f>
        <v>0.228832951945089</v>
      </c>
      <c r="AH57" s="12">
        <f>IF(AND(ISNUMBER(RU_Clean!AH57),ISNUMBER(RU_Clean!AH56)),(RU_Clean!AH57-RU_Clean!AH56)/RU_Clean!AH56*100,"")</f>
        <v>0.0630954634361789</v>
      </c>
    </row>
    <row r="58" spans="1:34">
      <c r="A58" s="6">
        <f>RU_Clean!A58</f>
        <v>2017</v>
      </c>
      <c r="B58" s="6">
        <f>RU_Clean!B58</f>
        <v>6</v>
      </c>
      <c r="C58" s="6" t="str">
        <f>RU_Clean!C58</f>
        <v>June</v>
      </c>
      <c r="D58" s="9">
        <f>RU_Clean!D58</f>
        <v>42887</v>
      </c>
      <c r="E58" s="6"/>
      <c r="F58" s="6"/>
      <c r="G58" s="12">
        <f>IF(AND(ISNUMBER(RU_Clean!G58),ISNUMBER(RU_Clean!G57)),(RU_Clean!G58-RU_Clean!G57)/RU_Clean!G57*100,"")</f>
        <v>0.300978179082021</v>
      </c>
      <c r="H58" s="12">
        <f>IF(AND(ISNUMBER(RU_Clean!H58),ISNUMBER(RU_Clean!H57)),(RU_Clean!H58-RU_Clean!H57)/RU_Clean!H57*100,"")</f>
        <v>2.7542372881356</v>
      </c>
      <c r="I58" s="12">
        <f>IF(AND(ISNUMBER(RU_Clean!I58),ISNUMBER(RU_Clean!I57)),(RU_Clean!I58-RU_Clean!I57)/RU_Clean!I57*100,"")</f>
        <v>1.42517814726841</v>
      </c>
      <c r="J58" s="12">
        <f>IF(AND(ISNUMBER(RU_Clean!J58),ISNUMBER(RU_Clean!J57)),(RU_Clean!J58-RU_Clean!J57)/RU_Clean!J57*100,"")</f>
        <v>0.290486564996373</v>
      </c>
      <c r="K58" s="12">
        <f>IF(AND(ISNUMBER(RU_Clean!K58),ISNUMBER(RU_Clean!K57)),(RU_Clean!K58-RU_Clean!K57)/RU_Clean!K57*100,"")</f>
        <v>0.0846740050804475</v>
      </c>
      <c r="L58" s="12">
        <f>IF(AND(ISNUMBER(RU_Clean!L58),ISNUMBER(RU_Clean!L57)),(RU_Clean!L58-RU_Clean!L57)/RU_Clean!L57*100,"")</f>
        <v>0.942712110224788</v>
      </c>
      <c r="M58" s="12">
        <f>IF(AND(ISNUMBER(RU_Clean!M58),ISNUMBER(RU_Clean!M57)),(RU_Clean!M58-RU_Clean!M57)/RU_Clean!M57*100,"")</f>
        <v>6.13057324840766</v>
      </c>
      <c r="N58" s="12">
        <f>IF(AND(ISNUMBER(RU_Clean!N58),ISNUMBER(RU_Clean!N57)),(RU_Clean!N58-RU_Clean!N57)/RU_Clean!N57*100,"")</f>
        <v>-1.5184381778742</v>
      </c>
      <c r="O58" s="12">
        <f>IF(AND(ISNUMBER(RU_Clean!O58),ISNUMBER(RU_Clean!O57)),(RU_Clean!O58-RU_Clean!O57)/RU_Clean!O57*100,"")</f>
        <v>0.167504187604681</v>
      </c>
      <c r="P58" s="12">
        <f>IF(AND(ISNUMBER(RU_Clean!P58),ISNUMBER(RU_Clean!P57)),(RU_Clean!P58-RU_Clean!P57)/RU_Clean!P57*100,"")</f>
        <v>-0.514705882352933</v>
      </c>
      <c r="Q58" s="12">
        <f>IF(AND(ISNUMBER(RU_Clean!Q58),ISNUMBER(RU_Clean!Q57)),(RU_Clean!Q58-RU_Clean!Q57)/RU_Clean!Q57*100,"")</f>
        <v>0.156739811912228</v>
      </c>
      <c r="R58" s="12">
        <f>IF(AND(ISNUMBER(RU_Clean!R58),ISNUMBER(RU_Clean!R57)),(RU_Clean!R58-RU_Clean!R57)/RU_Clean!R57*100,"")</f>
        <v>0.276816608996544</v>
      </c>
      <c r="S58" s="12">
        <f>IF(AND(ISNUMBER(RU_Clean!S58),ISNUMBER(RU_Clean!S57)),(RU_Clean!S58-RU_Clean!S57)/RU_Clean!S57*100,"")</f>
        <v>1.12191473448018</v>
      </c>
      <c r="T58" s="12">
        <f>IF(AND(ISNUMBER(RU_Clean!T58),ISNUMBER(RU_Clean!T57)),(RU_Clean!T58-RU_Clean!T57)/RU_Clean!T57*100,"")</f>
        <v>0.20519835841314</v>
      </c>
      <c r="U58" s="12">
        <f>IF(AND(ISNUMBER(RU_Clean!U58),ISNUMBER(RU_Clean!U57)),(RU_Clean!U58-RU_Clean!U57)/RU_Clean!U57*100,"")</f>
        <v>0.217076700434162</v>
      </c>
      <c r="V58" s="12">
        <f>IF(AND(ISNUMBER(RU_Clean!V58),ISNUMBER(RU_Clean!V57)),(RU_Clean!V58-RU_Clean!V57)/RU_Clean!V57*100,"")</f>
        <v>0.228310502283092</v>
      </c>
      <c r="W58" s="12">
        <f>IF(AND(ISNUMBER(RU_Clean!W58),ISNUMBER(RU_Clean!W57)),(RU_Clean!W58-RU_Clean!W57)/RU_Clean!W57*100,"")</f>
        <v>0.218658892128288</v>
      </c>
      <c r="X58" s="12">
        <f>IF(AND(ISNUMBER(RU_Clean!X58),ISNUMBER(RU_Clean!X57)),(RU_Clean!X58-RU_Clean!X57)/RU_Clean!X57*100,"")</f>
        <v>-0.529901589704761</v>
      </c>
      <c r="Y58" s="12">
        <f>IF(AND(ISNUMBER(RU_Clean!Y58),ISNUMBER(RU_Clean!Y57)),(RU_Clean!Y58-RU_Clean!Y57)/RU_Clean!Y57*100,"")</f>
        <v>-0.463678516228744</v>
      </c>
      <c r="Z58" s="12">
        <f>IF(AND(ISNUMBER(RU_Clean!Z58),ISNUMBER(RU_Clean!Z57)),(RU_Clean!Z58-RU_Clean!Z57)/RU_Clean!Z57*100,"")</f>
        <v>0.229182582123746</v>
      </c>
      <c r="AA58" s="12">
        <f>IF(AND(ISNUMBER(RU_Clean!AA58),ISNUMBER(RU_Clean!AA57)),(RU_Clean!AA58-RU_Clean!AA57)/RU_Clean!AA57*100,"")</f>
        <v>0.0778816199376903</v>
      </c>
      <c r="AB58" s="12">
        <f>IF(AND(ISNUMBER(RU_Clean!AB58),ISNUMBER(RU_Clean!AB57)),(RU_Clean!AB58-RU_Clean!AB57)/RU_Clean!AB57*100,"")</f>
        <v>-0.171379605826909</v>
      </c>
      <c r="AC58" s="12">
        <f>IF(AND(ISNUMBER(RU_Clean!AC58),ISNUMBER(RU_Clean!AC57)),(RU_Clean!AC58-RU_Clean!AC57)/RU_Clean!AC57*100,"")</f>
        <v>0.159108989657918</v>
      </c>
      <c r="AD58" s="12">
        <f>IF(AND(ISNUMBER(RU_Clean!AD58),ISNUMBER(RU_Clean!AD57)),(RU_Clean!AD58-RU_Clean!AD57)/RU_Clean!AD57*100,"")</f>
        <v>0.445103857566761</v>
      </c>
      <c r="AE58" s="12">
        <f>IF(AND(ISNUMBER(RU_Clean!AE58),ISNUMBER(RU_Clean!AE57)),(RU_Clean!AE58-RU_Clean!AE57)/RU_Clean!AE57*100,"")</f>
        <v>0.325203252032525</v>
      </c>
      <c r="AF58" s="12">
        <f>IF(AND(ISNUMBER(RU_Clean!AF58),ISNUMBER(RU_Clean!AF57)),(RU_Clean!AF58-RU_Clean!AF57)/RU_Clean!AF57*100,"")</f>
        <v>0.159616919393458</v>
      </c>
      <c r="AG58" s="12">
        <f>IF(AND(ISNUMBER(RU_Clean!AG58),ISNUMBER(RU_Clean!AG57)),(RU_Clean!AG58-RU_Clean!AG57)/RU_Clean!AG57*100,"")</f>
        <v>0.456621004566206</v>
      </c>
      <c r="AH58" s="12">
        <f>IF(AND(ISNUMBER(RU_Clean!AH58),ISNUMBER(RU_Clean!AH57)),(RU_Clean!AH58-RU_Clean!AH57)/RU_Clean!AH57*100,"")</f>
        <v>0.857557223027928</v>
      </c>
    </row>
    <row r="59" spans="1:34">
      <c r="A59" s="6">
        <f>RU_Clean!A59</f>
        <v>2017</v>
      </c>
      <c r="B59" s="6">
        <f>RU_Clean!B59</f>
        <v>7</v>
      </c>
      <c r="C59" s="6" t="str">
        <f>RU_Clean!C59</f>
        <v>July</v>
      </c>
      <c r="D59" s="9">
        <f>RU_Clean!D59</f>
        <v>42917</v>
      </c>
      <c r="E59" s="6"/>
      <c r="F59" s="6"/>
      <c r="G59" s="12">
        <f>IF(AND(ISNUMBER(RU_Clean!G59),ISNUMBER(RU_Clean!G58)),(RU_Clean!G59-RU_Clean!G58)/RU_Clean!G58*100,"")</f>
        <v>0.225056264066004</v>
      </c>
      <c r="H59" s="12">
        <f>IF(AND(ISNUMBER(RU_Clean!H59),ISNUMBER(RU_Clean!H58)),(RU_Clean!H59-RU_Clean!H58)/RU_Clean!H58*100,"")</f>
        <v>0.137457044673532</v>
      </c>
      <c r="I59" s="12">
        <f>IF(AND(ISNUMBER(RU_Clean!I59),ISNUMBER(RU_Clean!I58)),(RU_Clean!I59-RU_Clean!I58)/RU_Clean!I58*100,"")</f>
        <v>1.17096018735363</v>
      </c>
      <c r="J59" s="12">
        <f>IF(AND(ISNUMBER(RU_Clean!J59),ISNUMBER(RU_Clean!J58)),(RU_Clean!J59-RU_Clean!J58)/RU_Clean!J58*100,"")</f>
        <v>0.289645184648809</v>
      </c>
      <c r="K59" s="12">
        <f>IF(AND(ISNUMBER(RU_Clean!K59),ISNUMBER(RU_Clean!K58)),(RU_Clean!K59-RU_Clean!K58)/RU_Clean!K58*100,"")</f>
        <v>-0.0846023688663355</v>
      </c>
      <c r="L59" s="12">
        <f>IF(AND(ISNUMBER(RU_Clean!L59),ISNUMBER(RU_Clean!L58)),(RU_Clean!L59-RU_Clean!L58)/RU_Clean!L58*100,"")</f>
        <v>1.86781609195404</v>
      </c>
      <c r="M59" s="12">
        <f>IF(AND(ISNUMBER(RU_Clean!M59),ISNUMBER(RU_Clean!M58)),(RU_Clean!M59-RU_Clean!M58)/RU_Clean!M58*100,"")</f>
        <v>19.6549137284321</v>
      </c>
      <c r="N59" s="12">
        <f>IF(AND(ISNUMBER(RU_Clean!N59),ISNUMBER(RU_Clean!N58)),(RU_Clean!N59-RU_Clean!N58)/RU_Clean!N58*100,"")</f>
        <v>-1.90895741556534</v>
      </c>
      <c r="O59" s="12">
        <f>IF(AND(ISNUMBER(RU_Clean!O59),ISNUMBER(RU_Clean!O58)),(RU_Clean!O59-RU_Clean!O58)/RU_Clean!O58*100,"")</f>
        <v>0.752508361204018</v>
      </c>
      <c r="P59" s="12">
        <f>IF(AND(ISNUMBER(RU_Clean!P59),ISNUMBER(RU_Clean!P58)),(RU_Clean!P59-RU_Clean!P58)/RU_Clean!P58*100,"")</f>
        <v>-0.0739098300074078</v>
      </c>
      <c r="Q59" s="12">
        <f>IF(AND(ISNUMBER(RU_Clean!Q59),ISNUMBER(RU_Clean!Q58)),(RU_Clean!Q59-RU_Clean!Q58)/RU_Clean!Q58*100,"")</f>
        <v>0.547730829420973</v>
      </c>
      <c r="R59" s="12">
        <f>IF(AND(ISNUMBER(RU_Clean!R59),ISNUMBER(RU_Clean!R58)),(RU_Clean!R59-RU_Clean!R58)/RU_Clean!R58*100,"")</f>
        <v>0.621118012422364</v>
      </c>
      <c r="S59" s="12">
        <f>IF(AND(ISNUMBER(RU_Clean!S59),ISNUMBER(RU_Clean!S58)),(RU_Clean!S59-RU_Clean!S58)/RU_Clean!S58*100,"")</f>
        <v>2.81065088757397</v>
      </c>
      <c r="T59" s="12">
        <f>IF(AND(ISNUMBER(RU_Clean!T59),ISNUMBER(RU_Clean!T58)),(RU_Clean!T59-RU_Clean!T58)/RU_Clean!T58*100,"")</f>
        <v>1.16040955631399</v>
      </c>
      <c r="U59" s="12">
        <f>IF(AND(ISNUMBER(RU_Clean!U59),ISNUMBER(RU_Clean!U58)),(RU_Clean!U59-RU_Clean!U58)/RU_Clean!U58*100,"")</f>
        <v>0.577617328519864</v>
      </c>
      <c r="V59" s="12">
        <f>IF(AND(ISNUMBER(RU_Clean!V59),ISNUMBER(RU_Clean!V58)),(RU_Clean!V59-RU_Clean!V58)/RU_Clean!V58*100,"")</f>
        <v>0.303720577069101</v>
      </c>
      <c r="W59" s="12">
        <f>IF(AND(ISNUMBER(RU_Clean!W59),ISNUMBER(RU_Clean!W58)),(RU_Clean!W59-RU_Clean!W58)/RU_Clean!W58*100,"")</f>
        <v>0.58181818181819</v>
      </c>
      <c r="X59" s="12">
        <f>IF(AND(ISNUMBER(RU_Clean!X59),ISNUMBER(RU_Clean!X58)),(RU_Clean!X59-RU_Clean!X58)/RU_Clean!X58*100,"")</f>
        <v>0.913242009132411</v>
      </c>
      <c r="Y59" s="12">
        <f>IF(AND(ISNUMBER(RU_Clean!Y59),ISNUMBER(RU_Clean!Y58)),(RU_Clean!Y59-RU_Clean!Y58)/RU_Clean!Y58*100,"")</f>
        <v>0.465838509316766</v>
      </c>
      <c r="Z59" s="12">
        <f>IF(AND(ISNUMBER(RU_Clean!Z59),ISNUMBER(RU_Clean!Z58)),(RU_Clean!Z59-RU_Clean!Z58)/RU_Clean!Z58*100,"")</f>
        <v>0.533536585365867</v>
      </c>
      <c r="AA59" s="12">
        <f>IF(AND(ISNUMBER(RU_Clean!AA59),ISNUMBER(RU_Clean!AA58)),(RU_Clean!AA59-RU_Clean!AA58)/RU_Clean!AA58*100,"")</f>
        <v>0.70038910505837</v>
      </c>
      <c r="AB59" s="12">
        <f>IF(AND(ISNUMBER(RU_Clean!AB59),ISNUMBER(RU_Clean!AB58)),(RU_Clean!AB59-RU_Clean!AB58)/RU_Clean!AB58*100,"")</f>
        <v>-0.429184549356223</v>
      </c>
      <c r="AC59" s="12">
        <f>IF(AND(ISNUMBER(RU_Clean!AC59),ISNUMBER(RU_Clean!AC58)),(RU_Clean!AC59-RU_Clean!AC58)/RU_Clean!AC58*100,"")</f>
        <v>0.555996822875289</v>
      </c>
      <c r="AD59" s="12">
        <f>IF(AND(ISNUMBER(RU_Clean!AD59),ISNUMBER(RU_Clean!AD58)),(RU_Clean!AD59-RU_Clean!AD58)/RU_Clean!AD58*100,"")</f>
        <v>1.03397341211226</v>
      </c>
      <c r="AE59" s="12">
        <f>IF(AND(ISNUMBER(RU_Clean!AE59),ISNUMBER(RU_Clean!AE58)),(RU_Clean!AE59-RU_Clean!AE58)/RU_Clean!AE58*100,"")</f>
        <v>0.162074554294966</v>
      </c>
      <c r="AF59" s="12">
        <f>IF(AND(ISNUMBER(RU_Clean!AF59),ISNUMBER(RU_Clean!AF58)),(RU_Clean!AF59-RU_Clean!AF58)/RU_Clean!AF58*100,"")</f>
        <v>0.318725099601598</v>
      </c>
      <c r="AG59" s="12">
        <f>IF(AND(ISNUMBER(RU_Clean!AG59),ISNUMBER(RU_Clean!AG58)),(RU_Clean!AG59-RU_Clean!AG58)/RU_Clean!AG58*100,"")</f>
        <v>1.66666666666666</v>
      </c>
      <c r="AH59" s="12">
        <f>IF(AND(ISNUMBER(RU_Clean!AH59),ISNUMBER(RU_Clean!AH58)),(RU_Clean!AH59-RU_Clean!AH58)/RU_Clean!AH58*100,"")</f>
        <v>1.93185370428258</v>
      </c>
    </row>
    <row r="60" spans="1:34">
      <c r="A60" s="6">
        <f>RU_Clean!A60</f>
        <v>2017</v>
      </c>
      <c r="B60" s="6">
        <f>RU_Clean!B60</f>
        <v>8</v>
      </c>
      <c r="C60" s="6" t="str">
        <f>RU_Clean!C60</f>
        <v>August</v>
      </c>
      <c r="D60" s="9">
        <f>RU_Clean!D60</f>
        <v>42948</v>
      </c>
      <c r="E60" s="6"/>
      <c r="F60" s="6"/>
      <c r="G60" s="12">
        <f>IF(AND(ISNUMBER(RU_Clean!G60),ISNUMBER(RU_Clean!G59)),(RU_Clean!G60-RU_Clean!G59)/RU_Clean!G59*100,"")</f>
        <v>0.523952095808396</v>
      </c>
      <c r="H60" s="12">
        <f>IF(AND(ISNUMBER(RU_Clean!H60),ISNUMBER(RU_Clean!H59)),(RU_Clean!H60-RU_Clean!H59)/RU_Clean!H59*100,"")</f>
        <v>-1.57858613589566</v>
      </c>
      <c r="I60" s="12">
        <f>IF(AND(ISNUMBER(RU_Clean!I60),ISNUMBER(RU_Clean!I59)),(RU_Clean!I60-RU_Clean!I59)/RU_Clean!I59*100,"")</f>
        <v>-0.231481481481468</v>
      </c>
      <c r="J60" s="12">
        <f>IF(AND(ISNUMBER(RU_Clean!J60),ISNUMBER(RU_Clean!J59)),(RU_Clean!J60-RU_Clean!J59)/RU_Clean!J59*100,"")</f>
        <v>0.36101083032491</v>
      </c>
      <c r="K60" s="12">
        <f>IF(AND(ISNUMBER(RU_Clean!K60),ISNUMBER(RU_Clean!K59)),(RU_Clean!K60-RU_Clean!K59)/RU_Clean!K59*100,"")</f>
        <v>0</v>
      </c>
      <c r="L60" s="12">
        <f>IF(AND(ISNUMBER(RU_Clean!L60),ISNUMBER(RU_Clean!L59)),(RU_Clean!L60-RU_Clean!L59)/RU_Clean!L59*100,"")</f>
        <v>2.60930888575458</v>
      </c>
      <c r="M60" s="12">
        <f>IF(AND(ISNUMBER(RU_Clean!M60),ISNUMBER(RU_Clean!M59)),(RU_Clean!M60-RU_Clean!M59)/RU_Clean!M59*100,"")</f>
        <v>5.70532915360501</v>
      </c>
      <c r="N60" s="12">
        <f>IF(AND(ISNUMBER(RU_Clean!N60),ISNUMBER(RU_Clean!N59)),(RU_Clean!N60-RU_Clean!N59)/RU_Clean!N59*100,"")</f>
        <v>-0.673652694610783</v>
      </c>
      <c r="O60" s="12">
        <f>IF(AND(ISNUMBER(RU_Clean!O60),ISNUMBER(RU_Clean!O59)),(RU_Clean!O60-RU_Clean!O59)/RU_Clean!O59*100,"")</f>
        <v>0.580912863070542</v>
      </c>
      <c r="P60" s="12">
        <f>IF(AND(ISNUMBER(RU_Clean!P60),ISNUMBER(RU_Clean!P59)),(RU_Clean!P60-RU_Clean!P59)/RU_Clean!P59*100,"")</f>
        <v>0.295857988165685</v>
      </c>
      <c r="Q60" s="12">
        <f>IF(AND(ISNUMBER(RU_Clean!Q60),ISNUMBER(RU_Clean!Q59)),(RU_Clean!Q60-RU_Clean!Q59)/RU_Clean!Q59*100,"")</f>
        <v>0.155642023346295</v>
      </c>
      <c r="R60" s="12">
        <f>IF(AND(ISNUMBER(RU_Clean!R60),ISNUMBER(RU_Clean!R59)),(RU_Clean!R60-RU_Clean!R59)/RU_Clean!R59*100,"")</f>
        <v>0.685871056241427</v>
      </c>
      <c r="S60" s="12">
        <f>IF(AND(ISNUMBER(RU_Clean!S60),ISNUMBER(RU_Clean!S59)),(RU_Clean!S60-RU_Clean!S59)/RU_Clean!S59*100,"")</f>
        <v>1.15107913669064</v>
      </c>
      <c r="T60" s="12">
        <f>IF(AND(ISNUMBER(RU_Clean!T60),ISNUMBER(RU_Clean!T59)),(RU_Clean!T60-RU_Clean!T59)/RU_Clean!T59*100,"")</f>
        <v>1.07962213225373</v>
      </c>
      <c r="U60" s="12">
        <f>IF(AND(ISNUMBER(RU_Clean!U60),ISNUMBER(RU_Clean!U59)),(RU_Clean!U60-RU_Clean!U59)/RU_Clean!U59*100,"")</f>
        <v>0.717875089734386</v>
      </c>
      <c r="V60" s="12">
        <f>IF(AND(ISNUMBER(RU_Clean!V60),ISNUMBER(RU_Clean!V59)),(RU_Clean!V60-RU_Clean!V59)/RU_Clean!V59*100,"")</f>
        <v>0.681302043906136</v>
      </c>
      <c r="W60" s="12">
        <f>IF(AND(ISNUMBER(RU_Clean!W60),ISNUMBER(RU_Clean!W59)),(RU_Clean!W60-RU_Clean!W59)/RU_Clean!W59*100,"")</f>
        <v>0.723065798987708</v>
      </c>
      <c r="X60" s="12">
        <f>IF(AND(ISNUMBER(RU_Clean!X60),ISNUMBER(RU_Clean!X59)),(RU_Clean!X60-RU_Clean!X59)/RU_Clean!X59*100,"")</f>
        <v>1.35746606334843</v>
      </c>
      <c r="Y60" s="12">
        <f>IF(AND(ISNUMBER(RU_Clean!Y60),ISNUMBER(RU_Clean!Y59)),(RU_Clean!Y60-RU_Clean!Y59)/RU_Clean!Y59*100,"")</f>
        <v>0.30911901081917</v>
      </c>
      <c r="Z60" s="12">
        <f>IF(AND(ISNUMBER(RU_Clean!Z60),ISNUMBER(RU_Clean!Z59)),(RU_Clean!Z60-RU_Clean!Z59)/RU_Clean!Z59*100,"")</f>
        <v>0.68233510235027</v>
      </c>
      <c r="AA60" s="12">
        <f>IF(AND(ISNUMBER(RU_Clean!AA60),ISNUMBER(RU_Clean!AA59)),(RU_Clean!AA60-RU_Clean!AA59)/RU_Clean!AA59*100,"")</f>
        <v>0.618238021638318</v>
      </c>
      <c r="AB60" s="12">
        <f>IF(AND(ISNUMBER(RU_Clean!AB60),ISNUMBER(RU_Clean!AB59)),(RU_Clean!AB60-RU_Clean!AB59)/RU_Clean!AB59*100,"")</f>
        <v>1.12068965517241</v>
      </c>
      <c r="AC60" s="12">
        <f>IF(AND(ISNUMBER(RU_Clean!AC60),ISNUMBER(RU_Clean!AC59)),(RU_Clean!AC60-RU_Clean!AC59)/RU_Clean!AC59*100,"")</f>
        <v>0.552922590837285</v>
      </c>
      <c r="AD60" s="12">
        <f>IF(AND(ISNUMBER(RU_Clean!AD60),ISNUMBER(RU_Clean!AD59)),(RU_Clean!AD60-RU_Clean!AD59)/RU_Clean!AD59*100,"")</f>
        <v>0.584795321637414</v>
      </c>
      <c r="AE60" s="12">
        <f>IF(AND(ISNUMBER(RU_Clean!AE60),ISNUMBER(RU_Clean!AE59)),(RU_Clean!AE60-RU_Clean!AE59)/RU_Clean!AE59*100,"")</f>
        <v>0.72815533980583</v>
      </c>
      <c r="AF60" s="12">
        <f>IF(AND(ISNUMBER(RU_Clean!AF60),ISNUMBER(RU_Clean!AF59)),(RU_Clean!AF60-RU_Clean!AF59)/RU_Clean!AF59*100,"")</f>
        <v>0.714853057982519</v>
      </c>
      <c r="AG60" s="12">
        <f>IF(AND(ISNUMBER(RU_Clean!AG60),ISNUMBER(RU_Clean!AG59)),(RU_Clean!AG60-RU_Clean!AG59)/RU_Clean!AG59*100,"")</f>
        <v>0.894187779433694</v>
      </c>
      <c r="AH60" s="12">
        <f>IF(AND(ISNUMBER(RU_Clean!AH60),ISNUMBER(RU_Clean!AH59)),(RU_Clean!AH60-RU_Clean!AH59)/RU_Clean!AH59*100,"")</f>
        <v>0.785083415112867</v>
      </c>
    </row>
    <row r="61" spans="1:34">
      <c r="A61" s="6">
        <f>RU_Clean!A61</f>
        <v>2017</v>
      </c>
      <c r="B61" s="6">
        <f>RU_Clean!B61</f>
        <v>9</v>
      </c>
      <c r="C61" s="6" t="str">
        <f>RU_Clean!C61</f>
        <v>September</v>
      </c>
      <c r="D61" s="9">
        <f>RU_Clean!D61</f>
        <v>42979</v>
      </c>
      <c r="E61" s="6"/>
      <c r="F61" s="6"/>
      <c r="G61" s="12">
        <f>IF(AND(ISNUMBER(RU_Clean!G61),ISNUMBER(RU_Clean!G60)),(RU_Clean!G61-RU_Clean!G60)/RU_Clean!G60*100,"")</f>
        <v>0.297840655249425</v>
      </c>
      <c r="H61" s="12">
        <f>IF(AND(ISNUMBER(RU_Clean!H61),ISNUMBER(RU_Clean!H60)),(RU_Clean!H61-RU_Clean!H60)/RU_Clean!H60*100,"")</f>
        <v>-0.697350069735007</v>
      </c>
      <c r="I61" s="12">
        <f>IF(AND(ISNUMBER(RU_Clean!I61),ISNUMBER(RU_Clean!I60)),(RU_Clean!I61-RU_Clean!I60)/RU_Clean!I60*100,"")</f>
        <v>0.696055684454739</v>
      </c>
      <c r="J61" s="12">
        <f>IF(AND(ISNUMBER(RU_Clean!J61),ISNUMBER(RU_Clean!J60)),(RU_Clean!J61-RU_Clean!J60)/RU_Clean!J60*100,"")</f>
        <v>0.431654676258989</v>
      </c>
      <c r="K61" s="12">
        <f>IF(AND(ISNUMBER(RU_Clean!K61),ISNUMBER(RU_Clean!K60)),(RU_Clean!K61-RU_Clean!K60)/RU_Clean!K60*100,"")</f>
        <v>0.254022015241331</v>
      </c>
      <c r="L61" s="12">
        <f>IF(AND(ISNUMBER(RU_Clean!L61),ISNUMBER(RU_Clean!L60)),(RU_Clean!L61-RU_Clean!L60)/RU_Clean!L60*100,"")</f>
        <v>-1.71821305841924</v>
      </c>
      <c r="M61" s="12">
        <f>IF(AND(ISNUMBER(RU_Clean!M61),ISNUMBER(RU_Clean!M60)),(RU_Clean!M61-RU_Clean!M60)/RU_Clean!M60*100,"")</f>
        <v>-7.11743772241993</v>
      </c>
      <c r="N61" s="12">
        <f>IF(AND(ISNUMBER(RU_Clean!N61),ISNUMBER(RU_Clean!N60)),(RU_Clean!N61-RU_Clean!N60)/RU_Clean!N60*100,"")</f>
        <v>0.150715900527519</v>
      </c>
      <c r="O61" s="12">
        <f>IF(AND(ISNUMBER(RU_Clean!O61),ISNUMBER(RU_Clean!O60)),(RU_Clean!O61-RU_Clean!O60)/RU_Clean!O60*100,"")</f>
        <v>0.247524752475245</v>
      </c>
      <c r="P61" s="12">
        <f>IF(AND(ISNUMBER(RU_Clean!P61),ISNUMBER(RU_Clean!P60)),(RU_Clean!P61-RU_Clean!P60)/RU_Clean!P60*100,"")</f>
        <v>0</v>
      </c>
      <c r="Q61" s="12">
        <f>IF(AND(ISNUMBER(RU_Clean!Q61),ISNUMBER(RU_Clean!Q60)),(RU_Clean!Q61-RU_Clean!Q60)/RU_Clean!Q60*100,"")</f>
        <v>0.0777000777000954</v>
      </c>
      <c r="R61" s="12">
        <f>IF(AND(ISNUMBER(RU_Clean!R61),ISNUMBER(RU_Clean!R60)),(RU_Clean!R61-RU_Clean!R60)/RU_Clean!R60*100,"")</f>
        <v>0.340599455040872</v>
      </c>
      <c r="S61" s="12">
        <f>IF(AND(ISNUMBER(RU_Clean!S61),ISNUMBER(RU_Clean!S60)),(RU_Clean!S61-RU_Clean!S60)/RU_Clean!S60*100,"")</f>
        <v>-1.1379800853485</v>
      </c>
      <c r="T61" s="12">
        <f>IF(AND(ISNUMBER(RU_Clean!T61),ISNUMBER(RU_Clean!T60)),(RU_Clean!T61-RU_Clean!T60)/RU_Clean!T60*100,"")</f>
        <v>0.667556742323097</v>
      </c>
      <c r="U61" s="12">
        <f>IF(AND(ISNUMBER(RU_Clean!U61),ISNUMBER(RU_Clean!U60)),(RU_Clean!U61-RU_Clean!U60)/RU_Clean!U60*100,"")</f>
        <v>0.570206699928712</v>
      </c>
      <c r="V61" s="12">
        <f>IF(AND(ISNUMBER(RU_Clean!V61),ISNUMBER(RU_Clean!V60)),(RU_Clean!V61-RU_Clean!V60)/RU_Clean!V60*100,"")</f>
        <v>0.300751879699252</v>
      </c>
      <c r="W61" s="12">
        <f>IF(AND(ISNUMBER(RU_Clean!W61),ISNUMBER(RU_Clean!W60)),(RU_Clean!W61-RU_Clean!W60)/RU_Clean!W60*100,"")</f>
        <v>0.502512562814062</v>
      </c>
      <c r="X61" s="12">
        <f>IF(AND(ISNUMBER(RU_Clean!X61),ISNUMBER(RU_Clean!X60)),(RU_Clean!X61-RU_Clean!X60)/RU_Clean!X60*100,"")</f>
        <v>0.967261904761892</v>
      </c>
      <c r="Y61" s="12">
        <f>IF(AND(ISNUMBER(RU_Clean!Y61),ISNUMBER(RU_Clean!Y60)),(RU_Clean!Y61-RU_Clean!Y60)/RU_Clean!Y60*100,"")</f>
        <v>0.924499229583967</v>
      </c>
      <c r="Z61" s="12">
        <f>IF(AND(ISNUMBER(RU_Clean!Z61),ISNUMBER(RU_Clean!Z60)),(RU_Clean!Z61-RU_Clean!Z60)/RU_Clean!Z60*100,"")</f>
        <v>0.376506024096386</v>
      </c>
      <c r="AA61" s="12">
        <f>IF(AND(ISNUMBER(RU_Clean!AA61),ISNUMBER(RU_Clean!AA60)),(RU_Clean!AA61-RU_Clean!AA60)/RU_Clean!AA60*100,"")</f>
        <v>0.307219662058376</v>
      </c>
      <c r="AB61" s="12">
        <f>IF(AND(ISNUMBER(RU_Clean!AB61),ISNUMBER(RU_Clean!AB60)),(RU_Clean!AB61-RU_Clean!AB60)/RU_Clean!AB60*100,"")</f>
        <v>0.852514919011083</v>
      </c>
      <c r="AC61" s="12">
        <f>IF(AND(ISNUMBER(RU_Clean!AC61),ISNUMBER(RU_Clean!AC60)),(RU_Clean!AC61-RU_Clean!AC60)/RU_Clean!AC60*100,"")</f>
        <v>0.471327572663008</v>
      </c>
      <c r="AD61" s="12">
        <f>IF(AND(ISNUMBER(RU_Clean!AD61),ISNUMBER(RU_Clean!AD60)),(RU_Clean!AD61-RU_Clean!AD60)/RU_Clean!AD60*100,"")</f>
        <v>-0.145348837209294</v>
      </c>
      <c r="AE61" s="12">
        <f>IF(AND(ISNUMBER(RU_Clean!AE61),ISNUMBER(RU_Clean!AE60)),(RU_Clean!AE61-RU_Clean!AE60)/RU_Clean!AE60*100,"")</f>
        <v>0.963855421686749</v>
      </c>
      <c r="AF61" s="12">
        <f>IF(AND(ISNUMBER(RU_Clean!AF61),ISNUMBER(RU_Clean!AF60)),(RU_Clean!AF61-RU_Clean!AF60)/RU_Clean!AF60*100,"")</f>
        <v>0.552050473186122</v>
      </c>
      <c r="AG61" s="12">
        <f>IF(AND(ISNUMBER(RU_Clean!AG61),ISNUMBER(RU_Clean!AG60)),(RU_Clean!AG61-RU_Clean!AG60)/RU_Clean!AG60*100,"")</f>
        <v>-0.147710487444621</v>
      </c>
      <c r="AH61" s="12">
        <f>IF(AND(ISNUMBER(RU_Clean!AH61),ISNUMBER(RU_Clean!AH60)),(RU_Clean!AH61-RU_Clean!AH60)/RU_Clean!AH60*100,"")</f>
        <v>-0.742453748782879</v>
      </c>
    </row>
    <row r="62" spans="1:34">
      <c r="A62" s="6">
        <f>RU_Clean!A62</f>
        <v>2017</v>
      </c>
      <c r="B62" s="6">
        <f>RU_Clean!B62</f>
        <v>10</v>
      </c>
      <c r="C62" s="6" t="str">
        <f>RU_Clean!C62</f>
        <v>October</v>
      </c>
      <c r="D62" s="9">
        <f>RU_Clean!D62</f>
        <v>43009</v>
      </c>
      <c r="E62" s="6"/>
      <c r="F62" s="6"/>
      <c r="G62" s="12">
        <f>IF(AND(ISNUMBER(RU_Clean!G62),ISNUMBER(RU_Clean!G61)),(RU_Clean!G62-RU_Clean!G61)/RU_Clean!G61*100,"")</f>
        <v>0.445434298440997</v>
      </c>
      <c r="H62" s="12">
        <f>IF(AND(ISNUMBER(RU_Clean!H62),ISNUMBER(RU_Clean!H61)),(RU_Clean!H62-RU_Clean!H61)/RU_Clean!H61*100,"")</f>
        <v>-0.140449438202259</v>
      </c>
      <c r="I62" s="12">
        <f>IF(AND(ISNUMBER(RU_Clean!I62),ISNUMBER(RU_Clean!I61)),(RU_Clean!I62-RU_Clean!I61)/RU_Clean!I61*100,"")</f>
        <v>0.768049155145929</v>
      </c>
      <c r="J62" s="12">
        <f>IF(AND(ISNUMBER(RU_Clean!J62),ISNUMBER(RU_Clean!J61)),(RU_Clean!J62-RU_Clean!J61)/RU_Clean!J61*100,"")</f>
        <v>0.716332378223496</v>
      </c>
      <c r="K62" s="12">
        <f>IF(AND(ISNUMBER(RU_Clean!K62),ISNUMBER(RU_Clean!K61)),(RU_Clean!K62-RU_Clean!K61)/RU_Clean!K61*100,"")</f>
        <v>0.506756756756752</v>
      </c>
      <c r="L62" s="12">
        <f>IF(AND(ISNUMBER(RU_Clean!L62),ISNUMBER(RU_Clean!L61)),(RU_Clean!L62-RU_Clean!L61)/RU_Clean!L61*100,"")</f>
        <v>-1.04895104895105</v>
      </c>
      <c r="M62" s="12">
        <f>IF(AND(ISNUMBER(RU_Clean!M62),ISNUMBER(RU_Clean!M61)),(RU_Clean!M62-RU_Clean!M61)/RU_Clean!M61*100,"")</f>
        <v>3.83141762452107</v>
      </c>
      <c r="N62" s="12">
        <f>IF(AND(ISNUMBER(RU_Clean!N62),ISNUMBER(RU_Clean!N61)),(RU_Clean!N62-RU_Clean!N61)/RU_Clean!N61*100,"")</f>
        <v>-0.451467268623021</v>
      </c>
      <c r="O62" s="12">
        <f>IF(AND(ISNUMBER(RU_Clean!O62),ISNUMBER(RU_Clean!O61)),(RU_Clean!O62-RU_Clean!O61)/RU_Clean!O61*100,"")</f>
        <v>0.246913580246911</v>
      </c>
      <c r="P62" s="12">
        <f>IF(AND(ISNUMBER(RU_Clean!P62),ISNUMBER(RU_Clean!P61)),(RU_Clean!P62-RU_Clean!P61)/RU_Clean!P61*100,"")</f>
        <v>0.516224188790573</v>
      </c>
      <c r="Q62" s="12">
        <f>IF(AND(ISNUMBER(RU_Clean!Q62),ISNUMBER(RU_Clean!Q61)),(RU_Clean!Q62-RU_Clean!Q61)/RU_Clean!Q61*100,"")</f>
        <v>-0.0776397515528127</v>
      </c>
      <c r="R62" s="12">
        <f>IF(AND(ISNUMBER(RU_Clean!R62),ISNUMBER(RU_Clean!R61)),(RU_Clean!R62-RU_Clean!R61)/RU_Clean!R61*100,"")</f>
        <v>0.543109300746764</v>
      </c>
      <c r="S62" s="12">
        <f>IF(AND(ISNUMBER(RU_Clean!S62),ISNUMBER(RU_Clean!S61)),(RU_Clean!S62-RU_Clean!S61)/RU_Clean!S61*100,"")</f>
        <v>0.791366906474816</v>
      </c>
      <c r="T62" s="12">
        <f>IF(AND(ISNUMBER(RU_Clean!T62),ISNUMBER(RU_Clean!T61)),(RU_Clean!T62-RU_Clean!T61)/RU_Clean!T61*100,"")</f>
        <v>0.530503978779829</v>
      </c>
      <c r="U62" s="12">
        <f>IF(AND(ISNUMBER(RU_Clean!U62),ISNUMBER(RU_Clean!U61)),(RU_Clean!U62-RU_Clean!U61)/RU_Clean!U61*100,"")</f>
        <v>0.637845499645645</v>
      </c>
      <c r="V62" s="12">
        <f>IF(AND(ISNUMBER(RU_Clean!V62),ISNUMBER(RU_Clean!V61)),(RU_Clean!V62-RU_Clean!V61)/RU_Clean!V61*100,"")</f>
        <v>0.524737631184399</v>
      </c>
      <c r="W62" s="12">
        <f>IF(AND(ISNUMBER(RU_Clean!W62),ISNUMBER(RU_Clean!W61)),(RU_Clean!W62-RU_Clean!W61)/RU_Clean!W61*100,"")</f>
        <v>0.57142857142858</v>
      </c>
      <c r="X62" s="12">
        <f>IF(AND(ISNUMBER(RU_Clean!X62),ISNUMBER(RU_Clean!X61)),(RU_Clean!X62-RU_Clean!X61)/RU_Clean!X61*100,"")</f>
        <v>1.17907148120857</v>
      </c>
      <c r="Y62" s="12">
        <f>IF(AND(ISNUMBER(RU_Clean!Y62),ISNUMBER(RU_Clean!Y61)),(RU_Clean!Y62-RU_Clean!Y61)/RU_Clean!Y61*100,"")</f>
        <v>0.916030534351136</v>
      </c>
      <c r="Z62" s="12">
        <f>IF(AND(ISNUMBER(RU_Clean!Z62),ISNUMBER(RU_Clean!Z61)),(RU_Clean!Z62-RU_Clean!Z61)/RU_Clean!Z61*100,"")</f>
        <v>0.225056264066004</v>
      </c>
      <c r="AA62" s="12">
        <f>IF(AND(ISNUMBER(RU_Clean!AA62),ISNUMBER(RU_Clean!AA61)),(RU_Clean!AA62-RU_Clean!AA61)/RU_Clean!AA61*100,"")</f>
        <v>0.535987748851468</v>
      </c>
      <c r="AB62" s="12">
        <f>IF(AND(ISNUMBER(RU_Clean!AB62),ISNUMBER(RU_Clean!AB61)),(RU_Clean!AB62-RU_Clean!AB61)/RU_Clean!AB61*100,"")</f>
        <v>-0.422654268808115</v>
      </c>
      <c r="AC62" s="12">
        <f>IF(AND(ISNUMBER(RU_Clean!AC62),ISNUMBER(RU_Clean!AC61)),(RU_Clean!AC62-RU_Clean!AC61)/RU_Clean!AC61*100,"")</f>
        <v>0.390930414386239</v>
      </c>
      <c r="AD62" s="12">
        <f>IF(AND(ISNUMBER(RU_Clean!AD62),ISNUMBER(RU_Clean!AD61)),(RU_Clean!AD62-RU_Clean!AD61)/RU_Clean!AD61*100,"")</f>
        <v>0.363901018922853</v>
      </c>
      <c r="AE62" s="12">
        <f>IF(AND(ISNUMBER(RU_Clean!AE62),ISNUMBER(RU_Clean!AE61)),(RU_Clean!AE62-RU_Clean!AE61)/RU_Clean!AE61*100,"")</f>
        <v>0.397772474144789</v>
      </c>
      <c r="AF62" s="12">
        <f>IF(AND(ISNUMBER(RU_Clean!AF62),ISNUMBER(RU_Clean!AF61)),(RU_Clean!AF62-RU_Clean!AF61)/RU_Clean!AF61*100,"")</f>
        <v>0.156862745098041</v>
      </c>
      <c r="AG62" s="12">
        <f>IF(AND(ISNUMBER(RU_Clean!AG62),ISNUMBER(RU_Clean!AG61)),(RU_Clean!AG62-RU_Clean!AG61)/RU_Clean!AG61*100,"")</f>
        <v>0.665680473372785</v>
      </c>
      <c r="AH62" s="12">
        <f>IF(AND(ISNUMBER(RU_Clean!AH62),ISNUMBER(RU_Clean!AH61)),(RU_Clean!AH62-RU_Clean!AH61)/RU_Clean!AH61*100,"")</f>
        <v>0.527283874923368</v>
      </c>
    </row>
    <row r="63" spans="1:34">
      <c r="A63" s="6">
        <f>RU_Clean!A63</f>
        <v>2017</v>
      </c>
      <c r="B63" s="6">
        <f>RU_Clean!B63</f>
        <v>11</v>
      </c>
      <c r="C63" s="6" t="str">
        <f>RU_Clean!C63</f>
        <v>November</v>
      </c>
      <c r="D63" s="9">
        <f>RU_Clean!D63</f>
        <v>43040</v>
      </c>
      <c r="E63" s="6"/>
      <c r="F63" s="6"/>
      <c r="G63" s="12">
        <f>IF(AND(ISNUMBER(RU_Clean!G63),ISNUMBER(RU_Clean!G62)),(RU_Clean!G63-RU_Clean!G62)/RU_Clean!G62*100,"")</f>
        <v>0.295639320029547</v>
      </c>
      <c r="H63" s="12">
        <f>IF(AND(ISNUMBER(RU_Clean!H63),ISNUMBER(RU_Clean!H62)),(RU_Clean!H63-RU_Clean!H62)/RU_Clean!H62*100,"")</f>
        <v>0.140646976090026</v>
      </c>
      <c r="I63" s="12">
        <f>IF(AND(ISNUMBER(RU_Clean!I63),ISNUMBER(RU_Clean!I62)),(RU_Clean!I63-RU_Clean!I62)/RU_Clean!I62*100,"")</f>
        <v>8.91768292682928</v>
      </c>
      <c r="J63" s="12">
        <f>IF(AND(ISNUMBER(RU_Clean!J63),ISNUMBER(RU_Clean!J62)),(RU_Clean!J63-RU_Clean!J62)/RU_Clean!J62*100,"")</f>
        <v>0.142247510668575</v>
      </c>
      <c r="K63" s="12">
        <f>IF(AND(ISNUMBER(RU_Clean!K63),ISNUMBER(RU_Clean!K62)),(RU_Clean!K63-RU_Clean!K62)/RU_Clean!K62*100,"")</f>
        <v>0.168067226890759</v>
      </c>
      <c r="L63" s="12">
        <f>IF(AND(ISNUMBER(RU_Clean!L63),ISNUMBER(RU_Clean!L62)),(RU_Clean!L63-RU_Clean!L62)/RU_Clean!L62*100,"")</f>
        <v>0.494699646643102</v>
      </c>
      <c r="M63" s="12">
        <f>IF(AND(ISNUMBER(RU_Clean!M63),ISNUMBER(RU_Clean!M62)),(RU_Clean!M63-RU_Clean!M62)/RU_Clean!M62*100,"")</f>
        <v>6.88806888068882</v>
      </c>
      <c r="N63" s="12">
        <f>IF(AND(ISNUMBER(RU_Clean!N63),ISNUMBER(RU_Clean!N62)),(RU_Clean!N63-RU_Clean!N62)/RU_Clean!N62*100,"")</f>
        <v>-0.831443688586563</v>
      </c>
      <c r="O63" s="12">
        <f>IF(AND(ISNUMBER(RU_Clean!O63),ISNUMBER(RU_Clean!O62)),(RU_Clean!O63-RU_Clean!O62)/RU_Clean!O62*100,"")</f>
        <v>0.98522167487685</v>
      </c>
      <c r="P63" s="12">
        <f>IF(AND(ISNUMBER(RU_Clean!P63),ISNUMBER(RU_Clean!P62)),(RU_Clean!P63-RU_Clean!P62)/RU_Clean!P62*100,"")</f>
        <v>0.366837857666911</v>
      </c>
      <c r="Q63" s="12">
        <f>IF(AND(ISNUMBER(RU_Clean!Q63),ISNUMBER(RU_Clean!Q62)),(RU_Clean!Q63-RU_Clean!Q62)/RU_Clean!Q62*100,"")</f>
        <v>0.388500388500389</v>
      </c>
      <c r="R63" s="12">
        <f>IF(AND(ISNUMBER(RU_Clean!R63),ISNUMBER(RU_Clean!R62)),(RU_Clean!R63-RU_Clean!R62)/RU_Clean!R62*100,"")</f>
        <v>0.540175557056051</v>
      </c>
      <c r="S63" s="12">
        <f>IF(AND(ISNUMBER(RU_Clean!S63),ISNUMBER(RU_Clean!S62)),(RU_Clean!S63-RU_Clean!S62)/RU_Clean!S62*100,"")</f>
        <v>1.42755174875089</v>
      </c>
      <c r="T63" s="12">
        <f>IF(AND(ISNUMBER(RU_Clean!T63),ISNUMBER(RU_Clean!T62)),(RU_Clean!T63-RU_Clean!T62)/RU_Clean!T62*100,"")</f>
        <v>1.05540897097625</v>
      </c>
      <c r="U63" s="12">
        <f>IF(AND(ISNUMBER(RU_Clean!U63),ISNUMBER(RU_Clean!U62)),(RU_Clean!U63-RU_Clean!U62)/RU_Clean!U62*100,"")</f>
        <v>0.704225352112676</v>
      </c>
      <c r="V63" s="12">
        <f>IF(AND(ISNUMBER(RU_Clean!V63),ISNUMBER(RU_Clean!V62)),(RU_Clean!V63-RU_Clean!V62)/RU_Clean!V62*100,"")</f>
        <v>0.521998508575703</v>
      </c>
      <c r="W63" s="12">
        <f>IF(AND(ISNUMBER(RU_Clean!W63),ISNUMBER(RU_Clean!W62)),(RU_Clean!W63-RU_Clean!W62)/RU_Clean!W62*100,"")</f>
        <v>0.710227272727273</v>
      </c>
      <c r="X63" s="12">
        <f>IF(AND(ISNUMBER(RU_Clean!X63),ISNUMBER(RU_Clean!X62)),(RU_Clean!X63-RU_Clean!X62)/RU_Clean!X62*100,"")</f>
        <v>0.946831755280395</v>
      </c>
      <c r="Y63" s="12">
        <f>IF(AND(ISNUMBER(RU_Clean!Y63),ISNUMBER(RU_Clean!Y62)),(RU_Clean!Y63-RU_Clean!Y62)/RU_Clean!Y62*100,"")</f>
        <v>2.34493192133133</v>
      </c>
      <c r="Z63" s="12">
        <f>IF(AND(ISNUMBER(RU_Clean!Z63),ISNUMBER(RU_Clean!Z62)),(RU_Clean!Z63-RU_Clean!Z62)/RU_Clean!Z62*100,"")</f>
        <v>0.598802395209589</v>
      </c>
      <c r="AA63" s="12">
        <f>IF(AND(ISNUMBER(RU_Clean!AA63),ISNUMBER(RU_Clean!AA62)),(RU_Clean!AA63-RU_Clean!AA62)/RU_Clean!AA62*100,"")</f>
        <v>0.990099009900977</v>
      </c>
      <c r="AB63" s="12">
        <f>IF(AND(ISNUMBER(RU_Clean!AB63),ISNUMBER(RU_Clean!AB62)),(RU_Clean!AB63-RU_Clean!AB62)/RU_Clean!AB62*100,"")</f>
        <v>0.424448217317487</v>
      </c>
      <c r="AC63" s="12">
        <f>IF(AND(ISNUMBER(RU_Clean!AC63),ISNUMBER(RU_Clean!AC62)),(RU_Clean!AC63-RU_Clean!AC62)/RU_Clean!AC62*100,"")</f>
        <v>0.389408099688474</v>
      </c>
      <c r="AD63" s="12">
        <f>IF(AND(ISNUMBER(RU_Clean!AD63),ISNUMBER(RU_Clean!AD62)),(RU_Clean!AD63-RU_Clean!AD62)/RU_Clean!AD62*100,"")</f>
        <v>0.507614213197961</v>
      </c>
      <c r="AE63" s="12">
        <f>IF(AND(ISNUMBER(RU_Clean!AE63),ISNUMBER(RU_Clean!AE62)),(RU_Clean!AE63-RU_Clean!AE62)/RU_Clean!AE62*100,"")</f>
        <v>0.475435816164813</v>
      </c>
      <c r="AF63" s="12">
        <f>IF(AND(ISNUMBER(RU_Clean!AF63),ISNUMBER(RU_Clean!AF62)),(RU_Clean!AF63-RU_Clean!AF62)/RU_Clean!AF62*100,"")</f>
        <v>0.548159749412688</v>
      </c>
      <c r="AG63" s="12">
        <f>IF(AND(ISNUMBER(RU_Clean!AG63),ISNUMBER(RU_Clean!AG62)),(RU_Clean!AG63-RU_Clean!AG62)/RU_Clean!AG62*100,"")</f>
        <v>1.10213078618663</v>
      </c>
      <c r="AH63" s="12">
        <f>IF(AND(ISNUMBER(RU_Clean!AH63),ISNUMBER(RU_Clean!AH62)),(RU_Clean!AH63-RU_Clean!AH62)/RU_Clean!AH62*100,"")</f>
        <v>1.61624786533302</v>
      </c>
    </row>
    <row r="64" spans="1:34">
      <c r="A64" s="6">
        <f>RU_Clean!A64</f>
        <v>2017</v>
      </c>
      <c r="B64" s="6">
        <f>RU_Clean!B64</f>
        <v>12</v>
      </c>
      <c r="C64" s="6" t="str">
        <f>RU_Clean!C64</f>
        <v>December</v>
      </c>
      <c r="D64" s="9">
        <f>RU_Clean!D64</f>
        <v>43070</v>
      </c>
      <c r="E64" s="6"/>
      <c r="F64" s="6"/>
      <c r="G64" s="12">
        <f>IF(AND(ISNUMBER(RU_Clean!G64),ISNUMBER(RU_Clean!G63)),(RU_Clean!G64-RU_Clean!G63)/RU_Clean!G63*100,"")</f>
        <v>0.073691967575551</v>
      </c>
      <c r="H64" s="12">
        <f>IF(AND(ISNUMBER(RU_Clean!H64),ISNUMBER(RU_Clean!H63)),(RU_Clean!H64-RU_Clean!H63)/RU_Clean!H63*100,"")</f>
        <v>0.632022471910116</v>
      </c>
      <c r="I64" s="12">
        <f>IF(AND(ISNUMBER(RU_Clean!I64),ISNUMBER(RU_Clean!I63)),(RU_Clean!I64-RU_Clean!I63)/RU_Clean!I63*100,"")</f>
        <v>1.60951714485653</v>
      </c>
      <c r="J64" s="12">
        <f>IF(AND(ISNUMBER(RU_Clean!J64),ISNUMBER(RU_Clean!J63)),(RU_Clean!J64-RU_Clean!J63)/RU_Clean!J63*100,"")</f>
        <v>0.142045454545446</v>
      </c>
      <c r="K64" s="12">
        <f>IF(AND(ISNUMBER(RU_Clean!K64),ISNUMBER(RU_Clean!K63)),(RU_Clean!K64-RU_Clean!K63)/RU_Clean!K63*100,"")</f>
        <v>1.09060402684564</v>
      </c>
      <c r="L64" s="12">
        <f>IF(AND(ISNUMBER(RU_Clean!L64),ISNUMBER(RU_Clean!L63)),(RU_Clean!L64-RU_Clean!L63)/RU_Clean!L63*100,"")</f>
        <v>-0.492264416315041</v>
      </c>
      <c r="M64" s="12">
        <f>IF(AND(ISNUMBER(RU_Clean!M64),ISNUMBER(RU_Clean!M63)),(RU_Clean!M64-RU_Clean!M63)/RU_Clean!M63*100,"")</f>
        <v>-6.96202531645571</v>
      </c>
      <c r="N64" s="12">
        <f>IF(AND(ISNUMBER(RU_Clean!N64),ISNUMBER(RU_Clean!N63)),(RU_Clean!N64-RU_Clean!N63)/RU_Clean!N63*100,"")</f>
        <v>-1.60060975609756</v>
      </c>
      <c r="O64" s="12">
        <f>IF(AND(ISNUMBER(RU_Clean!O64),ISNUMBER(RU_Clean!O63)),(RU_Clean!O64-RU_Clean!O63)/RU_Clean!O63*100,"")</f>
        <v>-1.21951219512195</v>
      </c>
      <c r="P64" s="12">
        <f>IF(AND(ISNUMBER(RU_Clean!P64),ISNUMBER(RU_Clean!P63)),(RU_Clean!P64-RU_Clean!P63)/RU_Clean!P63*100,"")</f>
        <v>0.219298245614023</v>
      </c>
      <c r="Q64" s="12">
        <f>IF(AND(ISNUMBER(RU_Clean!Q64),ISNUMBER(RU_Clean!Q63)),(RU_Clean!Q64-RU_Clean!Q63)/RU_Clean!Q63*100,"")</f>
        <v>-0.309597523219797</v>
      </c>
      <c r="R64" s="12">
        <f>IF(AND(ISNUMBER(RU_Clean!R64),ISNUMBER(RU_Clean!R63)),(RU_Clean!R64-RU_Clean!R63)/RU_Clean!R63*100,"")</f>
        <v>0.0671591672263226</v>
      </c>
      <c r="S64" s="12">
        <f>IF(AND(ISNUMBER(RU_Clean!S64),ISNUMBER(RU_Clean!S63)),(RU_Clean!S64-RU_Clean!S63)/RU_Clean!S63*100,"")</f>
        <v>-1.12596762843068</v>
      </c>
      <c r="T64" s="12">
        <f>IF(AND(ISNUMBER(RU_Clean!T64),ISNUMBER(RU_Clean!T63)),(RU_Clean!T64-RU_Clean!T63)/RU_Clean!T63*100,"")</f>
        <v>0.652741514360313</v>
      </c>
      <c r="U64" s="12">
        <f>IF(AND(ISNUMBER(RU_Clean!U64),ISNUMBER(RU_Clean!U63)),(RU_Clean!U64-RU_Clean!U63)/RU_Clean!U63*100,"")</f>
        <v>0.069930069930066</v>
      </c>
      <c r="V64" s="12">
        <f>IF(AND(ISNUMBER(RU_Clean!V64),ISNUMBER(RU_Clean!V63)),(RU_Clean!V64-RU_Clean!V63)/RU_Clean!V63*100,"")</f>
        <v>0.22255192878337</v>
      </c>
      <c r="W64" s="12">
        <f>IF(AND(ISNUMBER(RU_Clean!W64),ISNUMBER(RU_Clean!W63)),(RU_Clean!W64-RU_Clean!W63)/RU_Clean!W63*100,"")</f>
        <v>0.141043723554294</v>
      </c>
      <c r="X64" s="12">
        <f>IF(AND(ISNUMBER(RU_Clean!X64),ISNUMBER(RU_Clean!X63)),(RU_Clean!X64-RU_Clean!X63)/RU_Clean!X63*100,"")</f>
        <v>0.360750360750361</v>
      </c>
      <c r="Y64" s="12">
        <f>IF(AND(ISNUMBER(RU_Clean!Y64),ISNUMBER(RU_Clean!Y63)),(RU_Clean!Y64-RU_Clean!Y63)/RU_Clean!Y63*100,"")</f>
        <v>0.96082779009607</v>
      </c>
      <c r="Z64" s="12">
        <f>IF(AND(ISNUMBER(RU_Clean!Z64),ISNUMBER(RU_Clean!Z63)),(RU_Clean!Z64-RU_Clean!Z63)/RU_Clean!Z63*100,"")</f>
        <v>0.223214285714273</v>
      </c>
      <c r="AA64" s="12">
        <f>IF(AND(ISNUMBER(RU_Clean!AA64),ISNUMBER(RU_Clean!AA63)),(RU_Clean!AA64-RU_Clean!AA63)/RU_Clean!AA63*100,"")</f>
        <v>0.377073906485671</v>
      </c>
      <c r="AB64" s="12">
        <f>IF(AND(ISNUMBER(RU_Clean!AB64),ISNUMBER(RU_Clean!AB63)),(RU_Clean!AB64-RU_Clean!AB63)/RU_Clean!AB63*100,"")</f>
        <v>0.169061707523248</v>
      </c>
      <c r="AC64" s="12">
        <f>IF(AND(ISNUMBER(RU_Clean!AC64),ISNUMBER(RU_Clean!AC63)),(RU_Clean!AC64-RU_Clean!AC63)/RU_Clean!AC63*100,"")</f>
        <v>0.0775795190069777</v>
      </c>
      <c r="AD64" s="12">
        <f>IF(AND(ISNUMBER(RU_Clean!AD64),ISNUMBER(RU_Clean!AD63)),(RU_Clean!AD64-RU_Clean!AD63)/RU_Clean!AD63*100,"")</f>
        <v>-0.0721500721500681</v>
      </c>
      <c r="AE64" s="12">
        <f>IF(AND(ISNUMBER(RU_Clean!AE64),ISNUMBER(RU_Clean!AE63)),(RU_Clean!AE64-RU_Clean!AE63)/RU_Clean!AE63*100,"")</f>
        <v>-0.236593059936906</v>
      </c>
      <c r="AF64" s="12">
        <f>IF(AND(ISNUMBER(RU_Clean!AF64),ISNUMBER(RU_Clean!AF63)),(RU_Clean!AF64-RU_Clean!AF63)/RU_Clean!AF63*100,"")</f>
        <v>0.155763239875381</v>
      </c>
      <c r="AG64" s="12">
        <f>IF(AND(ISNUMBER(RU_Clean!AG64),ISNUMBER(RU_Clean!AG63)),(RU_Clean!AG64-RU_Clean!AG63)/RU_Clean!AG63*100,"")</f>
        <v>-0.290697674418609</v>
      </c>
      <c r="AH64" s="12">
        <f>IF(AND(ISNUMBER(RU_Clean!AH64),ISNUMBER(RU_Clean!AH63)),(RU_Clean!AH64-RU_Clean!AH63)/RU_Clean!AH63*100,"")</f>
        <v>-0.696236720484987</v>
      </c>
    </row>
    <row r="65" spans="1:34">
      <c r="A65" s="6">
        <f>RU_Clean!A65</f>
        <v>2018</v>
      </c>
      <c r="B65" s="6">
        <f>RU_Clean!B65</f>
        <v>1</v>
      </c>
      <c r="C65" s="6" t="str">
        <f>RU_Clean!C65</f>
        <v>January</v>
      </c>
      <c r="D65" s="9">
        <f>RU_Clean!D65</f>
        <v>43101</v>
      </c>
      <c r="E65" s="6"/>
      <c r="F65" s="6"/>
      <c r="G65" s="12">
        <f>IF(AND(ISNUMBER(RU_Clean!G65),ISNUMBER(RU_Clean!G64)),(RU_Clean!G65-RU_Clean!G64)/RU_Clean!G64*100,"")</f>
        <v>0.147275405007355</v>
      </c>
      <c r="H65" s="12">
        <f>IF(AND(ISNUMBER(RU_Clean!H65),ISNUMBER(RU_Clean!H64)),(RU_Clean!H65-RU_Clean!H64)/RU_Clean!H64*100,"")</f>
        <v>0.628053035589656</v>
      </c>
      <c r="I65" s="12">
        <f>IF(AND(ISNUMBER(RU_Clean!I65),ISNUMBER(RU_Clean!I64)),(RU_Clean!I65-RU_Clean!I64)/RU_Clean!I64*100,"")</f>
        <v>-1.03305785123967</v>
      </c>
      <c r="J65" s="12">
        <f>IF(AND(ISNUMBER(RU_Clean!J65),ISNUMBER(RU_Clean!J64)),(RU_Clean!J65-RU_Clean!J64)/RU_Clean!J64*100,"")</f>
        <v>0.0709219858155988</v>
      </c>
      <c r="K65" s="12">
        <f>IF(AND(ISNUMBER(RU_Clean!K65),ISNUMBER(RU_Clean!K64)),(RU_Clean!K65-RU_Clean!K64)/RU_Clean!K64*100,"")</f>
        <v>0.165975103734442</v>
      </c>
      <c r="L65" s="12">
        <f>IF(AND(ISNUMBER(RU_Clean!L65),ISNUMBER(RU_Clean!L64)),(RU_Clean!L65-RU_Clean!L64)/RU_Clean!L64*100,"")</f>
        <v>-0.141342756183738</v>
      </c>
      <c r="M65" s="12">
        <f>IF(AND(ISNUMBER(RU_Clean!M65),ISNUMBER(RU_Clean!M64)),(RU_Clean!M65-RU_Clean!M64)/RU_Clean!M64*100,"")</f>
        <v>-6.24613481756339</v>
      </c>
      <c r="N65" s="12">
        <f>IF(AND(ISNUMBER(RU_Clean!N65),ISNUMBER(RU_Clean!N64)),(RU_Clean!N65-RU_Clean!N64)/RU_Clean!N64*100,"")</f>
        <v>-1.39426800929512</v>
      </c>
      <c r="O65" s="12">
        <f>IF(AND(ISNUMBER(RU_Clean!O65),ISNUMBER(RU_Clean!O64)),(RU_Clean!O65-RU_Clean!O64)/RU_Clean!O64*100,"")</f>
        <v>-2.22222222222222</v>
      </c>
      <c r="P65" s="12">
        <f>IF(AND(ISNUMBER(RU_Clean!P65),ISNUMBER(RU_Clean!P64)),(RU_Clean!P65-RU_Clean!P64)/RU_Clean!P64*100,"")</f>
        <v>0.291757840991981</v>
      </c>
      <c r="Q65" s="12">
        <f>IF(AND(ISNUMBER(RU_Clean!Q65),ISNUMBER(RU_Clean!Q64)),(RU_Clean!Q65-RU_Clean!Q64)/RU_Clean!Q64*100,"")</f>
        <v>0.155279503105581</v>
      </c>
      <c r="R65" s="12">
        <f>IF(AND(ISNUMBER(RU_Clean!R65),ISNUMBER(RU_Clean!R64)),(RU_Clean!R65-RU_Clean!R64)/RU_Clean!R64*100,"")</f>
        <v>0.335570469798658</v>
      </c>
      <c r="S65" s="12">
        <f>IF(AND(ISNUMBER(RU_Clean!S65),ISNUMBER(RU_Clean!S64)),(RU_Clean!S65-RU_Clean!S64)/RU_Clean!S64*100,"")</f>
        <v>-0.925266903914599</v>
      </c>
      <c r="T65" s="12">
        <f>IF(AND(ISNUMBER(RU_Clean!T65),ISNUMBER(RU_Clean!T64)),(RU_Clean!T65-RU_Clean!T64)/RU_Clean!T64*100,"")</f>
        <v>0.324254215304799</v>
      </c>
      <c r="U65" s="12">
        <f>IF(AND(ISNUMBER(RU_Clean!U65),ISNUMBER(RU_Clean!U64)),(RU_Clean!U65-RU_Clean!U64)/RU_Clean!U64*100,"")</f>
        <v>0.279524807826699</v>
      </c>
      <c r="V65" s="12">
        <f>IF(AND(ISNUMBER(RU_Clean!V65),ISNUMBER(RU_Clean!V64)),(RU_Clean!V65-RU_Clean!V64)/RU_Clean!V64*100,"")</f>
        <v>0.296076980014808</v>
      </c>
      <c r="W65" s="12">
        <f>IF(AND(ISNUMBER(RU_Clean!W65),ISNUMBER(RU_Clean!W64)),(RU_Clean!W65-RU_Clean!W64)/RU_Clean!W64*100,"")</f>
        <v>0.211267605633811</v>
      </c>
      <c r="X65" s="12">
        <f>IF(AND(ISNUMBER(RU_Clean!X65),ISNUMBER(RU_Clean!X64)),(RU_Clean!X65-RU_Clean!X64)/RU_Clean!X64*100,"")</f>
        <v>0.934579439252345</v>
      </c>
      <c r="Y65" s="12">
        <f>IF(AND(ISNUMBER(RU_Clean!Y65),ISNUMBER(RU_Clean!Y64)),(RU_Clean!Y65-RU_Clean!Y64)/RU_Clean!Y64*100,"")</f>
        <v>0</v>
      </c>
      <c r="Z65" s="12">
        <f>IF(AND(ISNUMBER(RU_Clean!Z65),ISNUMBER(RU_Clean!Z64)),(RU_Clean!Z65-RU_Clean!Z64)/RU_Clean!Z64*100,"")</f>
        <v>0.148478099480339</v>
      </c>
      <c r="AA65" s="12">
        <f>IF(AND(ISNUMBER(RU_Clean!AA65),ISNUMBER(RU_Clean!AA64)),(RU_Clean!AA65-RU_Clean!AA64)/RU_Clean!AA64*100,"")</f>
        <v>0.150262960180328</v>
      </c>
      <c r="AB65" s="12">
        <f>IF(AND(ISNUMBER(RU_Clean!AB65),ISNUMBER(RU_Clean!AB64)),(RU_Clean!AB65-RU_Clean!AB64)/RU_Clean!AB64*100,"")</f>
        <v>0.675105485232065</v>
      </c>
      <c r="AC65" s="12">
        <f>IF(AND(ISNUMBER(RU_Clean!AC65),ISNUMBER(RU_Clean!AC64)),(RU_Clean!AC65-RU_Clean!AC64)/RU_Clean!AC64*100,"")</f>
        <v>0.54263565891472</v>
      </c>
      <c r="AD65" s="12">
        <f>IF(AND(ISNUMBER(RU_Clean!AD65),ISNUMBER(RU_Clean!AD64)),(RU_Clean!AD65-RU_Clean!AD64)/RU_Clean!AD64*100,"")</f>
        <v>0.36101083032491</v>
      </c>
      <c r="AE65" s="12">
        <f>IF(AND(ISNUMBER(RU_Clean!AE65),ISNUMBER(RU_Clean!AE64)),(RU_Clean!AE65-RU_Clean!AE64)/RU_Clean!AE64*100,"")</f>
        <v>0.632411067193674</v>
      </c>
      <c r="AF65" s="12">
        <f>IF(AND(ISNUMBER(RU_Clean!AF65),ISNUMBER(RU_Clean!AF64)),(RU_Clean!AF65-RU_Clean!AF64)/RU_Clean!AF64*100,"")</f>
        <v>0.388802488335925</v>
      </c>
      <c r="AG65" s="12">
        <f>IF(AND(ISNUMBER(RU_Clean!AG65),ISNUMBER(RU_Clean!AG64)),(RU_Clean!AG65-RU_Clean!AG64)/RU_Clean!AG64*100,"")</f>
        <v>-0.218658892128268</v>
      </c>
      <c r="AH65" s="12">
        <f>IF(AND(ISNUMBER(RU_Clean!AH65),ISNUMBER(RU_Clean!AH64)),(RU_Clean!AH65-RU_Clean!AH64)/RU_Clean!AH64*100,"")</f>
        <v>-0.834088848594725</v>
      </c>
    </row>
    <row r="66" spans="1:34">
      <c r="A66" s="6">
        <f>RU_Clean!A66</f>
        <v>2018</v>
      </c>
      <c r="B66" s="6">
        <f>RU_Clean!B66</f>
        <v>2</v>
      </c>
      <c r="C66" s="6" t="str">
        <f>RU_Clean!C66</f>
        <v>February</v>
      </c>
      <c r="D66" s="9">
        <f>RU_Clean!D66</f>
        <v>43132</v>
      </c>
      <c r="E66" s="6"/>
      <c r="F66" s="6"/>
      <c r="G66" s="12">
        <f>IF(AND(ISNUMBER(RU_Clean!G66),ISNUMBER(RU_Clean!G65)),(RU_Clean!G66-RU_Clean!G65)/RU_Clean!G65*100,"")</f>
        <v>-0.0735294117647017</v>
      </c>
      <c r="H66" s="12">
        <f>IF(AND(ISNUMBER(RU_Clean!H66),ISNUMBER(RU_Clean!H65)),(RU_Clean!H66-RU_Clean!H65)/RU_Clean!H65*100,"")</f>
        <v>-0.485436893203876</v>
      </c>
      <c r="I66" s="12">
        <f>IF(AND(ISNUMBER(RU_Clean!I66),ISNUMBER(RU_Clean!I65)),(RU_Clean!I66-RU_Clean!I65)/RU_Clean!I65*100,"")</f>
        <v>-2.36604036186498</v>
      </c>
      <c r="J66" s="12">
        <f>IF(AND(ISNUMBER(RU_Clean!J66),ISNUMBER(RU_Clean!J65)),(RU_Clean!J66-RU_Clean!J65)/RU_Clean!J65*100,"")</f>
        <v>-0.14174344436569</v>
      </c>
      <c r="K66" s="12">
        <f>IF(AND(ISNUMBER(RU_Clean!K66),ISNUMBER(RU_Clean!K65)),(RU_Clean!K66-RU_Clean!K65)/RU_Clean!K65*100,"")</f>
        <v>-0.24855012427506</v>
      </c>
      <c r="L66" s="12">
        <f>IF(AND(ISNUMBER(RU_Clean!L66),ISNUMBER(RU_Clean!L65)),(RU_Clean!L66-RU_Clean!L65)/RU_Clean!L65*100,"")</f>
        <v>1.13234253361641</v>
      </c>
      <c r="M66" s="12">
        <f>IF(AND(ISNUMBER(RU_Clean!M66),ISNUMBER(RU_Clean!M65)),(RU_Clean!M66-RU_Clean!M65)/RU_Clean!M65*100,"")</f>
        <v>-7.32189973614775</v>
      </c>
      <c r="N66" s="12">
        <f>IF(AND(ISNUMBER(RU_Clean!N66),ISNUMBER(RU_Clean!N65)),(RU_Clean!N66-RU_Clean!N65)/RU_Clean!N65*100,"")</f>
        <v>-1.1783189316575</v>
      </c>
      <c r="O66" s="12">
        <f>IF(AND(ISNUMBER(RU_Clean!O66),ISNUMBER(RU_Clean!O65)),(RU_Clean!O66-RU_Clean!O65)/RU_Clean!O65*100,"")</f>
        <v>-1.43097643097643</v>
      </c>
      <c r="P66" s="12">
        <f>IF(AND(ISNUMBER(RU_Clean!P66),ISNUMBER(RU_Clean!P65)),(RU_Clean!P66-RU_Clean!P65)/RU_Clean!P65*100,"")</f>
        <v>-0.145454545454537</v>
      </c>
      <c r="Q66" s="12">
        <f>IF(AND(ISNUMBER(RU_Clean!Q66),ISNUMBER(RU_Clean!Q65)),(RU_Clean!Q66-RU_Clean!Q65)/RU_Clean!Q65*100,"")</f>
        <v>-0.310077519379849</v>
      </c>
      <c r="R66" s="12">
        <f>IF(AND(ISNUMBER(RU_Clean!R66),ISNUMBER(RU_Clean!R65)),(RU_Clean!R66-RU_Clean!R65)/RU_Clean!R65*100,"")</f>
        <v>0.0668896321070196</v>
      </c>
      <c r="S66" s="12">
        <f>IF(AND(ISNUMBER(RU_Clean!S66),ISNUMBER(RU_Clean!S65)),(RU_Clean!S66-RU_Clean!S65)/RU_Clean!S65*100,"")</f>
        <v>-1.14942528735632</v>
      </c>
      <c r="T66" s="12">
        <f>IF(AND(ISNUMBER(RU_Clean!T66),ISNUMBER(RU_Clean!T65)),(RU_Clean!T66-RU_Clean!T65)/RU_Clean!T65*100,"")</f>
        <v>0.12928248222367</v>
      </c>
      <c r="U66" s="12">
        <f>IF(AND(ISNUMBER(RU_Clean!U66),ISNUMBER(RU_Clean!U65)),(RU_Clean!U66-RU_Clean!U65)/RU_Clean!U65*100,"")</f>
        <v>0.209059233449485</v>
      </c>
      <c r="V66" s="12">
        <f>IF(AND(ISNUMBER(RU_Clean!V66),ISNUMBER(RU_Clean!V65)),(RU_Clean!V66-RU_Clean!V65)/RU_Clean!V65*100,"")</f>
        <v>0.0738007380073759</v>
      </c>
      <c r="W66" s="12">
        <f>IF(AND(ISNUMBER(RU_Clean!W66),ISNUMBER(RU_Clean!W65)),(RU_Clean!W66-RU_Clean!W65)/RU_Clean!W65*100,"")</f>
        <v>0.21082220660575</v>
      </c>
      <c r="X66" s="12">
        <f>IF(AND(ISNUMBER(RU_Clean!X66),ISNUMBER(RU_Clean!X65)),(RU_Clean!X66-RU_Clean!X65)/RU_Clean!X65*100,"")</f>
        <v>0.641025641025645</v>
      </c>
      <c r="Y66" s="12">
        <f>IF(AND(ISNUMBER(RU_Clean!Y66),ISNUMBER(RU_Clean!Y65)),(RU_Clean!Y66-RU_Clean!Y65)/RU_Clean!Y65*100,"")</f>
        <v>0.0732064421669065</v>
      </c>
      <c r="Z66" s="12">
        <f>IF(AND(ISNUMBER(RU_Clean!Z66),ISNUMBER(RU_Clean!Z65)),(RU_Clean!Z66-RU_Clean!Z65)/RU_Clean!Z65*100,"")</f>
        <v>0.222386953298727</v>
      </c>
      <c r="AA66" s="12">
        <f>IF(AND(ISNUMBER(RU_Clean!AA66),ISNUMBER(RU_Clean!AA65)),(RU_Clean!AA66-RU_Clean!AA65)/RU_Clean!AA65*100,"")</f>
        <v>0.375093773443361</v>
      </c>
      <c r="AB66" s="12">
        <f>IF(AND(ISNUMBER(RU_Clean!AB66),ISNUMBER(RU_Clean!AB65)),(RU_Clean!AB66-RU_Clean!AB65)/RU_Clean!AB65*100,"")</f>
        <v>0.754400670578379</v>
      </c>
      <c r="AC66" s="12">
        <f>IF(AND(ISNUMBER(RU_Clean!AC66),ISNUMBER(RU_Clean!AC65)),(RU_Clean!AC66-RU_Clean!AC65)/RU_Clean!AC65*100,"")</f>
        <v>0.154202004626073</v>
      </c>
      <c r="AD66" s="12">
        <f>IF(AND(ISNUMBER(RU_Clean!AD66),ISNUMBER(RU_Clean!AD65)),(RU_Clean!AD66-RU_Clean!AD65)/RU_Clean!AD65*100,"")</f>
        <v>0</v>
      </c>
      <c r="AE66" s="12">
        <f>IF(AND(ISNUMBER(RU_Clean!AE66),ISNUMBER(RU_Clean!AE65)),(RU_Clean!AE66-RU_Clean!AE65)/RU_Clean!AE65*100,"")</f>
        <v>0.314218381775338</v>
      </c>
      <c r="AF66" s="12">
        <f>IF(AND(ISNUMBER(RU_Clean!AF66),ISNUMBER(RU_Clean!AF65)),(RU_Clean!AF66-RU_Clean!AF65)/RU_Clean!AF65*100,"")</f>
        <v>0.387296669248644</v>
      </c>
      <c r="AG66" s="12">
        <f>IF(AND(ISNUMBER(RU_Clean!AG66),ISNUMBER(RU_Clean!AG65)),(RU_Clean!AG66-RU_Clean!AG65)/RU_Clean!AG65*100,"")</f>
        <v>-0.365230094959825</v>
      </c>
      <c r="AH66" s="12">
        <f>IF(AND(ISNUMBER(RU_Clean!AH66),ISNUMBER(RU_Clean!AH65)),(RU_Clean!AH66-RU_Clean!AH65)/RU_Clean!AH65*100,"")</f>
        <v>-1.09099774486502</v>
      </c>
    </row>
    <row r="67" spans="1:34">
      <c r="A67" s="6">
        <f>RU_Clean!A67</f>
        <v>2018</v>
      </c>
      <c r="B67" s="6">
        <f>RU_Clean!B67</f>
        <v>3</v>
      </c>
      <c r="C67" s="6" t="str">
        <f>RU_Clean!C67</f>
        <v>March</v>
      </c>
      <c r="D67" s="9">
        <f>RU_Clean!D67</f>
        <v>43160</v>
      </c>
      <c r="E67" s="6"/>
      <c r="F67" s="6"/>
      <c r="G67" s="12">
        <f>IF(AND(ISNUMBER(RU_Clean!G67),ISNUMBER(RU_Clean!G66)),(RU_Clean!G67-RU_Clean!G66)/RU_Clean!G66*100,"")</f>
        <v>0.220750551876367</v>
      </c>
      <c r="H67" s="12">
        <f>IF(AND(ISNUMBER(RU_Clean!H67),ISNUMBER(RU_Clean!H66)),(RU_Clean!H67-RU_Clean!H66)/RU_Clean!H66*100,"")</f>
        <v>0.0696864111498218</v>
      </c>
      <c r="I67" s="12">
        <f>IF(AND(ISNUMBER(RU_Clean!I67),ISNUMBER(RU_Clean!I66)),(RU_Clean!I67-RU_Clean!I66)/RU_Clean!I66*100,"")</f>
        <v>-1.42551674982181</v>
      </c>
      <c r="J67" s="12">
        <f>IF(AND(ISNUMBER(RU_Clean!J67),ISNUMBER(RU_Clean!J66)),(RU_Clean!J67-RU_Clean!J66)/RU_Clean!J66*100,"")</f>
        <v>0.212916962384658</v>
      </c>
      <c r="K67" s="12">
        <f>IF(AND(ISNUMBER(RU_Clean!K67),ISNUMBER(RU_Clean!K66)),(RU_Clean!K67-RU_Clean!K66)/RU_Clean!K66*100,"")</f>
        <v>0.249169435215944</v>
      </c>
      <c r="L67" s="12">
        <f>IF(AND(ISNUMBER(RU_Clean!L67),ISNUMBER(RU_Clean!L66)),(RU_Clean!L67-RU_Clean!L66)/RU_Clean!L66*100,"")</f>
        <v>2.30930720783764</v>
      </c>
      <c r="M67" s="12">
        <f>IF(AND(ISNUMBER(RU_Clean!M67),ISNUMBER(RU_Clean!M66)),(RU_Clean!M67-RU_Clean!M66)/RU_Clean!M66*100,"")</f>
        <v>-4.19928825622776</v>
      </c>
      <c r="N67" s="12">
        <f>IF(AND(ISNUMBER(RU_Clean!N67),ISNUMBER(RU_Clean!N66)),(RU_Clean!N67-RU_Clean!N66)/RU_Clean!N66*100,"")</f>
        <v>-0.953895071542133</v>
      </c>
      <c r="O67" s="12">
        <f>IF(AND(ISNUMBER(RU_Clean!O67),ISNUMBER(RU_Clean!O66)),(RU_Clean!O67-RU_Clean!O66)/RU_Clean!O66*100,"")</f>
        <v>-0.85397096498719</v>
      </c>
      <c r="P67" s="12">
        <f>IF(AND(ISNUMBER(RU_Clean!P67),ISNUMBER(RU_Clean!P66)),(RU_Clean!P67-RU_Clean!P66)/RU_Clean!P66*100,"")</f>
        <v>0.364166059723234</v>
      </c>
      <c r="Q67" s="12">
        <f>IF(AND(ISNUMBER(RU_Clean!Q67),ISNUMBER(RU_Clean!Q66)),(RU_Clean!Q67-RU_Clean!Q66)/RU_Clean!Q66*100,"")</f>
        <v>0.388802488335925</v>
      </c>
      <c r="R67" s="12">
        <f>IF(AND(ISNUMBER(RU_Clean!R67),ISNUMBER(RU_Clean!R66)),(RU_Clean!R67-RU_Clean!R66)/RU_Clean!R66*100,"")</f>
        <v>0.534759358288778</v>
      </c>
      <c r="S67" s="12">
        <f>IF(AND(ISNUMBER(RU_Clean!S67),ISNUMBER(RU_Clean!S66)),(RU_Clean!S67-RU_Clean!S66)/RU_Clean!S66*100,"")</f>
        <v>-0.290697674418609</v>
      </c>
      <c r="T67" s="12">
        <f>IF(AND(ISNUMBER(RU_Clean!T67),ISNUMBER(RU_Clean!T66)),(RU_Clean!T67-RU_Clean!T66)/RU_Clean!T66*100,"")</f>
        <v>0.903808908973535</v>
      </c>
      <c r="U67" s="12">
        <f>IF(AND(ISNUMBER(RU_Clean!U67),ISNUMBER(RU_Clean!U66)),(RU_Clean!U67-RU_Clean!U66)/RU_Clean!U66*100,"")</f>
        <v>0.347705146036161</v>
      </c>
      <c r="V67" s="12">
        <f>IF(AND(ISNUMBER(RU_Clean!V67),ISNUMBER(RU_Clean!V66)),(RU_Clean!V67-RU_Clean!V66)/RU_Clean!V66*100,"")</f>
        <v>0.44247787610619</v>
      </c>
      <c r="W67" s="12">
        <f>IF(AND(ISNUMBER(RU_Clean!W67),ISNUMBER(RU_Clean!W66)),(RU_Clean!W67-RU_Clean!W66)/RU_Clean!W66*100,"")</f>
        <v>0.350631136044881</v>
      </c>
      <c r="X67" s="12">
        <f>IF(AND(ISNUMBER(RU_Clean!X67),ISNUMBER(RU_Clean!X66)),(RU_Clean!X67-RU_Clean!X66)/RU_Clean!X66*100,"")</f>
        <v>0.495399858457175</v>
      </c>
      <c r="Y67" s="12">
        <f>IF(AND(ISNUMBER(RU_Clean!Y67),ISNUMBER(RU_Clean!Y66)),(RU_Clean!Y67-RU_Clean!Y66)/RU_Clean!Y66*100,"")</f>
        <v>-0.146305779078265</v>
      </c>
      <c r="Z67" s="12">
        <f>IF(AND(ISNUMBER(RU_Clean!Z67),ISNUMBER(RU_Clean!Z66)),(RU_Clean!Z67-RU_Clean!Z66)/RU_Clean!Z66*100,"")</f>
        <v>0.295857988165685</v>
      </c>
      <c r="AA67" s="12">
        <f>IF(AND(ISNUMBER(RU_Clean!AA67),ISNUMBER(RU_Clean!AA66)),(RU_Clean!AA67-RU_Clean!AA66)/RU_Clean!AA66*100,"")</f>
        <v>0.373692077727952</v>
      </c>
      <c r="AB67" s="12">
        <f>IF(AND(ISNUMBER(RU_Clean!AB67),ISNUMBER(RU_Clean!AB66)),(RU_Clean!AB67-RU_Clean!AB66)/RU_Clean!AB66*100,"")</f>
        <v>0.665557404326121</v>
      </c>
      <c r="AC67" s="12">
        <f>IF(AND(ISNUMBER(RU_Clean!AC67),ISNUMBER(RU_Clean!AC66)),(RU_Clean!AC67-RU_Clean!AC66)/RU_Clean!AC66*100,"")</f>
        <v>0.384911470361817</v>
      </c>
      <c r="AD67" s="12">
        <f>IF(AND(ISNUMBER(RU_Clean!AD67),ISNUMBER(RU_Clean!AD66)),(RU_Clean!AD67-RU_Clean!AD66)/RU_Clean!AD66*100,"")</f>
        <v>0.575539568345332</v>
      </c>
      <c r="AE67" s="12">
        <f>IF(AND(ISNUMBER(RU_Clean!AE67),ISNUMBER(RU_Clean!AE66)),(RU_Clean!AE67-RU_Clean!AE66)/RU_Clean!AE66*100,"")</f>
        <v>0.391542678151907</v>
      </c>
      <c r="AF67" s="12">
        <f>IF(AND(ISNUMBER(RU_Clean!AF67),ISNUMBER(RU_Clean!AF66)),(RU_Clean!AF67-RU_Clean!AF66)/RU_Clean!AF66*100,"")</f>
        <v>0.540123456790137</v>
      </c>
      <c r="AG67" s="12">
        <f>IF(AND(ISNUMBER(RU_Clean!AG67),ISNUMBER(RU_Clean!AG66)),(RU_Clean!AG67-RU_Clean!AG66)/RU_Clean!AG66*100,"")</f>
        <v>0.0733137829911982</v>
      </c>
      <c r="AH67" s="12">
        <f>IF(AND(ISNUMBER(RU_Clean!AH67),ISNUMBER(RU_Clean!AH66)),(RU_Clean!AH67-RU_Clean!AH66)/RU_Clean!AH66*100,"")</f>
        <v>-0.246487552378591</v>
      </c>
    </row>
    <row r="68" spans="1:34">
      <c r="A68" s="6">
        <f>RU_Clean!A68</f>
        <v>2018</v>
      </c>
      <c r="B68" s="6">
        <f>RU_Clean!B68</f>
        <v>4</v>
      </c>
      <c r="C68" s="6" t="str">
        <f>RU_Clean!C68</f>
        <v>April</v>
      </c>
      <c r="D68" s="9">
        <f>RU_Clean!D68</f>
        <v>43191</v>
      </c>
      <c r="E68" s="6"/>
      <c r="F68" s="6"/>
      <c r="G68" s="12">
        <f>IF(AND(ISNUMBER(RU_Clean!G68),ISNUMBER(RU_Clean!G67)),(RU_Clean!G68-RU_Clean!G67)/RU_Clean!G67*100,"")</f>
        <v>0.146842878120424</v>
      </c>
      <c r="H68" s="12">
        <f>IF(AND(ISNUMBER(RU_Clean!H68),ISNUMBER(RU_Clean!H67)),(RU_Clean!H68-RU_Clean!H67)/RU_Clean!H67*100,"")</f>
        <v>0.55710306406686</v>
      </c>
      <c r="I68" s="12">
        <f>IF(AND(ISNUMBER(RU_Clean!I68),ISNUMBER(RU_Clean!I67)),(RU_Clean!I68-RU_Clean!I67)/RU_Clean!I67*100,"")</f>
        <v>-3.18148951554592</v>
      </c>
      <c r="J68" s="12">
        <f>IF(AND(ISNUMBER(RU_Clean!J68),ISNUMBER(RU_Clean!J67)),(RU_Clean!J68-RU_Clean!J67)/RU_Clean!J67*100,"")</f>
        <v>0.283286118980174</v>
      </c>
      <c r="K68" s="12">
        <f>IF(AND(ISNUMBER(RU_Clean!K68),ISNUMBER(RU_Clean!K67)),(RU_Clean!K68-RU_Clean!K67)/RU_Clean!K67*100,"")</f>
        <v>0.24855012427506</v>
      </c>
      <c r="L68" s="12">
        <f>IF(AND(ISNUMBER(RU_Clean!L68),ISNUMBER(RU_Clean!L67)),(RU_Clean!L68-RU_Clean!L67)/RU_Clean!L67*100,"")</f>
        <v>4.99316005471957</v>
      </c>
      <c r="M68" s="12">
        <f>IF(AND(ISNUMBER(RU_Clean!M68),ISNUMBER(RU_Clean!M67)),(RU_Clean!M68-RU_Clean!M67)/RU_Clean!M67*100,"")</f>
        <v>-1.48588410104012</v>
      </c>
      <c r="N68" s="12">
        <f>IF(AND(ISNUMBER(RU_Clean!N68),ISNUMBER(RU_Clean!N67)),(RU_Clean!N68-RU_Clean!N67)/RU_Clean!N67*100,"")</f>
        <v>-0.882825040128406</v>
      </c>
      <c r="O68" s="12">
        <f>IF(AND(ISNUMBER(RU_Clean!O68),ISNUMBER(RU_Clean!O67)),(RU_Clean!O68-RU_Clean!O67)/RU_Clean!O67*100,"")</f>
        <v>-2.06718346253229</v>
      </c>
      <c r="P68" s="12">
        <f>IF(AND(ISNUMBER(RU_Clean!P68),ISNUMBER(RU_Clean!P67)),(RU_Clean!P68-RU_Clean!P67)/RU_Clean!P67*100,"")</f>
        <v>0.290275761973859</v>
      </c>
      <c r="Q68" s="12">
        <f>IF(AND(ISNUMBER(RU_Clean!Q68),ISNUMBER(RU_Clean!Q67)),(RU_Clean!Q68-RU_Clean!Q67)/RU_Clean!Q67*100,"")</f>
        <v>0.387296669248644</v>
      </c>
      <c r="R68" s="12">
        <f>IF(AND(ISNUMBER(RU_Clean!R68),ISNUMBER(RU_Clean!R67)),(RU_Clean!R68-RU_Clean!R67)/RU_Clean!R67*100,"")</f>
        <v>0.53191489361701</v>
      </c>
      <c r="S68" s="12">
        <f>IF(AND(ISNUMBER(RU_Clean!S68),ISNUMBER(RU_Clean!S67)),(RU_Clean!S68-RU_Clean!S67)/RU_Clean!S67*100,"")</f>
        <v>0.218658892128288</v>
      </c>
      <c r="T68" s="12">
        <f>IF(AND(ISNUMBER(RU_Clean!T68),ISNUMBER(RU_Clean!T67)),(RU_Clean!T68-RU_Clean!T67)/RU_Clean!T67*100,"")</f>
        <v>0.383877159309017</v>
      </c>
      <c r="U68" s="12">
        <f>IF(AND(ISNUMBER(RU_Clean!U68),ISNUMBER(RU_Clean!U67)),(RU_Clean!U68-RU_Clean!U67)/RU_Clean!U67*100,"")</f>
        <v>0.693000693000693</v>
      </c>
      <c r="V68" s="12">
        <f>IF(AND(ISNUMBER(RU_Clean!V68),ISNUMBER(RU_Clean!V67)),(RU_Clean!V68-RU_Clean!V67)/RU_Clean!V67*100,"")</f>
        <v>0.367107195301028</v>
      </c>
      <c r="W68" s="12">
        <f>IF(AND(ISNUMBER(RU_Clean!W68),ISNUMBER(RU_Clean!W67)),(RU_Clean!W68-RU_Clean!W67)/RU_Clean!W67*100,"")</f>
        <v>0.628930817610067</v>
      </c>
      <c r="X68" s="12">
        <f>IF(AND(ISNUMBER(RU_Clean!X68),ISNUMBER(RU_Clean!X67)),(RU_Clean!X68-RU_Clean!X67)/RU_Clean!X67*100,"")</f>
        <v>0.633802816901412</v>
      </c>
      <c r="Y68" s="12">
        <f>IF(AND(ISNUMBER(RU_Clean!Y68),ISNUMBER(RU_Clean!Y67)),(RU_Clean!Y68-RU_Clean!Y67)/RU_Clean!Y67*100,"")</f>
        <v>0</v>
      </c>
      <c r="Z68" s="12">
        <f>IF(AND(ISNUMBER(RU_Clean!Z68),ISNUMBER(RU_Clean!Z67)),(RU_Clean!Z68-RU_Clean!Z67)/RU_Clean!Z67*100,"")</f>
        <v>0.737463126843658</v>
      </c>
      <c r="AA68" s="12">
        <f>IF(AND(ISNUMBER(RU_Clean!AA68),ISNUMBER(RU_Clean!AA67)),(RU_Clean!AA68-RU_Clean!AA67)/RU_Clean!AA67*100,"")</f>
        <v>0.670141474311227</v>
      </c>
      <c r="AB68" s="12">
        <f>IF(AND(ISNUMBER(RU_Clean!AB68),ISNUMBER(RU_Clean!AB67)),(RU_Clean!AB68-RU_Clean!AB67)/RU_Clean!AB67*100,"")</f>
        <v>0.743801652892567</v>
      </c>
      <c r="AC68" s="12">
        <f>IF(AND(ISNUMBER(RU_Clean!AC68),ISNUMBER(RU_Clean!AC67)),(RU_Clean!AC68-RU_Clean!AC67)/RU_Clean!AC67*100,"")</f>
        <v>0.690184049079759</v>
      </c>
      <c r="AD68" s="12">
        <f>IF(AND(ISNUMBER(RU_Clean!AD68),ISNUMBER(RU_Clean!AD67)),(RU_Clean!AD68-RU_Clean!AD67)/RU_Clean!AD67*100,"")</f>
        <v>1.14449213161659</v>
      </c>
      <c r="AE68" s="12">
        <f>IF(AND(ISNUMBER(RU_Clean!AE68),ISNUMBER(RU_Clean!AE67)),(RU_Clean!AE68-RU_Clean!AE67)/RU_Clean!AE67*100,"")</f>
        <v>0.78003120124805</v>
      </c>
      <c r="AF68" s="12">
        <f>IF(AND(ISNUMBER(RU_Clean!AF68),ISNUMBER(RU_Clean!AF67)),(RU_Clean!AF68-RU_Clean!AF67)/RU_Clean!AF67*100,"")</f>
        <v>0.767459708365311</v>
      </c>
      <c r="AG68" s="12">
        <f>IF(AND(ISNUMBER(RU_Clean!AG68),ISNUMBER(RU_Clean!AG67)),(RU_Clean!AG68-RU_Clean!AG67)/RU_Clean!AG67*100,"")</f>
        <v>0.439560439560435</v>
      </c>
      <c r="AH68" s="12">
        <f>IF(AND(ISNUMBER(RU_Clean!AH68),ISNUMBER(RU_Clean!AH67)),(RU_Clean!AH68-RU_Clean!AH67)/RU_Clean!AH67*100,"")</f>
        <v>0.0494193229552867</v>
      </c>
    </row>
    <row r="69" spans="1:34">
      <c r="A69" s="6">
        <f>RU_Clean!A69</f>
        <v>2018</v>
      </c>
      <c r="B69" s="6">
        <f>RU_Clean!B69</f>
        <v>5</v>
      </c>
      <c r="C69" s="6" t="str">
        <f>RU_Clean!C69</f>
        <v>May</v>
      </c>
      <c r="D69" s="9">
        <f>RU_Clean!D69</f>
        <v>43221</v>
      </c>
      <c r="E69" s="6"/>
      <c r="F69" s="6"/>
      <c r="G69" s="12">
        <f>IF(AND(ISNUMBER(RU_Clean!G69),ISNUMBER(RU_Clean!G68)),(RU_Clean!G69-RU_Clean!G68)/RU_Clean!G68*100,"")</f>
        <v>0.146627565982396</v>
      </c>
      <c r="H69" s="12">
        <f>IF(AND(ISNUMBER(RU_Clean!H69),ISNUMBER(RU_Clean!H68)),(RU_Clean!H69-RU_Clean!H68)/RU_Clean!H68*100,"")</f>
        <v>1.52354570637118</v>
      </c>
      <c r="I69" s="12">
        <f>IF(AND(ISNUMBER(RU_Clean!I69),ISNUMBER(RU_Clean!I68)),(RU_Clean!I69-RU_Clean!I68)/RU_Clean!I68*100,"")</f>
        <v>-0.224047796863339</v>
      </c>
      <c r="J69" s="12">
        <f>IF(AND(ISNUMBER(RU_Clean!J69),ISNUMBER(RU_Clean!J68)),(RU_Clean!J69-RU_Clean!J68)/RU_Clean!J68*100,"")</f>
        <v>0.353107344632768</v>
      </c>
      <c r="K69" s="12">
        <f>IF(AND(ISNUMBER(RU_Clean!K69),ISNUMBER(RU_Clean!K68)),(RU_Clean!K69-RU_Clean!K68)/RU_Clean!K68*100,"")</f>
        <v>0</v>
      </c>
      <c r="L69" s="12">
        <f>IF(AND(ISNUMBER(RU_Clean!L69),ISNUMBER(RU_Clean!L68)),(RU_Clean!L69-RU_Clean!L68)/RU_Clean!L68*100,"")</f>
        <v>0.716612377850159</v>
      </c>
      <c r="M69" s="12">
        <f>IF(AND(ISNUMBER(RU_Clean!M69),ISNUMBER(RU_Clean!M68)),(RU_Clean!M69-RU_Clean!M68)/RU_Clean!M68*100,"")</f>
        <v>2.26244343891403</v>
      </c>
      <c r="N69" s="12">
        <f>IF(AND(ISNUMBER(RU_Clean!N69),ISNUMBER(RU_Clean!N68)),(RU_Clean!N69-RU_Clean!N68)/RU_Clean!N68*100,"")</f>
        <v>-0.971659919028342</v>
      </c>
      <c r="O69" s="12">
        <f>IF(AND(ISNUMBER(RU_Clean!O69),ISNUMBER(RU_Clean!O68)),(RU_Clean!O69-RU_Clean!O68)/RU_Clean!O68*100,"")</f>
        <v>-3.60598065083554</v>
      </c>
      <c r="P69" s="12">
        <f>IF(AND(ISNUMBER(RU_Clean!P69),ISNUMBER(RU_Clean!P68)),(RU_Clean!P69-RU_Clean!P68)/RU_Clean!P68*100,"")</f>
        <v>-0.0723589001447137</v>
      </c>
      <c r="Q69" s="12">
        <f>IF(AND(ISNUMBER(RU_Clean!Q69),ISNUMBER(RU_Clean!Q68)),(RU_Clean!Q69-RU_Clean!Q68)/RU_Clean!Q68*100,"")</f>
        <v>0.23148148148149</v>
      </c>
      <c r="R69" s="12">
        <f>IF(AND(ISNUMBER(RU_Clean!R69),ISNUMBER(RU_Clean!R68)),(RU_Clean!R69-RU_Clean!R68)/RU_Clean!R68*100,"")</f>
        <v>0.330687830687831</v>
      </c>
      <c r="S69" s="12">
        <f>IF(AND(ISNUMBER(RU_Clean!S69),ISNUMBER(RU_Clean!S68)),(RU_Clean!S69-RU_Clean!S68)/RU_Clean!S68*100,"")</f>
        <v>0.436363636363632</v>
      </c>
      <c r="T69" s="12">
        <f>IF(AND(ISNUMBER(RU_Clean!T69),ISNUMBER(RU_Clean!T68)),(RU_Clean!T69-RU_Clean!T68)/RU_Clean!T68*100,"")</f>
        <v>0.637348629700446</v>
      </c>
      <c r="U69" s="12">
        <f>IF(AND(ISNUMBER(RU_Clean!U69),ISNUMBER(RU_Clean!U68)),(RU_Clean!U69-RU_Clean!U68)/RU_Clean!U68*100,"")</f>
        <v>0.48176187198898</v>
      </c>
      <c r="V69" s="12">
        <f>IF(AND(ISNUMBER(RU_Clean!V69),ISNUMBER(RU_Clean!V68)),(RU_Clean!V69-RU_Clean!V68)/RU_Clean!V68*100,"")</f>
        <v>0.51207022677397</v>
      </c>
      <c r="W69" s="12">
        <f>IF(AND(ISNUMBER(RU_Clean!W69),ISNUMBER(RU_Clean!W68)),(RU_Clean!W69-RU_Clean!W68)/RU_Clean!W68*100,"")</f>
        <v>0.486111111111103</v>
      </c>
      <c r="X69" s="12">
        <f>IF(AND(ISNUMBER(RU_Clean!X69),ISNUMBER(RU_Clean!X68)),(RU_Clean!X69-RU_Clean!X68)/RU_Clean!X68*100,"")</f>
        <v>0.20993701889432</v>
      </c>
      <c r="Y69" s="12">
        <f>IF(AND(ISNUMBER(RU_Clean!Y69),ISNUMBER(RU_Clean!Y68)),(RU_Clean!Y69-RU_Clean!Y68)/RU_Clean!Y68*100,"")</f>
        <v>0.293040293040297</v>
      </c>
      <c r="Z69" s="12">
        <f>IF(AND(ISNUMBER(RU_Clean!Z69),ISNUMBER(RU_Clean!Z68)),(RU_Clean!Z69-RU_Clean!Z68)/RU_Clean!Z68*100,"")</f>
        <v>0.585651537335294</v>
      </c>
      <c r="AA69" s="12">
        <f>IF(AND(ISNUMBER(RU_Clean!AA69),ISNUMBER(RU_Clean!AA68)),(RU_Clean!AA69-RU_Clean!AA68)/RU_Clean!AA68*100,"")</f>
        <v>0.591715976331369</v>
      </c>
      <c r="AB69" s="12">
        <f>IF(AND(ISNUMBER(RU_Clean!AB69),ISNUMBER(RU_Clean!AB68)),(RU_Clean!AB69-RU_Clean!AB68)/RU_Clean!AB68*100,"")</f>
        <v>0.820344544708778</v>
      </c>
      <c r="AC69" s="12">
        <f>IF(AND(ISNUMBER(RU_Clean!AC69),ISNUMBER(RU_Clean!AC68)),(RU_Clean!AC69-RU_Clean!AC68)/RU_Clean!AC68*100,"")</f>
        <v>0.380807311500381</v>
      </c>
      <c r="AD69" s="12">
        <f>IF(AND(ISNUMBER(RU_Clean!AD69),ISNUMBER(RU_Clean!AD68)),(RU_Clean!AD69-RU_Clean!AD68)/RU_Clean!AD68*100,"")</f>
        <v>0.495049504950487</v>
      </c>
      <c r="AE69" s="12">
        <f>IF(AND(ISNUMBER(RU_Clean!AE69),ISNUMBER(RU_Clean!AE68)),(RU_Clean!AE69-RU_Clean!AE68)/RU_Clean!AE68*100,"")</f>
        <v>0.541795665634688</v>
      </c>
      <c r="AF69" s="12">
        <f>IF(AND(ISNUMBER(RU_Clean!AF69),ISNUMBER(RU_Clean!AF68)),(RU_Clean!AF69-RU_Clean!AF68)/RU_Clean!AF68*100,"")</f>
        <v>0.609291698400596</v>
      </c>
      <c r="AG69" s="12">
        <f>IF(AND(ISNUMBER(RU_Clean!AG69),ISNUMBER(RU_Clean!AG68)),(RU_Clean!AG69-RU_Clean!AG68)/RU_Clean!AG68*100,"")</f>
        <v>0.510576221735972</v>
      </c>
      <c r="AH69" s="12">
        <f>IF(AND(ISNUMBER(RU_Clean!AH69),ISNUMBER(RU_Clean!AH68)),(RU_Clean!AH69-RU_Clean!AH68)/RU_Clean!AH68*100,"")</f>
        <v>0.129661644850575</v>
      </c>
    </row>
    <row r="70" spans="1:34">
      <c r="A70" s="6">
        <f>RU_Clean!A70</f>
        <v>2018</v>
      </c>
      <c r="B70" s="6">
        <f>RU_Clean!B70</f>
        <v>6</v>
      </c>
      <c r="C70" s="6" t="str">
        <f>RU_Clean!C70</f>
        <v>June</v>
      </c>
      <c r="D70" s="9">
        <f>RU_Clean!D70</f>
        <v>43252</v>
      </c>
      <c r="E70" s="6"/>
      <c r="F70" s="6"/>
      <c r="G70" s="12">
        <f>IF(AND(ISNUMBER(RU_Clean!G70),ISNUMBER(RU_Clean!G69)),(RU_Clean!G70-RU_Clean!G69)/RU_Clean!G69*100,"")</f>
        <v>0.21961932650074</v>
      </c>
      <c r="H70" s="12">
        <f>IF(AND(ISNUMBER(RU_Clean!H70),ISNUMBER(RU_Clean!H69)),(RU_Clean!H70-RU_Clean!H69)/RU_Clean!H69*100,"")</f>
        <v>1.43246930422919</v>
      </c>
      <c r="I70" s="12">
        <f>IF(AND(ISNUMBER(RU_Clean!I70),ISNUMBER(RU_Clean!I69)),(RU_Clean!I70-RU_Clean!I69)/RU_Clean!I69*100,"")</f>
        <v>1.49700598802395</v>
      </c>
      <c r="J70" s="12">
        <f>IF(AND(ISNUMBER(RU_Clean!J70),ISNUMBER(RU_Clean!J69)),(RU_Clean!J70-RU_Clean!J69)/RU_Clean!J69*100,"")</f>
        <v>0.140745953553847</v>
      </c>
      <c r="K70" s="12">
        <f>IF(AND(ISNUMBER(RU_Clean!K70),ISNUMBER(RU_Clean!K69)),(RU_Clean!K70-RU_Clean!K69)/RU_Clean!K69*100,"")</f>
        <v>0.247933884297518</v>
      </c>
      <c r="L70" s="12">
        <f>IF(AND(ISNUMBER(RU_Clean!L70),ISNUMBER(RU_Clean!L69)),(RU_Clean!L70-RU_Clean!L69)/RU_Clean!L69*100,"")</f>
        <v>-0.905562742561453</v>
      </c>
      <c r="M70" s="12">
        <f>IF(AND(ISNUMBER(RU_Clean!M70),ISNUMBER(RU_Clean!M69)),(RU_Clean!M70-RU_Clean!M69)/RU_Clean!M69*100,"")</f>
        <v>5.97345132743362</v>
      </c>
      <c r="N70" s="12">
        <f>IF(AND(ISNUMBER(RU_Clean!N70),ISNUMBER(RU_Clean!N69)),(RU_Clean!N70-RU_Clean!N69)/RU_Clean!N69*100,"")</f>
        <v>-0.735895339329511</v>
      </c>
      <c r="O70" s="12">
        <f>IF(AND(ISNUMBER(RU_Clean!O70),ISNUMBER(RU_Clean!O69)),(RU_Clean!O70-RU_Clean!O69)/RU_Clean!O69*100,"")</f>
        <v>1.36861313868613</v>
      </c>
      <c r="P70" s="12">
        <f>IF(AND(ISNUMBER(RU_Clean!P70),ISNUMBER(RU_Clean!P69)),(RU_Clean!P70-RU_Clean!P69)/RU_Clean!P69*100,"")</f>
        <v>0.217233888486612</v>
      </c>
      <c r="Q70" s="12">
        <f>IF(AND(ISNUMBER(RU_Clean!Q70),ISNUMBER(RU_Clean!Q69)),(RU_Clean!Q70-RU_Clean!Q69)/RU_Clean!Q69*100,"")</f>
        <v>0.307929176289458</v>
      </c>
      <c r="R70" s="12">
        <f>IF(AND(ISNUMBER(RU_Clean!R70),ISNUMBER(RU_Clean!R69)),(RU_Clean!R70-RU_Clean!R69)/RU_Clean!R69*100,"")</f>
        <v>0.065919578114715</v>
      </c>
      <c r="S70" s="12">
        <f>IF(AND(ISNUMBER(RU_Clean!S70),ISNUMBER(RU_Clean!S69)),(RU_Clean!S70-RU_Clean!S69)/RU_Clean!S69*100,"")</f>
        <v>0.941346850108625</v>
      </c>
      <c r="T70" s="12">
        <f>IF(AND(ISNUMBER(RU_Clean!T70),ISNUMBER(RU_Clean!T69)),(RU_Clean!T70-RU_Clean!T69)/RU_Clean!T69*100,"")</f>
        <v>0.253324889170365</v>
      </c>
      <c r="U70" s="12">
        <f>IF(AND(ISNUMBER(RU_Clean!U70),ISNUMBER(RU_Clean!U69)),(RU_Clean!U70-RU_Clean!U69)/RU_Clean!U69*100,"")</f>
        <v>0.27397260273973</v>
      </c>
      <c r="V70" s="12">
        <f>IF(AND(ISNUMBER(RU_Clean!V70),ISNUMBER(RU_Clean!V69)),(RU_Clean!V70-RU_Clean!V69)/RU_Clean!V69*100,"")</f>
        <v>0.509461426491986</v>
      </c>
      <c r="W70" s="12">
        <f>IF(AND(ISNUMBER(RU_Clean!W70),ISNUMBER(RU_Clean!W69)),(RU_Clean!W70-RU_Clean!W69)/RU_Clean!W69*100,"")</f>
        <v>0.345542501727713</v>
      </c>
      <c r="X70" s="12">
        <f>IF(AND(ISNUMBER(RU_Clean!X70),ISNUMBER(RU_Clean!X69)),(RU_Clean!X70-RU_Clean!X69)/RU_Clean!X69*100,"")</f>
        <v>-0.48882681564245</v>
      </c>
      <c r="Y70" s="12">
        <f>IF(AND(ISNUMBER(RU_Clean!Y70),ISNUMBER(RU_Clean!Y69)),(RU_Clean!Y70-RU_Clean!Y69)/RU_Clean!Y69*100,"")</f>
        <v>0.876552227903571</v>
      </c>
      <c r="Z70" s="12">
        <f>IF(AND(ISNUMBER(RU_Clean!Z70),ISNUMBER(RU_Clean!Z69)),(RU_Clean!Z70-RU_Clean!Z69)/RU_Clean!Z69*100,"")</f>
        <v>0.363901018922853</v>
      </c>
      <c r="AA70" s="12">
        <f>IF(AND(ISNUMBER(RU_Clean!AA70),ISNUMBER(RU_Clean!AA69)),(RU_Clean!AA70-RU_Clean!AA69)/RU_Clean!AA69*100,"")</f>
        <v>0.147058823529403</v>
      </c>
      <c r="AB70" s="12">
        <f>IF(AND(ISNUMBER(RU_Clean!AB70),ISNUMBER(RU_Clean!AB69)),(RU_Clean!AB70-RU_Clean!AB69)/RU_Clean!AB69*100,"")</f>
        <v>0.650935720097638</v>
      </c>
      <c r="AC70" s="12">
        <f>IF(AND(ISNUMBER(RU_Clean!AC70),ISNUMBER(RU_Clean!AC69)),(RU_Clean!AC70-RU_Clean!AC69)/RU_Clean!AC69*100,"")</f>
        <v>0.60698027314111</v>
      </c>
      <c r="AD70" s="12">
        <f>IF(AND(ISNUMBER(RU_Clean!AD70),ISNUMBER(RU_Clean!AD69)),(RU_Clean!AD70-RU_Clean!AD69)/RU_Clean!AD69*100,"")</f>
        <v>0.492610837438436</v>
      </c>
      <c r="AE70" s="12">
        <f>IF(AND(ISNUMBER(RU_Clean!AE70),ISNUMBER(RU_Clean!AE69)),(RU_Clean!AE70-RU_Clean!AE69)/RU_Clean!AE69*100,"")</f>
        <v>0.153964588144718</v>
      </c>
      <c r="AF70" s="12">
        <f>IF(AND(ISNUMBER(RU_Clean!AF70),ISNUMBER(RU_Clean!AF69)),(RU_Clean!AF70-RU_Clean!AF69)/RU_Clean!AF69*100,"")</f>
        <v>0.378501135503407</v>
      </c>
      <c r="AG70" s="12">
        <f>IF(AND(ISNUMBER(RU_Clean!AG70),ISNUMBER(RU_Clean!AG69)),(RU_Clean!AG70-RU_Clean!AG69)/RU_Clean!AG69*100,"")</f>
        <v>0.507982583454273</v>
      </c>
      <c r="AH70" s="12">
        <f>IF(AND(ISNUMBER(RU_Clean!AH70),ISNUMBER(RU_Clean!AH69)),(RU_Clean!AH70-RU_Clean!AH69)/RU_Clean!AH69*100,"")</f>
        <v>0.801627921317136</v>
      </c>
    </row>
    <row r="71" spans="1:34">
      <c r="A71" s="6">
        <f>RU_Clean!A71</f>
        <v>2018</v>
      </c>
      <c r="B71" s="6">
        <f>RU_Clean!B71</f>
        <v>7</v>
      </c>
      <c r="C71" s="6" t="str">
        <f>RU_Clean!C71</f>
        <v>July</v>
      </c>
      <c r="D71" s="9">
        <f>RU_Clean!D71</f>
        <v>43282</v>
      </c>
      <c r="E71" s="6"/>
      <c r="F71" s="6"/>
      <c r="G71" s="12">
        <f>IF(AND(ISNUMBER(RU_Clean!G71),ISNUMBER(RU_Clean!G70)),(RU_Clean!G71-RU_Clean!G70)/RU_Clean!G70*100,"")</f>
        <v>0.438276113951785</v>
      </c>
      <c r="H71" s="12">
        <f>IF(AND(ISNUMBER(RU_Clean!H71),ISNUMBER(RU_Clean!H70)),(RU_Clean!H71-RU_Clean!H70)/RU_Clean!H70*100,"")</f>
        <v>0.268997982515135</v>
      </c>
      <c r="I71" s="12">
        <f>IF(AND(ISNUMBER(RU_Clean!I71),ISNUMBER(RU_Clean!I70)),(RU_Clean!I71-RU_Clean!I70)/RU_Clean!I70*100,"")</f>
        <v>2.65486725663716</v>
      </c>
      <c r="J71" s="12">
        <f>IF(AND(ISNUMBER(RU_Clean!J71),ISNUMBER(RU_Clean!J70)),(RU_Clean!J71-RU_Clean!J70)/RU_Clean!J70*100,"")</f>
        <v>0.140548137737167</v>
      </c>
      <c r="K71" s="12">
        <f>IF(AND(ISNUMBER(RU_Clean!K71),ISNUMBER(RU_Clean!K70)),(RU_Clean!K71-RU_Clean!K70)/RU_Clean!K70*100,"")</f>
        <v>0.0824402308326534</v>
      </c>
      <c r="L71" s="12">
        <f>IF(AND(ISNUMBER(RU_Clean!L71),ISNUMBER(RU_Clean!L70)),(RU_Clean!L71-RU_Clean!L70)/RU_Clean!L70*100,"")</f>
        <v>-1.0443864229765</v>
      </c>
      <c r="M71" s="12">
        <f>IF(AND(ISNUMBER(RU_Clean!M71),ISNUMBER(RU_Clean!M70)),(RU_Clean!M71-RU_Clean!M70)/RU_Clean!M70*100,"")</f>
        <v>8.48990953375088</v>
      </c>
      <c r="N71" s="12">
        <f>IF(AND(ISNUMBER(RU_Clean!N71),ISNUMBER(RU_Clean!N70)),(RU_Clean!N71-RU_Clean!N70)/RU_Clean!N70*100,"")</f>
        <v>0.247116968698515</v>
      </c>
      <c r="O71" s="12">
        <f>IF(AND(ISNUMBER(RU_Clean!O71),ISNUMBER(RU_Clean!O70)),(RU_Clean!O71-RU_Clean!O70)/RU_Clean!O70*100,"")</f>
        <v>2.16021602160217</v>
      </c>
      <c r="P71" s="12">
        <f>IF(AND(ISNUMBER(RU_Clean!P71),ISNUMBER(RU_Clean!P70)),(RU_Clean!P71-RU_Clean!P70)/RU_Clean!P70*100,"")</f>
        <v>0.361271676300578</v>
      </c>
      <c r="Q71" s="12">
        <f>IF(AND(ISNUMBER(RU_Clean!Q71),ISNUMBER(RU_Clean!Q70)),(RU_Clean!Q71-RU_Clean!Q70)/RU_Clean!Q70*100,"")</f>
        <v>0</v>
      </c>
      <c r="R71" s="12">
        <f>IF(AND(ISNUMBER(RU_Clean!R71),ISNUMBER(RU_Clean!R70)),(RU_Clean!R71-RU_Clean!R70)/RU_Clean!R70*100,"")</f>
        <v>0.329380764163373</v>
      </c>
      <c r="S71" s="12">
        <f>IF(AND(ISNUMBER(RU_Clean!S71),ISNUMBER(RU_Clean!S70)),(RU_Clean!S71-RU_Clean!S70)/RU_Clean!S70*100,"")</f>
        <v>1.43472022955524</v>
      </c>
      <c r="T71" s="12">
        <f>IF(AND(ISNUMBER(RU_Clean!T71),ISNUMBER(RU_Clean!T70)),(RU_Clean!T71-RU_Clean!T70)/RU_Clean!T70*100,"")</f>
        <v>-0.50536955148453</v>
      </c>
      <c r="U71" s="12">
        <f>IF(AND(ISNUMBER(RU_Clean!U71),ISNUMBER(RU_Clean!U70)),(RU_Clean!U71-RU_Clean!U70)/RU_Clean!U70*100,"")</f>
        <v>0.273224043715851</v>
      </c>
      <c r="V71" s="12">
        <f>IF(AND(ISNUMBER(RU_Clean!V71),ISNUMBER(RU_Clean!V70)),(RU_Clean!V71-RU_Clean!V70)/RU_Clean!V70*100,"")</f>
        <v>0.217233888486612</v>
      </c>
      <c r="W71" s="12">
        <f>IF(AND(ISNUMBER(RU_Clean!W71),ISNUMBER(RU_Clean!W70)),(RU_Clean!W71-RU_Clean!W70)/RU_Clean!W70*100,"")</f>
        <v>0.275482093663916</v>
      </c>
      <c r="X71" s="12">
        <f>IF(AND(ISNUMBER(RU_Clean!X71),ISNUMBER(RU_Clean!X70)),(RU_Clean!X71-RU_Clean!X70)/RU_Clean!X70*100,"")</f>
        <v>0.7719298245614</v>
      </c>
      <c r="Y71" s="12">
        <f>IF(AND(ISNUMBER(RU_Clean!Y71),ISNUMBER(RU_Clean!Y70)),(RU_Clean!Y71-RU_Clean!Y70)/RU_Clean!Y70*100,"")</f>
        <v>1.15858073859522</v>
      </c>
      <c r="Z71" s="12">
        <f>IF(AND(ISNUMBER(RU_Clean!Z71),ISNUMBER(RU_Clean!Z70)),(RU_Clean!Z71-RU_Clean!Z70)/RU_Clean!Z70*100,"")</f>
        <v>0.507614213197961</v>
      </c>
      <c r="AA71" s="12">
        <f>IF(AND(ISNUMBER(RU_Clean!AA71),ISNUMBER(RU_Clean!AA70)),(RU_Clean!AA71-RU_Clean!AA70)/RU_Clean!AA70*100,"")</f>
        <v>0.587371512481653</v>
      </c>
      <c r="AB71" s="12">
        <f>IF(AND(ISNUMBER(RU_Clean!AB71),ISNUMBER(RU_Clean!AB70)),(RU_Clean!AB71-RU_Clean!AB70)/RU_Clean!AB70*100,"")</f>
        <v>-0.0808407437348493</v>
      </c>
      <c r="AC71" s="12">
        <f>IF(AND(ISNUMBER(RU_Clean!AC71),ISNUMBER(RU_Clean!AC70)),(RU_Clean!AC71-RU_Clean!AC70)/RU_Clean!AC70*100,"")</f>
        <v>0.377073906485671</v>
      </c>
      <c r="AD71" s="12">
        <f>IF(AND(ISNUMBER(RU_Clean!AD71),ISNUMBER(RU_Clean!AD70)),(RU_Clean!AD71-RU_Clean!AD70)/RU_Clean!AD70*100,"")</f>
        <v>1.33053221288514</v>
      </c>
      <c r="AE71" s="12">
        <f>IF(AND(ISNUMBER(RU_Clean!AE71),ISNUMBER(RU_Clean!AE70)),(RU_Clean!AE71-RU_Clean!AE70)/RU_Clean!AE70*100,"")</f>
        <v>0</v>
      </c>
      <c r="AF71" s="12">
        <f>IF(AND(ISNUMBER(RU_Clean!AF71),ISNUMBER(RU_Clean!AF70)),(RU_Clean!AF71-RU_Clean!AF70)/RU_Clean!AF70*100,"")</f>
        <v>0.452488687782801</v>
      </c>
      <c r="AG71" s="12">
        <f>IF(AND(ISNUMBER(RU_Clean!AG71),ISNUMBER(RU_Clean!AG70)),(RU_Clean!AG71-RU_Clean!AG70)/RU_Clean!AG70*100,"")</f>
        <v>0.938628158844773</v>
      </c>
      <c r="AH71" s="12">
        <f>IF(AND(ISNUMBER(RU_Clean!AH71),ISNUMBER(RU_Clean!AH70)),(RU_Clean!AH71-RU_Clean!AH70)/RU_Clean!AH70*100,"")</f>
        <v>1.17452743622682</v>
      </c>
    </row>
    <row r="72" spans="1:34">
      <c r="A72" s="6">
        <f>RU_Clean!A72</f>
        <v>2018</v>
      </c>
      <c r="B72" s="6">
        <f>RU_Clean!B72</f>
        <v>8</v>
      </c>
      <c r="C72" s="6" t="str">
        <f>RU_Clean!C72</f>
        <v>August</v>
      </c>
      <c r="D72" s="9">
        <f>RU_Clean!D72</f>
        <v>43313</v>
      </c>
      <c r="E72" s="6"/>
      <c r="F72" s="6"/>
      <c r="G72" s="12">
        <f>IF(AND(ISNUMBER(RU_Clean!G72),ISNUMBER(RU_Clean!G71)),(RU_Clean!G72-RU_Clean!G71)/RU_Clean!G71*100,"")</f>
        <v>0.58181818181819</v>
      </c>
      <c r="H72" s="12">
        <f>IF(AND(ISNUMBER(RU_Clean!H72),ISNUMBER(RU_Clean!H71)),(RU_Clean!H72-RU_Clean!H71)/RU_Clean!H71*100,"")</f>
        <v>-0.737759892689466</v>
      </c>
      <c r="I72" s="12">
        <f>IF(AND(ISNUMBER(RU_Clean!I72),ISNUMBER(RU_Clean!I71)),(RU_Clean!I72-RU_Clean!I71)/RU_Clean!I71*100,"")</f>
        <v>-0.790229885057467</v>
      </c>
      <c r="J72" s="12">
        <f>IF(AND(ISNUMBER(RU_Clean!J72),ISNUMBER(RU_Clean!J71)),(RU_Clean!J72-RU_Clean!J71)/RU_Clean!J71*100,"")</f>
        <v>0.0701754385964872</v>
      </c>
      <c r="K72" s="12">
        <f>IF(AND(ISNUMBER(RU_Clean!K72),ISNUMBER(RU_Clean!K71)),(RU_Clean!K72-RU_Clean!K71)/RU_Clean!K71*100,"")</f>
        <v>0.658978583196044</v>
      </c>
      <c r="L72" s="12">
        <f>IF(AND(ISNUMBER(RU_Clean!L72),ISNUMBER(RU_Clean!L71)),(RU_Clean!L72-RU_Clean!L71)/RU_Clean!L71*100,"")</f>
        <v>-0.659630606860158</v>
      </c>
      <c r="M72" s="12">
        <f>IF(AND(ISNUMBER(RU_Clean!M72),ISNUMBER(RU_Clean!M71)),(RU_Clean!M72-RU_Clean!M71)/RU_Clean!M71*100,"")</f>
        <v>0.449005772931359</v>
      </c>
      <c r="N72" s="12">
        <f>IF(AND(ISNUMBER(RU_Clean!N72),ISNUMBER(RU_Clean!N71)),(RU_Clean!N72-RU_Clean!N71)/RU_Clean!N71*100,"")</f>
        <v>0.575184880854563</v>
      </c>
      <c r="O72" s="12">
        <f>IF(AND(ISNUMBER(RU_Clean!O72),ISNUMBER(RU_Clean!O71)),(RU_Clean!O72-RU_Clean!O71)/RU_Clean!O71*100,"")</f>
        <v>1.05726872246696</v>
      </c>
      <c r="P72" s="12">
        <f>IF(AND(ISNUMBER(RU_Clean!P72),ISNUMBER(RU_Clean!P71)),(RU_Clean!P72-RU_Clean!P71)/RU_Clean!P71*100,"")</f>
        <v>0.359971202303816</v>
      </c>
      <c r="Q72" s="12">
        <f>IF(AND(ISNUMBER(RU_Clean!Q72),ISNUMBER(RU_Clean!Q71)),(RU_Clean!Q72-RU_Clean!Q71)/RU_Clean!Q71*100,"")</f>
        <v>0.613967766692236</v>
      </c>
      <c r="R72" s="12">
        <f>IF(AND(ISNUMBER(RU_Clean!R72),ISNUMBER(RU_Clean!R71)),(RU_Clean!R72-RU_Clean!R71)/RU_Clean!R71*100,"")</f>
        <v>0.459619172685482</v>
      </c>
      <c r="S72" s="12">
        <f>IF(AND(ISNUMBER(RU_Clean!S72),ISNUMBER(RU_Clean!S71)),(RU_Clean!S72-RU_Clean!S71)/RU_Clean!S71*100,"")</f>
        <v>0.2121640735502</v>
      </c>
      <c r="T72" s="12">
        <f>IF(AND(ISNUMBER(RU_Clean!T72),ISNUMBER(RU_Clean!T71)),(RU_Clean!T72-RU_Clean!T71)/RU_Clean!T71*100,"")</f>
        <v>0.253968253968258</v>
      </c>
      <c r="U72" s="12">
        <f>IF(AND(ISNUMBER(RU_Clean!U72),ISNUMBER(RU_Clean!U71)),(RU_Clean!U72-RU_Clean!U71)/RU_Clean!U71*100,"")</f>
        <v>0.340599455040872</v>
      </c>
      <c r="V72" s="12">
        <f>IF(AND(ISNUMBER(RU_Clean!V72),ISNUMBER(RU_Clean!V71)),(RU_Clean!V72-RU_Clean!V71)/RU_Clean!V71*100,"")</f>
        <v>0.289017341040467</v>
      </c>
      <c r="W72" s="12">
        <f>IF(AND(ISNUMBER(RU_Clean!W72),ISNUMBER(RU_Clean!W71)),(RU_Clean!W72-RU_Clean!W71)/RU_Clean!W71*100,"")</f>
        <v>0.343406593406593</v>
      </c>
      <c r="X72" s="12">
        <f>IF(AND(ISNUMBER(RU_Clean!X72),ISNUMBER(RU_Clean!X71)),(RU_Clean!X72-RU_Clean!X71)/RU_Clean!X71*100,"")</f>
        <v>0.696378830083565</v>
      </c>
      <c r="Y72" s="12">
        <f>IF(AND(ISNUMBER(RU_Clean!Y72),ISNUMBER(RU_Clean!Y71)),(RU_Clean!Y72-RU_Clean!Y71)/RU_Clean!Y71*100,"")</f>
        <v>0.858983536148903</v>
      </c>
      <c r="Z72" s="12">
        <f>IF(AND(ISNUMBER(RU_Clean!Z72),ISNUMBER(RU_Clean!Z71)),(RU_Clean!Z72-RU_Clean!Z71)/RU_Clean!Z71*100,"")</f>
        <v>0.577200577200585</v>
      </c>
      <c r="AA72" s="12">
        <f>IF(AND(ISNUMBER(RU_Clean!AA72),ISNUMBER(RU_Clean!AA71)),(RU_Clean!AA72-RU_Clean!AA71)/RU_Clean!AA71*100,"")</f>
        <v>0.510948905109481</v>
      </c>
      <c r="AB72" s="12">
        <f>IF(AND(ISNUMBER(RU_Clean!AB72),ISNUMBER(RU_Clean!AB71)),(RU_Clean!AB72-RU_Clean!AB71)/RU_Clean!AB71*100,"")</f>
        <v>0.5663430420712</v>
      </c>
      <c r="AC72" s="12">
        <f>IF(AND(ISNUMBER(RU_Clean!AC72),ISNUMBER(RU_Clean!AC71)),(RU_Clean!AC72-RU_Clean!AC71)/RU_Clean!AC71*100,"")</f>
        <v>0.375657400450789</v>
      </c>
      <c r="AD72" s="12">
        <f>IF(AND(ISNUMBER(RU_Clean!AD72),ISNUMBER(RU_Clean!AD71)),(RU_Clean!AD72-RU_Clean!AD71)/RU_Clean!AD71*100,"")</f>
        <v>0.898410504492061</v>
      </c>
      <c r="AE72" s="12">
        <f>IF(AND(ISNUMBER(RU_Clean!AE72),ISNUMBER(RU_Clean!AE71)),(RU_Clean!AE72-RU_Clean!AE71)/RU_Clean!AE71*100,"")</f>
        <v>0</v>
      </c>
      <c r="AF72" s="12">
        <f>IF(AND(ISNUMBER(RU_Clean!AF72),ISNUMBER(RU_Clean!AF71)),(RU_Clean!AF72-RU_Clean!AF71)/RU_Clean!AF71*100,"")</f>
        <v>0.525525525525538</v>
      </c>
      <c r="AG72" s="12">
        <f>IF(AND(ISNUMBER(RU_Clean!AG72),ISNUMBER(RU_Clean!AG71)),(RU_Clean!AG72-RU_Clean!AG71)/RU_Clean!AG71*100,"")</f>
        <v>0.429184549356219</v>
      </c>
      <c r="AH72" s="12">
        <f>IF(AND(ISNUMBER(RU_Clean!AH72),ISNUMBER(RU_Clean!AH71)),(RU_Clean!AH72-RU_Clean!AH71)/RU_Clean!AH71*100,"")</f>
        <v>0.187435757905579</v>
      </c>
    </row>
    <row r="73" spans="1:34">
      <c r="A73" s="6">
        <f>RU_Clean!A73</f>
        <v>2018</v>
      </c>
      <c r="B73" s="6">
        <f>RU_Clean!B73</f>
        <v>9</v>
      </c>
      <c r="C73" s="6" t="str">
        <f>RU_Clean!C73</f>
        <v>September</v>
      </c>
      <c r="D73" s="9">
        <f>RU_Clean!D73</f>
        <v>43344</v>
      </c>
      <c r="E73" s="6"/>
      <c r="F73" s="6"/>
      <c r="G73" s="12">
        <f>IF(AND(ISNUMBER(RU_Clean!G73),ISNUMBER(RU_Clean!G72)),(RU_Clean!G73-RU_Clean!G72)/RU_Clean!G72*100,"")</f>
        <v>0.2169197396963</v>
      </c>
      <c r="H73" s="12">
        <f>IF(AND(ISNUMBER(RU_Clean!H73),ISNUMBER(RU_Clean!H72)),(RU_Clean!H73-RU_Clean!H72)/RU_Clean!H72*100,"")</f>
        <v>-1.48648648648648</v>
      </c>
      <c r="I73" s="12">
        <f>IF(AND(ISNUMBER(RU_Clean!I73),ISNUMBER(RU_Clean!I72)),(RU_Clean!I73-RU_Clean!I72)/RU_Clean!I72*100,"")</f>
        <v>-2.17233888486604</v>
      </c>
      <c r="J73" s="12">
        <f>IF(AND(ISNUMBER(RU_Clean!J73),ISNUMBER(RU_Clean!J72)),(RU_Clean!J73-RU_Clean!J72)/RU_Clean!J72*100,"")</f>
        <v>0.210378681626936</v>
      </c>
      <c r="K73" s="12">
        <f>IF(AND(ISNUMBER(RU_Clean!K73),ISNUMBER(RU_Clean!K72)),(RU_Clean!K73-RU_Clean!K72)/RU_Clean!K72*100,"")</f>
        <v>-0.0818330605564718</v>
      </c>
      <c r="L73" s="12">
        <f>IF(AND(ISNUMBER(RU_Clean!L73),ISNUMBER(RU_Clean!L72)),(RU_Clean!L73-RU_Clean!L72)/RU_Clean!L72*100,"")</f>
        <v>-3.45285524568392</v>
      </c>
      <c r="M73" s="12">
        <f>IF(AND(ISNUMBER(RU_Clean!M73),ISNUMBER(RU_Clean!M72)),(RU_Clean!M73-RU_Clean!M72)/RU_Clean!M72*100,"")</f>
        <v>-4.21455938697318</v>
      </c>
      <c r="N73" s="12">
        <f>IF(AND(ISNUMBER(RU_Clean!N73),ISNUMBER(RU_Clean!N72)),(RU_Clean!N73-RU_Clean!N72)/RU_Clean!N72*100,"")</f>
        <v>-0.816993464052288</v>
      </c>
      <c r="O73" s="12">
        <f>IF(AND(ISNUMBER(RU_Clean!O73),ISNUMBER(RU_Clean!O72)),(RU_Clean!O73-RU_Clean!O72)/RU_Clean!O72*100,"")</f>
        <v>-0.871839581517001</v>
      </c>
      <c r="P73" s="12">
        <f>IF(AND(ISNUMBER(RU_Clean!P73),ISNUMBER(RU_Clean!P72)),(RU_Clean!P73-RU_Clean!P72)/RU_Clean!P72*100,"")</f>
        <v>0.0717360114777578</v>
      </c>
      <c r="Q73" s="12">
        <f>IF(AND(ISNUMBER(RU_Clean!Q73),ISNUMBER(RU_Clean!Q72)),(RU_Clean!Q73-RU_Clean!Q72)/RU_Clean!Q72*100,"")</f>
        <v>-0.228832951945067</v>
      </c>
      <c r="R73" s="12">
        <f>IF(AND(ISNUMBER(RU_Clean!R73),ISNUMBER(RU_Clean!R72)),(RU_Clean!R73-RU_Clean!R72)/RU_Clean!R72*100,"")</f>
        <v>0.522875816993472</v>
      </c>
      <c r="S73" s="12">
        <f>IF(AND(ISNUMBER(RU_Clean!S73),ISNUMBER(RU_Clean!S72)),(RU_Clean!S73-RU_Clean!S72)/RU_Clean!S72*100,"")</f>
        <v>-0.917431192660539</v>
      </c>
      <c r="T73" s="12">
        <f>IF(AND(ISNUMBER(RU_Clean!T73),ISNUMBER(RU_Clean!T72)),(RU_Clean!T73-RU_Clean!T72)/RU_Clean!T72*100,"")</f>
        <v>0.823305889803662</v>
      </c>
      <c r="U73" s="12">
        <f>IF(AND(ISNUMBER(RU_Clean!U73),ISNUMBER(RU_Clean!U72)),(RU_Clean!U73-RU_Clean!U72)/RU_Clean!U72*100,"")</f>
        <v>0.271554650373372</v>
      </c>
      <c r="V73" s="12">
        <f>IF(AND(ISNUMBER(RU_Clean!V73),ISNUMBER(RU_Clean!V72)),(RU_Clean!V73-RU_Clean!V72)/RU_Clean!V72*100,"")</f>
        <v>0.216138328530247</v>
      </c>
      <c r="W73" s="12">
        <f>IF(AND(ISNUMBER(RU_Clean!W73),ISNUMBER(RU_Clean!W72)),(RU_Clean!W73-RU_Clean!W72)/RU_Clean!W72*100,"")</f>
        <v>0.273785078713214</v>
      </c>
      <c r="X73" s="12">
        <f>IF(AND(ISNUMBER(RU_Clean!X73),ISNUMBER(RU_Clean!X72)),(RU_Clean!X73-RU_Clean!X72)/RU_Clean!X72*100,"")</f>
        <v>0.484094052558795</v>
      </c>
      <c r="Y73" s="12">
        <f>IF(AND(ISNUMBER(RU_Clean!Y73),ISNUMBER(RU_Clean!Y72)),(RU_Clean!Y73-RU_Clean!Y72)/RU_Clean!Y72*100,"")</f>
        <v>0.993612491128464</v>
      </c>
      <c r="Z73" s="12">
        <f>IF(AND(ISNUMBER(RU_Clean!Z73),ISNUMBER(RU_Clean!Z72)),(RU_Clean!Z73-RU_Clean!Z72)/RU_Clean!Z72*100,"")</f>
        <v>0.215208034433273</v>
      </c>
      <c r="AA73" s="12">
        <f>IF(AND(ISNUMBER(RU_Clean!AA73),ISNUMBER(RU_Clean!AA72)),(RU_Clean!AA73-RU_Clean!AA72)/RU_Clean!AA72*100,"")</f>
        <v>0.508351488743658</v>
      </c>
      <c r="AB73" s="12">
        <f>IF(AND(ISNUMBER(RU_Clean!AB73),ISNUMBER(RU_Clean!AB72)),(RU_Clean!AB73-RU_Clean!AB72)/RU_Clean!AB72*100,"")</f>
        <v>1.36765888978279</v>
      </c>
      <c r="AC73" s="12">
        <f>IF(AND(ISNUMBER(RU_Clean!AC73),ISNUMBER(RU_Clean!AC72)),(RU_Clean!AC73-RU_Clean!AC72)/RU_Clean!AC72*100,"")</f>
        <v>0.673652694610783</v>
      </c>
      <c r="AD73" s="12">
        <f>IF(AND(ISNUMBER(RU_Clean!AD73),ISNUMBER(RU_Clean!AD72)),(RU_Clean!AD73-RU_Clean!AD72)/RU_Clean!AD72*100,"")</f>
        <v>0.136986301369855</v>
      </c>
      <c r="AE73" s="12">
        <f>IF(AND(ISNUMBER(RU_Clean!AE73),ISNUMBER(RU_Clean!AE72)),(RU_Clean!AE73-RU_Clean!AE72)/RU_Clean!AE72*100,"")</f>
        <v>0.614911606456581</v>
      </c>
      <c r="AF73" s="12">
        <f>IF(AND(ISNUMBER(RU_Clean!AF73),ISNUMBER(RU_Clean!AF72)),(RU_Clean!AF73-RU_Clean!AF72)/RU_Clean!AF72*100,"")</f>
        <v>0.597460791635536</v>
      </c>
      <c r="AG73" s="12">
        <f>IF(AND(ISNUMBER(RU_Clean!AG73),ISNUMBER(RU_Clean!AG72)),(RU_Clean!AG73-RU_Clean!AG72)/RU_Clean!AG72*100,"")</f>
        <v>-0.142450142450155</v>
      </c>
      <c r="AH73" s="12">
        <f>IF(AND(ISNUMBER(RU_Clean!AH73),ISNUMBER(RU_Clean!AH72)),(RU_Clean!AH73-RU_Clean!AH72)/RU_Clean!AH72*100,"")</f>
        <v>-1.08026554013279</v>
      </c>
    </row>
    <row r="74" spans="1:34">
      <c r="A74" s="6">
        <f>RU_Clean!A74</f>
        <v>2018</v>
      </c>
      <c r="B74" s="6">
        <f>RU_Clean!B74</f>
        <v>10</v>
      </c>
      <c r="C74" s="6" t="str">
        <f>RU_Clean!C74</f>
        <v>October</v>
      </c>
      <c r="D74" s="9">
        <f>RU_Clean!D74</f>
        <v>43374</v>
      </c>
      <c r="E74" s="6"/>
      <c r="F74" s="6"/>
      <c r="G74" s="12">
        <f>IF(AND(ISNUMBER(RU_Clean!G74),ISNUMBER(RU_Clean!G73)),(RU_Clean!G74-RU_Clean!G73)/RU_Clean!G73*100,"")</f>
        <v>-0.865800865800858</v>
      </c>
      <c r="H74" s="12">
        <f>IF(AND(ISNUMBER(RU_Clean!H74),ISNUMBER(RU_Clean!H73)),(RU_Clean!H74-RU_Clean!H73)/RU_Clean!H73*100,"")</f>
        <v>2.53772290809327</v>
      </c>
      <c r="I74" s="12">
        <f>IF(AND(ISNUMBER(RU_Clean!I74),ISNUMBER(RU_Clean!I73)),(RU_Clean!I74-RU_Clean!I73)/RU_Clean!I73*100,"")</f>
        <v>1.62842339008143</v>
      </c>
      <c r="J74" s="12">
        <f>IF(AND(ISNUMBER(RU_Clean!J74),ISNUMBER(RU_Clean!J73)),(RU_Clean!J74-RU_Clean!J73)/RU_Clean!J73*100,"")</f>
        <v>-0.699790062981106</v>
      </c>
      <c r="K74" s="12">
        <f>IF(AND(ISNUMBER(RU_Clean!K74),ISNUMBER(RU_Clean!K73)),(RU_Clean!K74-RU_Clean!K73)/RU_Clean!K73*100,"")</f>
        <v>-0.819000819000819</v>
      </c>
      <c r="L74" s="12">
        <f>IF(AND(ISNUMBER(RU_Clean!L74),ISNUMBER(RU_Clean!L73)),(RU_Clean!L74-RU_Clean!L73)/RU_Clean!L73*100,"")</f>
        <v>-1.99449793672628</v>
      </c>
      <c r="M74" s="12">
        <f>IF(AND(ISNUMBER(RU_Clean!M74),ISNUMBER(RU_Clean!M73)),(RU_Clean!M74-RU_Clean!M73)/RU_Clean!M73*100,"")</f>
        <v>-2.20000000000001</v>
      </c>
      <c r="N74" s="12">
        <f>IF(AND(ISNUMBER(RU_Clean!N74),ISNUMBER(RU_Clean!N73)),(RU_Clean!N74-RU_Clean!N73)/RU_Clean!N73*100,"")</f>
        <v>-1.89456342668864</v>
      </c>
      <c r="O74" s="12">
        <f>IF(AND(ISNUMBER(RU_Clean!O74),ISNUMBER(RU_Clean!O73)),(RU_Clean!O74-RU_Clean!O73)/RU_Clean!O73*100,"")</f>
        <v>-1.58311345646438</v>
      </c>
      <c r="P74" s="12">
        <f>IF(AND(ISNUMBER(RU_Clean!P74),ISNUMBER(RU_Clean!P73)),(RU_Clean!P74-RU_Clean!P73)/RU_Clean!P73*100,"")</f>
        <v>1.0752688172043</v>
      </c>
      <c r="Q74" s="12">
        <f>IF(AND(ISNUMBER(RU_Clean!Q74),ISNUMBER(RU_Clean!Q73)),(RU_Clean!Q74-RU_Clean!Q73)/RU_Clean!Q73*100,"")</f>
        <v>2.1406727828746</v>
      </c>
      <c r="R74" s="12">
        <f>IF(AND(ISNUMBER(RU_Clean!R74),ISNUMBER(RU_Clean!R73)),(RU_Clean!R74-RU_Clean!R73)/RU_Clean!R73*100,"")</f>
        <v>0.455136540962281</v>
      </c>
      <c r="S74" s="12">
        <f>IF(AND(ISNUMBER(RU_Clean!S74),ISNUMBER(RU_Clean!S73)),(RU_Clean!S74-RU_Clean!S73)/RU_Clean!S73*100,"")</f>
        <v>-0.498575498575511</v>
      </c>
      <c r="T74" s="12">
        <f>IF(AND(ISNUMBER(RU_Clean!T74),ISNUMBER(RU_Clean!T73)),(RU_Clean!T74-RU_Clean!T73)/RU_Clean!T73*100,"")</f>
        <v>2.1356783919598</v>
      </c>
      <c r="U74" s="12">
        <f>IF(AND(ISNUMBER(RU_Clean!U74),ISNUMBER(RU_Clean!U73)),(RU_Clean!U74-RU_Clean!U73)/RU_Clean!U73*100,"")</f>
        <v>0.203114421123908</v>
      </c>
      <c r="V74" s="12">
        <f>IF(AND(ISNUMBER(RU_Clean!V74),ISNUMBER(RU_Clean!V73)),(RU_Clean!V74-RU_Clean!V73)/RU_Clean!V73*100,"")</f>
        <v>0.0718907260963295</v>
      </c>
      <c r="W74" s="12">
        <f>IF(AND(ISNUMBER(RU_Clean!W74),ISNUMBER(RU_Clean!W73)),(RU_Clean!W74-RU_Clean!W73)/RU_Clean!W73*100,"")</f>
        <v>0.204778156996595</v>
      </c>
      <c r="X74" s="12">
        <f>IF(AND(ISNUMBER(RU_Clean!X74),ISNUMBER(RU_Clean!X73)),(RU_Clean!X74-RU_Clean!X73)/RU_Clean!X73*100,"")</f>
        <v>1.10116999311768</v>
      </c>
      <c r="Y74" s="12">
        <f>IF(AND(ISNUMBER(RU_Clean!Y74),ISNUMBER(RU_Clean!Y73)),(RU_Clean!Y74-RU_Clean!Y73)/RU_Clean!Y73*100,"")</f>
        <v>2.10822206605762</v>
      </c>
      <c r="Z74" s="12">
        <f>IF(AND(ISNUMBER(RU_Clean!Z74),ISNUMBER(RU_Clean!Z73)),(RU_Clean!Z74-RU_Clean!Z73)/RU_Clean!Z73*100,"")</f>
        <v>1.78954903364352</v>
      </c>
      <c r="AA74" s="12">
        <f>IF(AND(ISNUMBER(RU_Clean!AA74),ISNUMBER(RU_Clean!AA73)),(RU_Clean!AA74-RU_Clean!AA73)/RU_Clean!AA73*100,"")</f>
        <v>2.67341040462427</v>
      </c>
      <c r="AB74" s="12">
        <f>IF(AND(ISNUMBER(RU_Clean!AB74),ISNUMBER(RU_Clean!AB73)),(RU_Clean!AB74-RU_Clean!AB73)/RU_Clean!AB73*100,"")</f>
        <v>-0.396825396825397</v>
      </c>
      <c r="AC74" s="12">
        <f>IF(AND(ISNUMBER(RU_Clean!AC74),ISNUMBER(RU_Clean!AC73)),(RU_Clean!AC74-RU_Clean!AC73)/RU_Clean!AC73*100,"")</f>
        <v>1.48698884758364</v>
      </c>
      <c r="AD74" s="12">
        <f>IF(AND(ISNUMBER(RU_Clean!AD74),ISNUMBER(RU_Clean!AD73)),(RU_Clean!AD74-RU_Clean!AD73)/RU_Clean!AD73*100,"")</f>
        <v>1.09439124487006</v>
      </c>
      <c r="AE74" s="12">
        <f>IF(AND(ISNUMBER(RU_Clean!AE74),ISNUMBER(RU_Clean!AE73)),(RU_Clean!AE74-RU_Clean!AE73)/RU_Clean!AE73*100,"")</f>
        <v>0.840336134453777</v>
      </c>
      <c r="AF74" s="12">
        <f>IF(AND(ISNUMBER(RU_Clean!AF74),ISNUMBER(RU_Clean!AF73)),(RU_Clean!AF74-RU_Clean!AF73)/RU_Clean!AF73*100,"")</f>
        <v>1.18782479584263</v>
      </c>
      <c r="AG74" s="12">
        <f>IF(AND(ISNUMBER(RU_Clean!AG74),ISNUMBER(RU_Clean!AG73)),(RU_Clean!AG74-RU_Clean!AG73)/RU_Clean!AG73*100,"")</f>
        <v>0.427960057061357</v>
      </c>
      <c r="AH74" s="12">
        <f>IF(AND(ISNUMBER(RU_Clean!AH74),ISNUMBER(RU_Clean!AH73)),(RU_Clean!AH74-RU_Clean!AH73)/RU_Clean!AH73*100,"")</f>
        <v>-0.158623634921598</v>
      </c>
    </row>
    <row r="75" spans="1:34">
      <c r="A75" s="6">
        <f>RU_Clean!A75</f>
        <v>2018</v>
      </c>
      <c r="B75" s="6">
        <f>RU_Clean!B75</f>
        <v>11</v>
      </c>
      <c r="C75" s="6" t="str">
        <f>RU_Clean!C75</f>
        <v>November</v>
      </c>
      <c r="D75" s="9">
        <f>RU_Clean!D75</f>
        <v>43405</v>
      </c>
      <c r="E75" s="6"/>
      <c r="F75" s="6"/>
      <c r="G75" s="12">
        <f>IF(AND(ISNUMBER(RU_Clean!G75),ISNUMBER(RU_Clean!G74)),(RU_Clean!G75-RU_Clean!G74)/RU_Clean!G74*100,"")</f>
        <v>0</v>
      </c>
      <c r="H75" s="12">
        <f>IF(AND(ISNUMBER(RU_Clean!H75),ISNUMBER(RU_Clean!H74)),(RU_Clean!H75-RU_Clean!H74)/RU_Clean!H74*100,"")</f>
        <v>-0.200668896321078</v>
      </c>
      <c r="I75" s="12">
        <f>IF(AND(ISNUMBER(RU_Clean!I75),ISNUMBER(RU_Clean!I74)),(RU_Clean!I75-RU_Clean!I74)/RU_Clean!I74*100,"")</f>
        <v>-0.145666423889306</v>
      </c>
      <c r="J75" s="12">
        <f>IF(AND(ISNUMBER(RU_Clean!J75),ISNUMBER(RU_Clean!J74)),(RU_Clean!J75-RU_Clean!J74)/RU_Clean!J74*100,"")</f>
        <v>-0.0704721634954153</v>
      </c>
      <c r="K75" s="12">
        <f>IF(AND(ISNUMBER(RU_Clean!K75),ISNUMBER(RU_Clean!K74)),(RU_Clean!K75-RU_Clean!K74)/RU_Clean!K74*100,"")</f>
        <v>0</v>
      </c>
      <c r="L75" s="12">
        <f>IF(AND(ISNUMBER(RU_Clean!L75),ISNUMBER(RU_Clean!L74)),(RU_Clean!L75-RU_Clean!L74)/RU_Clean!L74*100,"")</f>
        <v>0.210526315789482</v>
      </c>
      <c r="M75" s="12">
        <f>IF(AND(ISNUMBER(RU_Clean!M75),ISNUMBER(RU_Clean!M74)),(RU_Clean!M75-RU_Clean!M74)/RU_Clean!M74*100,"")</f>
        <v>0</v>
      </c>
      <c r="N75" s="12">
        <f>IF(AND(ISNUMBER(RU_Clean!N75),ISNUMBER(RU_Clean!N74)),(RU_Clean!N75-RU_Clean!N74)/RU_Clean!N74*100,"")</f>
        <v>0</v>
      </c>
      <c r="O75" s="12">
        <f>IF(AND(ISNUMBER(RU_Clean!O75),ISNUMBER(RU_Clean!O74)),(RU_Clean!O75-RU_Clean!O74)/RU_Clean!O74*100,"")</f>
        <v>0</v>
      </c>
      <c r="P75" s="12">
        <f>IF(AND(ISNUMBER(RU_Clean!P75),ISNUMBER(RU_Clean!P74)),(RU_Clean!P75-RU_Clean!P74)/RU_Clean!P74*100,"")</f>
        <v>-0.0709219858155988</v>
      </c>
      <c r="Q75" s="12">
        <f>IF(AND(ISNUMBER(RU_Clean!Q75),ISNUMBER(RU_Clean!Q74)),(RU_Clean!Q75-RU_Clean!Q74)/RU_Clean!Q74*100,"")</f>
        <v>-0.0748502994011934</v>
      </c>
      <c r="R75" s="12">
        <f>IF(AND(ISNUMBER(RU_Clean!R75),ISNUMBER(RU_Clean!R74)),(RU_Clean!R75-RU_Clean!R74)/RU_Clean!R74*100,"")</f>
        <v>0</v>
      </c>
      <c r="S75" s="12">
        <f>IF(AND(ISNUMBER(RU_Clean!S75),ISNUMBER(RU_Clean!S74)),(RU_Clean!S75-RU_Clean!S74)/RU_Clean!S74*100,"")</f>
        <v>0</v>
      </c>
      <c r="T75" s="12">
        <f>IF(AND(ISNUMBER(RU_Clean!T75),ISNUMBER(RU_Clean!T74)),(RU_Clean!T75-RU_Clean!T74)/RU_Clean!T74*100,"")</f>
        <v>0</v>
      </c>
      <c r="U75" s="12">
        <f>IF(AND(ISNUMBER(RU_Clean!U75),ISNUMBER(RU_Clean!U74)),(RU_Clean!U75-RU_Clean!U74)/RU_Clean!U74*100,"")</f>
        <v>0</v>
      </c>
      <c r="V75" s="12">
        <f>IF(AND(ISNUMBER(RU_Clean!V75),ISNUMBER(RU_Clean!V74)),(RU_Clean!V75-RU_Clean!V74)/RU_Clean!V74*100,"")</f>
        <v>-0.071839080459766</v>
      </c>
      <c r="W75" s="12">
        <f>IF(AND(ISNUMBER(RU_Clean!W75),ISNUMBER(RU_Clean!W74)),(RU_Clean!W75-RU_Clean!W74)/RU_Clean!W74*100,"")</f>
        <v>-0.0681198910081899</v>
      </c>
      <c r="X75" s="12">
        <f>IF(AND(ISNUMBER(RU_Clean!X75),ISNUMBER(RU_Clean!X74)),(RU_Clean!X75-RU_Clean!X74)/RU_Clean!X74*100,"")</f>
        <v>0</v>
      </c>
      <c r="Y75" s="12">
        <f>IF(AND(ISNUMBER(RU_Clean!Y75),ISNUMBER(RU_Clean!Y74)),(RU_Clean!Y75-RU_Clean!Y74)/RU_Clean!Y74*100,"")</f>
        <v>-0.137646249139723</v>
      </c>
      <c r="Z75" s="12">
        <f>IF(AND(ISNUMBER(RU_Clean!Z75),ISNUMBER(RU_Clean!Z74)),(RU_Clean!Z75-RU_Clean!Z74)/RU_Clean!Z74*100,"")</f>
        <v>0</v>
      </c>
      <c r="AA75" s="12">
        <f>IF(AND(ISNUMBER(RU_Clean!AA75),ISNUMBER(RU_Clean!AA74)),(RU_Clean!AA75-RU_Clean!AA74)/RU_Clean!AA74*100,"")</f>
        <v>0</v>
      </c>
      <c r="AB75" s="12">
        <f>IF(AND(ISNUMBER(RU_Clean!AB75),ISNUMBER(RU_Clean!AB74)),(RU_Clean!AB75-RU_Clean!AB74)/RU_Clean!AB74*100,"")</f>
        <v>0</v>
      </c>
      <c r="AC75" s="12">
        <f>IF(AND(ISNUMBER(RU_Clean!AC75),ISNUMBER(RU_Clean!AC74)),(RU_Clean!AC75-RU_Clean!AC74)/RU_Clean!AC74*100,"")</f>
        <v>0</v>
      </c>
      <c r="AD75" s="12">
        <f>IF(AND(ISNUMBER(RU_Clean!AD75),ISNUMBER(RU_Clean!AD74)),(RU_Clean!AD75-RU_Clean!AD74)/RU_Clean!AD74*100,"")</f>
        <v>0</v>
      </c>
      <c r="AE75" s="12">
        <f>IF(AND(ISNUMBER(RU_Clean!AE75),ISNUMBER(RU_Clean!AE74)),(RU_Clean!AE75-RU_Clean!AE74)/RU_Clean!AE74*100,"")</f>
        <v>0</v>
      </c>
      <c r="AF75" s="12">
        <f>IF(AND(ISNUMBER(RU_Clean!AF75),ISNUMBER(RU_Clean!AF74)),(RU_Clean!AF75-RU_Clean!AF74)/RU_Clean!AF74*100,"")</f>
        <v>0</v>
      </c>
      <c r="AG75" s="12">
        <f>IF(AND(ISNUMBER(RU_Clean!AG75),ISNUMBER(RU_Clean!AG74)),(RU_Clean!AG75-RU_Clean!AG74)/RU_Clean!AG74*100,"")</f>
        <v>0</v>
      </c>
      <c r="AH75" s="12">
        <f>IF(AND(ISNUMBER(RU_Clean!AH75),ISNUMBER(RU_Clean!AH74)),(RU_Clean!AH75-RU_Clean!AH74)/RU_Clean!AH74*100,"")</f>
        <v>-0.030553009471419</v>
      </c>
    </row>
    <row r="76" spans="1:34">
      <c r="A76" s="6">
        <f>RU_Clean!A76</f>
        <v>2018</v>
      </c>
      <c r="B76" s="6">
        <f>RU_Clean!B76</f>
        <v>12</v>
      </c>
      <c r="C76" s="6" t="str">
        <f>RU_Clean!C76</f>
        <v>December</v>
      </c>
      <c r="D76" s="9">
        <f>RU_Clean!D76</f>
        <v>43435</v>
      </c>
      <c r="E76" s="6"/>
      <c r="F76" s="6"/>
      <c r="G76" s="12">
        <f>IF(AND(ISNUMBER(RU_Clean!G76),ISNUMBER(RU_Clean!G75)),(RU_Clean!G76-RU_Clean!G75)/RU_Clean!G75*100,"")</f>
        <v>0.0727802037845665</v>
      </c>
      <c r="H76" s="12">
        <f>IF(AND(ISNUMBER(RU_Clean!H76),ISNUMBER(RU_Clean!H75)),(RU_Clean!H76-RU_Clean!H75)/RU_Clean!H75*100,"")</f>
        <v>0.87131367292226</v>
      </c>
      <c r="I76" s="12">
        <f>IF(AND(ISNUMBER(RU_Clean!I76),ISNUMBER(RU_Clean!I75)),(RU_Clean!I76-RU_Clean!I75)/RU_Clean!I75*100,"")</f>
        <v>1.23997082421591</v>
      </c>
      <c r="J76" s="12">
        <f>IF(AND(ISNUMBER(RU_Clean!J76),ISNUMBER(RU_Clean!J75)),(RU_Clean!J76-RU_Clean!J75)/RU_Clean!J75*100,"")</f>
        <v>0.211565585331441</v>
      </c>
      <c r="K76" s="12">
        <f>IF(AND(ISNUMBER(RU_Clean!K76),ISNUMBER(RU_Clean!K75)),(RU_Clean!K76-RU_Clean!K75)/RU_Clean!K75*100,"")</f>
        <v>0.743187448389765</v>
      </c>
      <c r="L76" s="12">
        <f>IF(AND(ISNUMBER(RU_Clean!L76),ISNUMBER(RU_Clean!L75)),(RU_Clean!L76-RU_Clean!L75)/RU_Clean!L75*100,"")</f>
        <v>-2.38095238095238</v>
      </c>
      <c r="M76" s="12">
        <f>IF(AND(ISNUMBER(RU_Clean!M76),ISNUMBER(RU_Clean!M75)),(RU_Clean!M76-RU_Clean!M75)/RU_Clean!M75*100,"")</f>
        <v>-7.83912747102931</v>
      </c>
      <c r="N76" s="12">
        <f>IF(AND(ISNUMBER(RU_Clean!N76),ISNUMBER(RU_Clean!N75)),(RU_Clean!N76-RU_Clean!N75)/RU_Clean!N75*100,"")</f>
        <v>0.587741393786736</v>
      </c>
      <c r="O76" s="12">
        <f>IF(AND(ISNUMBER(RU_Clean!O76),ISNUMBER(RU_Clean!O75)),(RU_Clean!O76-RU_Clean!O75)/RU_Clean!O75*100,"")</f>
        <v>-1.42984807864165</v>
      </c>
      <c r="P76" s="12">
        <f>IF(AND(ISNUMBER(RU_Clean!P76),ISNUMBER(RU_Clean!P75)),(RU_Clean!P76-RU_Clean!P75)/RU_Clean!P75*100,"")</f>
        <v>-0.212916962384678</v>
      </c>
      <c r="Q76" s="12">
        <f>IF(AND(ISNUMBER(RU_Clean!Q76),ISNUMBER(RU_Clean!Q75)),(RU_Clean!Q76-RU_Clean!Q75)/RU_Clean!Q75*100,"")</f>
        <v>0.224719101123604</v>
      </c>
      <c r="R76" s="12">
        <f>IF(AND(ISNUMBER(RU_Clean!R76),ISNUMBER(RU_Clean!R75)),(RU_Clean!R76-RU_Clean!R75)/RU_Clean!R75*100,"")</f>
        <v>0.0647249190938475</v>
      </c>
      <c r="S76" s="12">
        <f>IF(AND(ISNUMBER(RU_Clean!S76),ISNUMBER(RU_Clean!S75)),(RU_Clean!S76-RU_Clean!S75)/RU_Clean!S75*100,"")</f>
        <v>-1.07372942018611</v>
      </c>
      <c r="T76" s="12">
        <f>IF(AND(ISNUMBER(RU_Clean!T76),ISNUMBER(RU_Clean!T75)),(RU_Clean!T76-RU_Clean!T75)/RU_Clean!T75*100,"")</f>
        <v>0.246002460024604</v>
      </c>
      <c r="U76" s="12">
        <f>IF(AND(ISNUMBER(RU_Clean!U76),ISNUMBER(RU_Clean!U75)),(RU_Clean!U76-RU_Clean!U75)/RU_Clean!U75*100,"")</f>
        <v>0.0675675675675637</v>
      </c>
      <c r="V76" s="12">
        <f>IF(AND(ISNUMBER(RU_Clean!V76),ISNUMBER(RU_Clean!V75)),(RU_Clean!V76-RU_Clean!V75)/RU_Clean!V75*100,"")</f>
        <v>0.215672178289009</v>
      </c>
      <c r="W76" s="12">
        <f>IF(AND(ISNUMBER(RU_Clean!W76),ISNUMBER(RU_Clean!W75)),(RU_Clean!W76-RU_Clean!W75)/RU_Clean!W75*100,"")</f>
        <v>0.068166325835053</v>
      </c>
      <c r="X76" s="12">
        <f>IF(AND(ISNUMBER(RU_Clean!X76),ISNUMBER(RU_Clean!X75)),(RU_Clean!X76-RU_Clean!X75)/RU_Clean!X75*100,"")</f>
        <v>-0.272294077603816</v>
      </c>
      <c r="Y76" s="12">
        <f>IF(AND(ISNUMBER(RU_Clean!Y76),ISNUMBER(RU_Clean!Y75)),(RU_Clean!Y76-RU_Clean!Y75)/RU_Clean!Y75*100,"")</f>
        <v>-1.6540317022743</v>
      </c>
      <c r="Z76" s="12">
        <f>IF(AND(ISNUMBER(RU_Clean!Z76),ISNUMBER(RU_Clean!Z75)),(RU_Clean!Z76-RU_Clean!Z75)/RU_Clean!Z75*100,"")</f>
        <v>0.70323488045007</v>
      </c>
      <c r="AA76" s="12">
        <f>IF(AND(ISNUMBER(RU_Clean!AA76),ISNUMBER(RU_Clean!AA75)),(RU_Clean!AA76-RU_Clean!AA75)/RU_Clean!AA75*100,"")</f>
        <v>1.9704433497537</v>
      </c>
      <c r="AB76" s="12">
        <f>IF(AND(ISNUMBER(RU_Clean!AB76),ISNUMBER(RU_Clean!AB75)),(RU_Clean!AB76-RU_Clean!AB75)/RU_Clean!AB75*100,"")</f>
        <v>-1.51394422310757</v>
      </c>
      <c r="AC76" s="12">
        <f>IF(AND(ISNUMBER(RU_Clean!AC76),ISNUMBER(RU_Clean!AC75)),(RU_Clean!AC76-RU_Clean!AC75)/RU_Clean!AC75*100,"")</f>
        <v>0.219780219780228</v>
      </c>
      <c r="AD76" s="12">
        <f>IF(AND(ISNUMBER(RU_Clean!AD76),ISNUMBER(RU_Clean!AD75)),(RU_Clean!AD76-RU_Clean!AD75)/RU_Clean!AD75*100,"")</f>
        <v>1.55615696887685</v>
      </c>
      <c r="AE76" s="12">
        <f>IF(AND(ISNUMBER(RU_Clean!AE76),ISNUMBER(RU_Clean!AE75)),(RU_Clean!AE76-RU_Clean!AE75)/RU_Clean!AE75*100,"")</f>
        <v>0.151515151515143</v>
      </c>
      <c r="AF76" s="12">
        <f>IF(AND(ISNUMBER(RU_Clean!AF76),ISNUMBER(RU_Clean!AF75)),(RU_Clean!AF76-RU_Clean!AF75)/RU_Clean!AF75*100,"")</f>
        <v>0.366837857666911</v>
      </c>
      <c r="AG76" s="12">
        <f>IF(AND(ISNUMBER(RU_Clean!AG76),ISNUMBER(RU_Clean!AG75)),(RU_Clean!AG76-RU_Clean!AG75)/RU_Clean!AG75*100,"")</f>
        <v>-0.497159090909103</v>
      </c>
      <c r="AH76" s="12">
        <f>IF(AND(ISNUMBER(RU_Clean!AH76),ISNUMBER(RU_Clean!AH75)),(RU_Clean!AH76-RU_Clean!AH75)/RU_Clean!AH75*100,"")</f>
        <v>-0.696821515892454</v>
      </c>
    </row>
    <row r="77" spans="1:34">
      <c r="A77" s="6">
        <f>RU_Clean!A77</f>
        <v>2019</v>
      </c>
      <c r="B77" s="6">
        <f>RU_Clean!B77</f>
        <v>1</v>
      </c>
      <c r="C77" s="6" t="str">
        <f>RU_Clean!C77</f>
        <v>January</v>
      </c>
      <c r="D77" s="9">
        <f>RU_Clean!D77</f>
        <v>43466</v>
      </c>
      <c r="E77" s="6"/>
      <c r="F77" s="6"/>
      <c r="G77" s="12">
        <f>IF(AND(ISNUMBER(RU_Clean!G77),ISNUMBER(RU_Clean!G76)),(RU_Clean!G77-RU_Clean!G76)/RU_Clean!G76*100,"")</f>
        <v>-0.290909090909095</v>
      </c>
      <c r="H77" s="12">
        <f>IF(AND(ISNUMBER(RU_Clean!H77),ISNUMBER(RU_Clean!H76)),(RU_Clean!H77-RU_Clean!H76)/RU_Clean!H76*100,"")</f>
        <v>0.598006644518276</v>
      </c>
      <c r="I77" s="12">
        <f>IF(AND(ISNUMBER(RU_Clean!I77),ISNUMBER(RU_Clean!I76)),(RU_Clean!I77-RU_Clean!I76)/RU_Clean!I76*100,"")</f>
        <v>1.00864553314119</v>
      </c>
      <c r="J77" s="12">
        <f>IF(AND(ISNUMBER(RU_Clean!J77),ISNUMBER(RU_Clean!J76)),(RU_Clean!J77-RU_Clean!J76)/RU_Clean!J76*100,"")</f>
        <v>0</v>
      </c>
      <c r="K77" s="12">
        <f>IF(AND(ISNUMBER(RU_Clean!K77),ISNUMBER(RU_Clean!K76)),(RU_Clean!K77-RU_Clean!K76)/RU_Clean!K76*100,"")</f>
        <v>-0.163934426229511</v>
      </c>
      <c r="L77" s="12">
        <f>IF(AND(ISNUMBER(RU_Clean!L77),ISNUMBER(RU_Clean!L76)),(RU_Clean!L77-RU_Clean!L76)/RU_Clean!L76*100,"")</f>
        <v>-2.86944045911047</v>
      </c>
      <c r="M77" s="12">
        <f>IF(AND(ISNUMBER(RU_Clean!M77),ISNUMBER(RU_Clean!M76)),(RU_Clean!M77-RU_Clean!M76)/RU_Clean!M76*100,"")</f>
        <v>-2.88461538461537</v>
      </c>
      <c r="N77" s="12">
        <f>IF(AND(ISNUMBER(RU_Clean!N77),ISNUMBER(RU_Clean!N76)),(RU_Clean!N77-RU_Clean!N76)/RU_Clean!N76*100,"")</f>
        <v>0.417362270450751</v>
      </c>
      <c r="O77" s="12">
        <f>IF(AND(ISNUMBER(RU_Clean!O77),ISNUMBER(RU_Clean!O76)),(RU_Clean!O77-RU_Clean!O76)/RU_Clean!O76*100,"")</f>
        <v>-1.08794197642793</v>
      </c>
      <c r="P77" s="12">
        <f>IF(AND(ISNUMBER(RU_Clean!P77),ISNUMBER(RU_Clean!P76)),(RU_Clean!P77-RU_Clean!P76)/RU_Clean!P76*100,"")</f>
        <v>-0.853485064011372</v>
      </c>
      <c r="Q77" s="12">
        <f>IF(AND(ISNUMBER(RU_Clean!Q77),ISNUMBER(RU_Clean!Q76)),(RU_Clean!Q77-RU_Clean!Q76)/RU_Clean!Q76*100,"")</f>
        <v>-0.373692077727952</v>
      </c>
      <c r="R77" s="12">
        <f>IF(AND(ISNUMBER(RU_Clean!R77),ISNUMBER(RU_Clean!R76)),(RU_Clean!R77-RU_Clean!R76)/RU_Clean!R76*100,"")</f>
        <v>0</v>
      </c>
      <c r="S77" s="12">
        <f>IF(AND(ISNUMBER(RU_Clean!S77),ISNUMBER(RU_Clean!S76)),(RU_Clean!S77-RU_Clean!S76)/RU_Clean!S76*100,"")</f>
        <v>-0.57887120115773</v>
      </c>
      <c r="T77" s="12">
        <f>IF(AND(ISNUMBER(RU_Clean!T77),ISNUMBER(RU_Clean!T76)),(RU_Clean!T77-RU_Clean!T76)/RU_Clean!T76*100,"")</f>
        <v>0.122699386503061</v>
      </c>
      <c r="U77" s="12">
        <f>IF(AND(ISNUMBER(RU_Clean!U77),ISNUMBER(RU_Clean!U76)),(RU_Clean!U77-RU_Clean!U76)/RU_Clean!U76*100,"")</f>
        <v>-0.337609723160027</v>
      </c>
      <c r="V77" s="12">
        <f>IF(AND(ISNUMBER(RU_Clean!V77),ISNUMBER(RU_Clean!V76)),(RU_Clean!V77-RU_Clean!V76)/RU_Clean!V76*100,"")</f>
        <v>-0.286944045911051</v>
      </c>
      <c r="W77" s="12">
        <f>IF(AND(ISNUMBER(RU_Clean!W77),ISNUMBER(RU_Clean!W76)),(RU_Clean!W77-RU_Clean!W76)/RU_Clean!W76*100,"")</f>
        <v>-0.272479564032701</v>
      </c>
      <c r="X77" s="12">
        <f>IF(AND(ISNUMBER(RU_Clean!X77),ISNUMBER(RU_Clean!X76)),(RU_Clean!X77-RU_Clean!X76)/RU_Clean!X76*100,"")</f>
        <v>0.81911262798634</v>
      </c>
      <c r="Y77" s="12">
        <f>IF(AND(ISNUMBER(RU_Clean!Y77),ISNUMBER(RU_Clean!Y76)),(RU_Clean!Y77-RU_Clean!Y76)/RU_Clean!Y76*100,"")</f>
        <v>-2.24246671338472</v>
      </c>
      <c r="Z77" s="12">
        <f>IF(AND(ISNUMBER(RU_Clean!Z77),ISNUMBER(RU_Clean!Z76)),(RU_Clean!Z77-RU_Clean!Z76)/RU_Clean!Z76*100,"")</f>
        <v>0.279329608938551</v>
      </c>
      <c r="AA77" s="12">
        <f>IF(AND(ISNUMBER(RU_Clean!AA77),ISNUMBER(RU_Clean!AA76)),(RU_Clean!AA77-RU_Clean!AA76)/RU_Clean!AA76*100,"")</f>
        <v>0.138026224982739</v>
      </c>
      <c r="AB77" s="12">
        <f>IF(AND(ISNUMBER(RU_Clean!AB77),ISNUMBER(RU_Clean!AB76)),(RU_Clean!AB77-RU_Clean!AB76)/RU_Clean!AB76*100,"")</f>
        <v>-0.242718446601939</v>
      </c>
      <c r="AC77" s="12">
        <f>IF(AND(ISNUMBER(RU_Clean!AC77),ISNUMBER(RU_Clean!AC76)),(RU_Clean!AC77-RU_Clean!AC76)/RU_Clean!AC76*100,"")</f>
        <v>-0.073099415204695</v>
      </c>
      <c r="AD77" s="12">
        <f>IF(AND(ISNUMBER(RU_Clean!AD77),ISNUMBER(RU_Clean!AD76)),(RU_Clean!AD77-RU_Clean!AD76)/RU_Clean!AD76*100,"")</f>
        <v>0.0666222518321081</v>
      </c>
      <c r="AE77" s="12">
        <f>IF(AND(ISNUMBER(RU_Clean!AE77),ISNUMBER(RU_Clean!AE76)),(RU_Clean!AE77-RU_Clean!AE76)/RU_Clean!AE76*100,"")</f>
        <v>0.453857791225433</v>
      </c>
      <c r="AF77" s="12">
        <f>IF(AND(ISNUMBER(RU_Clean!AF77),ISNUMBER(RU_Clean!AF76)),(RU_Clean!AF77-RU_Clean!AF76)/RU_Clean!AF76*100,"")</f>
        <v>0.0730994152046742</v>
      </c>
      <c r="AG77" s="12">
        <f>IF(AND(ISNUMBER(RU_Clean!AG77),ISNUMBER(RU_Clean!AG76)),(RU_Clean!AG77-RU_Clean!AG76)/RU_Clean!AG76*100,"")</f>
        <v>-0.356887937187723</v>
      </c>
      <c r="AH77" s="12">
        <f>IF(AND(ISNUMBER(RU_Clean!AH77),ISNUMBER(RU_Clean!AH76)),(RU_Clean!AH77-RU_Clean!AH76)/RU_Clean!AH76*100,"")</f>
        <v>-0.529361073495009</v>
      </c>
    </row>
    <row r="78" spans="1:34">
      <c r="A78" s="6">
        <f>RU_Clean!A78</f>
        <v>2019</v>
      </c>
      <c r="B78" s="6">
        <f>RU_Clean!B78</f>
        <v>2</v>
      </c>
      <c r="C78" s="6" t="str">
        <f>RU_Clean!C78</f>
        <v>February</v>
      </c>
      <c r="D78" s="9">
        <f>RU_Clean!D78</f>
        <v>43497</v>
      </c>
      <c r="E78" s="6"/>
      <c r="F78" s="6"/>
      <c r="G78" s="12">
        <f>IF(AND(ISNUMBER(RU_Clean!G78),ISNUMBER(RU_Clean!G77)),(RU_Clean!G78-RU_Clean!G77)/RU_Clean!G77*100,"")</f>
        <v>0.364697301239971</v>
      </c>
      <c r="H78" s="12">
        <f>IF(AND(ISNUMBER(RU_Clean!H78),ISNUMBER(RU_Clean!H77)),(RU_Clean!H78-RU_Clean!H77)/RU_Clean!H77*100,"")</f>
        <v>0.396301188903563</v>
      </c>
      <c r="I78" s="12">
        <f>IF(AND(ISNUMBER(RU_Clean!I78),ISNUMBER(RU_Clean!I77)),(RU_Clean!I78-RU_Clean!I77)/RU_Clean!I77*100,"")</f>
        <v>0.92724679029958</v>
      </c>
      <c r="J78" s="12">
        <f>IF(AND(ISNUMBER(RU_Clean!J78),ISNUMBER(RU_Clean!J77)),(RU_Clean!J78-RU_Clean!J77)/RU_Clean!J77*100,"")</f>
        <v>0.0703729767769137</v>
      </c>
      <c r="K78" s="12">
        <f>IF(AND(ISNUMBER(RU_Clean!K78),ISNUMBER(RU_Clean!K77)),(RU_Clean!K78-RU_Clean!K77)/RU_Clean!K77*100,"")</f>
        <v>0.164203612479477</v>
      </c>
      <c r="L78" s="12">
        <f>IF(AND(ISNUMBER(RU_Clean!L78),ISNUMBER(RU_Clean!L77)),(RU_Clean!L78-RU_Clean!L77)/RU_Clean!L77*100,"")</f>
        <v>0.738552437223043</v>
      </c>
      <c r="M78" s="12">
        <f>IF(AND(ISNUMBER(RU_Clean!M78),ISNUMBER(RU_Clean!M77)),(RU_Clean!M78-RU_Clean!M77)/RU_Clean!M77*100,"")</f>
        <v>-1.21858339680124</v>
      </c>
      <c r="N78" s="12">
        <f>IF(AND(ISNUMBER(RU_Clean!N78),ISNUMBER(RU_Clean!N77)),(RU_Clean!N78-RU_Clean!N77)/RU_Clean!N77*100,"")</f>
        <v>0.581878636741482</v>
      </c>
      <c r="O78" s="12">
        <f>IF(AND(ISNUMBER(RU_Clean!O78),ISNUMBER(RU_Clean!O77)),(RU_Clean!O78-RU_Clean!O77)/RU_Clean!O77*100,"")</f>
        <v>-0.0916590284142936</v>
      </c>
      <c r="P78" s="12">
        <f>IF(AND(ISNUMBER(RU_Clean!P78),ISNUMBER(RU_Clean!P77)),(RU_Clean!P78-RU_Clean!P77)/RU_Clean!P77*100,"")</f>
        <v>0.215208034433273</v>
      </c>
      <c r="Q78" s="12">
        <f>IF(AND(ISNUMBER(RU_Clean!Q78),ISNUMBER(RU_Clean!Q77)),(RU_Clean!Q78-RU_Clean!Q77)/RU_Clean!Q77*100,"")</f>
        <v>0.225056264066004</v>
      </c>
      <c r="R78" s="12">
        <f>IF(AND(ISNUMBER(RU_Clean!R78),ISNUMBER(RU_Clean!R77)),(RU_Clean!R78-RU_Clean!R77)/RU_Clean!R77*100,"")</f>
        <v>0.194049159120318</v>
      </c>
      <c r="S78" s="12">
        <f>IF(AND(ISNUMBER(RU_Clean!S78),ISNUMBER(RU_Clean!S77)),(RU_Clean!S78-RU_Clean!S77)/RU_Clean!S77*100,"")</f>
        <v>0.0727802037845665</v>
      </c>
      <c r="T78" s="12">
        <f>IF(AND(ISNUMBER(RU_Clean!T78),ISNUMBER(RU_Clean!T77)),(RU_Clean!T78-RU_Clean!T77)/RU_Clean!T77*100,"")</f>
        <v>0.122549019607854</v>
      </c>
      <c r="U78" s="12">
        <f>IF(AND(ISNUMBER(RU_Clean!U78),ISNUMBER(RU_Clean!U77)),(RU_Clean!U78-RU_Clean!U77)/RU_Clean!U77*100,"")</f>
        <v>0.0677506775067712</v>
      </c>
      <c r="V78" s="12">
        <f>IF(AND(ISNUMBER(RU_Clean!V78),ISNUMBER(RU_Clean!V77)),(RU_Clean!V78-RU_Clean!V77)/RU_Clean!V77*100,"")</f>
        <v>0.50359712230215</v>
      </c>
      <c r="W78" s="12">
        <f>IF(AND(ISNUMBER(RU_Clean!W78),ISNUMBER(RU_Clean!W77)),(RU_Clean!W78-RU_Clean!W77)/RU_Clean!W77*100,"")</f>
        <v>0.0683060109289579</v>
      </c>
      <c r="X78" s="12">
        <f>IF(AND(ISNUMBER(RU_Clean!X78),ISNUMBER(RU_Clean!X77)),(RU_Clean!X78-RU_Clean!X77)/RU_Clean!X77*100,"")</f>
        <v>0.541638456330407</v>
      </c>
      <c r="Y78" s="12">
        <f>IF(AND(ISNUMBER(RU_Clean!Y78),ISNUMBER(RU_Clean!Y77)),(RU_Clean!Y78-RU_Clean!Y77)/RU_Clean!Y77*100,"")</f>
        <v>-0.788530465949817</v>
      </c>
      <c r="Z78" s="12">
        <f>IF(AND(ISNUMBER(RU_Clean!Z78),ISNUMBER(RU_Clean!Z77)),(RU_Clean!Z78-RU_Clean!Z77)/RU_Clean!Z77*100,"")</f>
        <v>0.0696378830083526</v>
      </c>
      <c r="AA78" s="12">
        <f>IF(AND(ISNUMBER(RU_Clean!AA78),ISNUMBER(RU_Clean!AA77)),(RU_Clean!AA78-RU_Clean!AA77)/RU_Clean!AA77*100,"")</f>
        <v>0.344589937973811</v>
      </c>
      <c r="AB78" s="12">
        <f>IF(AND(ISNUMBER(RU_Clean!AB78),ISNUMBER(RU_Clean!AB77)),(RU_Clean!AB78-RU_Clean!AB77)/RU_Clean!AB77*100,"")</f>
        <v>0.486618004866187</v>
      </c>
      <c r="AC78" s="12">
        <f>IF(AND(ISNUMBER(RU_Clean!AC78),ISNUMBER(RU_Clean!AC77)),(RU_Clean!AC78-RU_Clean!AC77)/RU_Clean!AC77*100,"")</f>
        <v>0.292611558156551</v>
      </c>
      <c r="AD78" s="12">
        <f>IF(AND(ISNUMBER(RU_Clean!AD78),ISNUMBER(RU_Clean!AD77)),(RU_Clean!AD78-RU_Clean!AD77)/RU_Clean!AD77*100,"")</f>
        <v>0.0665778961384972</v>
      </c>
      <c r="AE78" s="12">
        <f>IF(AND(ISNUMBER(RU_Clean!AE78),ISNUMBER(RU_Clean!AE77)),(RU_Clean!AE78-RU_Clean!AE77)/RU_Clean!AE77*100,"")</f>
        <v>0.978915662650589</v>
      </c>
      <c r="AF78" s="12">
        <f>IF(AND(ISNUMBER(RU_Clean!AF78),ISNUMBER(RU_Clean!AF77)),(RU_Clean!AF78-RU_Clean!AF77)/RU_Clean!AF77*100,"")</f>
        <v>0.365230094959825</v>
      </c>
      <c r="AG78" s="12">
        <f>IF(AND(ISNUMBER(RU_Clean!AG78),ISNUMBER(RU_Clean!AG77)),(RU_Clean!AG78-RU_Clean!AG77)/RU_Clean!AG77*100,"")</f>
        <v>0.214899713467057</v>
      </c>
      <c r="AH78" s="12">
        <f>IF(AND(ISNUMBER(RU_Clean!AH78),ISNUMBER(RU_Clean!AH77)),(RU_Clean!AH78-RU_Clean!AH77)/RU_Clean!AH77*100,"")</f>
        <v>0.222772277227731</v>
      </c>
    </row>
    <row r="79" spans="1:34">
      <c r="A79" s="6">
        <f>RU_Clean!A79</f>
        <v>2019</v>
      </c>
      <c r="B79" s="6">
        <f>RU_Clean!B79</f>
        <v>3</v>
      </c>
      <c r="C79" s="6" t="str">
        <f>RU_Clean!C79</f>
        <v>March</v>
      </c>
      <c r="D79" s="9">
        <f>RU_Clean!D79</f>
        <v>43525</v>
      </c>
      <c r="E79" s="6"/>
      <c r="F79" s="6"/>
      <c r="G79" s="12">
        <f>IF(AND(ISNUMBER(RU_Clean!G79),ISNUMBER(RU_Clean!G78)),(RU_Clean!G79-RU_Clean!G78)/RU_Clean!G78*100,"")</f>
        <v>0.145348837209315</v>
      </c>
      <c r="H79" s="12">
        <f>IF(AND(ISNUMBER(RU_Clean!H79),ISNUMBER(RU_Clean!H78)),(RU_Clean!H79-RU_Clean!H78)/RU_Clean!H78*100,"")</f>
        <v>0.657894736842105</v>
      </c>
      <c r="I79" s="12">
        <f>IF(AND(ISNUMBER(RU_Clean!I79),ISNUMBER(RU_Clean!I78)),(RU_Clean!I79-RU_Clean!I78)/RU_Clean!I78*100,"")</f>
        <v>-0.848056537102465</v>
      </c>
      <c r="J79" s="12">
        <f>IF(AND(ISNUMBER(RU_Clean!J79),ISNUMBER(RU_Clean!J78)),(RU_Clean!J79-RU_Clean!J78)/RU_Clean!J78*100,"")</f>
        <v>0.070323488045023</v>
      </c>
      <c r="K79" s="12">
        <f>IF(AND(ISNUMBER(RU_Clean!K79),ISNUMBER(RU_Clean!K78)),(RU_Clean!K79-RU_Clean!K78)/RU_Clean!K78*100,"")</f>
        <v>0</v>
      </c>
      <c r="L79" s="12">
        <f>IF(AND(ISNUMBER(RU_Clean!L79),ISNUMBER(RU_Clean!L78)),(RU_Clean!L79-RU_Clean!L78)/RU_Clean!L78*100,"")</f>
        <v>0.87976539589442</v>
      </c>
      <c r="M79" s="12">
        <f>IF(AND(ISNUMBER(RU_Clean!M79),ISNUMBER(RU_Clean!M78)),(RU_Clean!M79-RU_Clean!M78)/RU_Clean!M78*100,"")</f>
        <v>2.23592906707788</v>
      </c>
      <c r="N79" s="12">
        <f>IF(AND(ISNUMBER(RU_Clean!N79),ISNUMBER(RU_Clean!N78)),(RU_Clean!N79-RU_Clean!N78)/RU_Clean!N78*100,"")</f>
        <v>0.661157024793386</v>
      </c>
      <c r="O79" s="12">
        <f>IF(AND(ISNUMBER(RU_Clean!O79),ISNUMBER(RU_Clean!O78)),(RU_Clean!O79-RU_Clean!O78)/RU_Clean!O78*100,"")</f>
        <v>0</v>
      </c>
      <c r="P79" s="12">
        <f>IF(AND(ISNUMBER(RU_Clean!P79),ISNUMBER(RU_Clean!P78)),(RU_Clean!P79-RU_Clean!P78)/RU_Clean!P78*100,"")</f>
        <v>-0.143163922691474</v>
      </c>
      <c r="Q79" s="12">
        <f>IF(AND(ISNUMBER(RU_Clean!Q79),ISNUMBER(RU_Clean!Q78)),(RU_Clean!Q79-RU_Clean!Q78)/RU_Clean!Q78*100,"")</f>
        <v>0.0748502994011934</v>
      </c>
      <c r="R79" s="12">
        <f>IF(AND(ISNUMBER(RU_Clean!R79),ISNUMBER(RU_Clean!R78)),(RU_Clean!R79-RU_Clean!R78)/RU_Clean!R78*100,"")</f>
        <v>0.193673337637174</v>
      </c>
      <c r="S79" s="12">
        <f>IF(AND(ISNUMBER(RU_Clean!S79),ISNUMBER(RU_Clean!S78)),(RU_Clean!S79-RU_Clean!S78)/RU_Clean!S78*100,"")</f>
        <v>0.436363636363632</v>
      </c>
      <c r="T79" s="12">
        <f>IF(AND(ISNUMBER(RU_Clean!T79),ISNUMBER(RU_Clean!T78)),(RU_Clean!T79-RU_Clean!T78)/RU_Clean!T78*100,"")</f>
        <v>0.0611995104039133</v>
      </c>
      <c r="U79" s="12">
        <f>IF(AND(ISNUMBER(RU_Clean!U79),ISNUMBER(RU_Clean!U78)),(RU_Clean!U79-RU_Clean!U78)/RU_Clean!U78*100,"")</f>
        <v>0.135409614082611</v>
      </c>
      <c r="V79" s="12">
        <f>IF(AND(ISNUMBER(RU_Clean!V79),ISNUMBER(RU_Clean!V78)),(RU_Clean!V79-RU_Clean!V78)/RU_Clean!V78*100,"")</f>
        <v>0.143163922691494</v>
      </c>
      <c r="W79" s="12">
        <f>IF(AND(ISNUMBER(RU_Clean!W79),ISNUMBER(RU_Clean!W78)),(RU_Clean!W79-RU_Clean!W78)/RU_Clean!W78*100,"")</f>
        <v>0.13651877133105</v>
      </c>
      <c r="X79" s="12">
        <f>IF(AND(ISNUMBER(RU_Clean!X79),ISNUMBER(RU_Clean!X78)),(RU_Clean!X79-RU_Clean!X78)/RU_Clean!X78*100,"")</f>
        <v>0.336700336700337</v>
      </c>
      <c r="Y79" s="12">
        <f>IF(AND(ISNUMBER(RU_Clean!Y79),ISNUMBER(RU_Clean!Y78)),(RU_Clean!Y79-RU_Clean!Y78)/RU_Clean!Y78*100,"")</f>
        <v>0.93930635838149</v>
      </c>
      <c r="Z79" s="12">
        <f>IF(AND(ISNUMBER(RU_Clean!Z79),ISNUMBER(RU_Clean!Z78)),(RU_Clean!Z79-RU_Clean!Z78)/RU_Clean!Z78*100,"")</f>
        <v>0.0695894224078099</v>
      </c>
      <c r="AA79" s="12">
        <f>IF(AND(ISNUMBER(RU_Clean!AA79),ISNUMBER(RU_Clean!AA78)),(RU_Clean!AA79-RU_Clean!AA78)/RU_Clean!AA78*100,"")</f>
        <v>0.412087912087908</v>
      </c>
      <c r="AB79" s="12">
        <f>IF(AND(ISNUMBER(RU_Clean!AB79),ISNUMBER(RU_Clean!AB78)),(RU_Clean!AB79-RU_Clean!AB78)/RU_Clean!AB78*100,"")</f>
        <v>0.56497175141242</v>
      </c>
      <c r="AC79" s="12">
        <f>IF(AND(ISNUMBER(RU_Clean!AC79),ISNUMBER(RU_Clean!AC78)),(RU_Clean!AC79-RU_Clean!AC78)/RU_Clean!AC78*100,"")</f>
        <v>0.437636761487961</v>
      </c>
      <c r="AD79" s="12">
        <f>IF(AND(ISNUMBER(RU_Clean!AD79),ISNUMBER(RU_Clean!AD78)),(RU_Clean!AD79-RU_Clean!AD78)/RU_Clean!AD78*100,"")</f>
        <v>0</v>
      </c>
      <c r="AE79" s="12">
        <f>IF(AND(ISNUMBER(RU_Clean!AE79),ISNUMBER(RU_Clean!AE78)),(RU_Clean!AE79-RU_Clean!AE78)/RU_Clean!AE78*100,"")</f>
        <v>-0.521998508575681</v>
      </c>
      <c r="AF79" s="12">
        <f>IF(AND(ISNUMBER(RU_Clean!AF79),ISNUMBER(RU_Clean!AF78)),(RU_Clean!AF79-RU_Clean!AF78)/RU_Clean!AF78*100,"")</f>
        <v>0.218340611353699</v>
      </c>
      <c r="AG79" s="12">
        <f>IF(AND(ISNUMBER(RU_Clean!AG79),ISNUMBER(RU_Clean!AG78)),(RU_Clean!AG79-RU_Clean!AG78)/RU_Clean!AG78*100,"")</f>
        <v>0.357398141529664</v>
      </c>
      <c r="AH79" s="12">
        <f>IF(AND(ISNUMBER(RU_Clean!AH79),ISNUMBER(RU_Clean!AH78)),(RU_Clean!AH79-RU_Clean!AH78)/RU_Clean!AH78*100,"")</f>
        <v>0.321066930106216</v>
      </c>
    </row>
    <row r="80" spans="1:34">
      <c r="A80" s="6">
        <f>RU_Clean!A80</f>
        <v>2019</v>
      </c>
      <c r="B80" s="6">
        <f>RU_Clean!B80</f>
        <v>4</v>
      </c>
      <c r="C80" s="6" t="str">
        <f>RU_Clean!C80</f>
        <v>April</v>
      </c>
      <c r="D80" s="9">
        <f>RU_Clean!D80</f>
        <v>43556</v>
      </c>
      <c r="E80" s="6"/>
      <c r="F80" s="6"/>
      <c r="G80" s="12">
        <f>IF(AND(ISNUMBER(RU_Clean!G80),ISNUMBER(RU_Clean!G79)),(RU_Clean!G80-RU_Clean!G79)/RU_Clean!G79*100,"")</f>
        <v>0.181422351233672</v>
      </c>
      <c r="H80" s="12">
        <f>IF(AND(ISNUMBER(RU_Clean!H80),ISNUMBER(RU_Clean!H79)),(RU_Clean!H80-RU_Clean!H79)/RU_Clean!H79*100,"")</f>
        <v>1.79738562091503</v>
      </c>
      <c r="I80" s="12">
        <f>IF(AND(ISNUMBER(RU_Clean!I80),ISNUMBER(RU_Clean!I79)),(RU_Clean!I80-RU_Clean!I79)/RU_Clean!I79*100,"")</f>
        <v>-1.53243050605845</v>
      </c>
      <c r="J80" s="12">
        <f>IF(AND(ISNUMBER(RU_Clean!J80),ISNUMBER(RU_Clean!J79)),(RU_Clean!J80-RU_Clean!J79)/RU_Clean!J79*100,"")</f>
        <v>0.0702740688685835</v>
      </c>
      <c r="K80" s="12">
        <f>IF(AND(ISNUMBER(RU_Clean!K80),ISNUMBER(RU_Clean!K79)),(RU_Clean!K80-RU_Clean!K79)/RU_Clean!K79*100,"")</f>
        <v>0</v>
      </c>
      <c r="L80" s="12">
        <f>IF(AND(ISNUMBER(RU_Clean!L80),ISNUMBER(RU_Clean!L79)),(RU_Clean!L80-RU_Clean!L79)/RU_Clean!L79*100,"")</f>
        <v>3.23401162790699</v>
      </c>
      <c r="M80" s="12">
        <f>IF(AND(ISNUMBER(RU_Clean!M80),ISNUMBER(RU_Clean!M79)),(RU_Clean!M80-RU_Clean!M79)/RU_Clean!M79*100,"")</f>
        <v>3.92156862745099</v>
      </c>
      <c r="N80" s="12">
        <f>IF(AND(ISNUMBER(RU_Clean!N80),ISNUMBER(RU_Clean!N79)),(RU_Clean!N80-RU_Clean!N79)/RU_Clean!N79*100,"")</f>
        <v>1.27257799671593</v>
      </c>
      <c r="O80" s="12">
        <f>IF(AND(ISNUMBER(RU_Clean!O80),ISNUMBER(RU_Clean!O79)),(RU_Clean!O80-RU_Clean!O79)/RU_Clean!O79*100,"")</f>
        <v>0.41284403669725</v>
      </c>
      <c r="P80" s="12">
        <f>IF(AND(ISNUMBER(RU_Clean!P80),ISNUMBER(RU_Clean!P79)),(RU_Clean!P80-RU_Clean!P79)/RU_Clean!P79*100,"")</f>
        <v>0.143369175627232</v>
      </c>
      <c r="Q80" s="12">
        <f>IF(AND(ISNUMBER(RU_Clean!Q80),ISNUMBER(RU_Clean!Q79)),(RU_Clean!Q80-RU_Clean!Q79)/RU_Clean!Q79*100,"")</f>
        <v>0.112191473448022</v>
      </c>
      <c r="R80" s="12">
        <f>IF(AND(ISNUMBER(RU_Clean!R80),ISNUMBER(RU_Clean!R79)),(RU_Clean!R80-RU_Clean!R79)/RU_Clean!R79*100,"")</f>
        <v>0.0966494845360861</v>
      </c>
      <c r="S80" s="12">
        <f>IF(AND(ISNUMBER(RU_Clean!S80),ISNUMBER(RU_Clean!S79)),(RU_Clean!S80-RU_Clean!S79)/RU_Clean!S79*100,"")</f>
        <v>1.01375814627082</v>
      </c>
      <c r="T80" s="12">
        <f>IF(AND(ISNUMBER(RU_Clean!T80),ISNUMBER(RU_Clean!T79)),(RU_Clean!T80-RU_Clean!T79)/RU_Clean!T79*100,"")</f>
        <v>0.183486238532117</v>
      </c>
      <c r="U80" s="12">
        <f>IF(AND(ISNUMBER(RU_Clean!U80),ISNUMBER(RU_Clean!U79)),(RU_Clean!U80-RU_Clean!U79)/RU_Clean!U79*100,"")</f>
        <v>0.169033130493577</v>
      </c>
      <c r="V80" s="12">
        <f>IF(AND(ISNUMBER(RU_Clean!V80),ISNUMBER(RU_Clean!V79)),(RU_Clean!V80-RU_Clean!V79)/RU_Clean!V79*100,"")</f>
        <v>0.178699070764832</v>
      </c>
      <c r="W80" s="12">
        <f>IF(AND(ISNUMBER(RU_Clean!W80),ISNUMBER(RU_Clean!W79)),(RU_Clean!W80-RU_Clean!W79)/RU_Clean!W79*100,"")</f>
        <v>0.20449897750512</v>
      </c>
      <c r="X80" s="12">
        <f>IF(AND(ISNUMBER(RU_Clean!X80),ISNUMBER(RU_Clean!X79)),(RU_Clean!X80-RU_Clean!X79)/RU_Clean!X79*100,"")</f>
        <v>0.369127516778531</v>
      </c>
      <c r="Y80" s="12">
        <f>IF(AND(ISNUMBER(RU_Clean!Y80),ISNUMBER(RU_Clean!Y79)),(RU_Clean!Y80-RU_Clean!Y79)/RU_Clean!Y79*100,"")</f>
        <v>0.214745884037231</v>
      </c>
      <c r="Z80" s="12">
        <f>IF(AND(ISNUMBER(RU_Clean!Z80),ISNUMBER(RU_Clean!Z79)),(RU_Clean!Z80-RU_Clean!Z79)/RU_Clean!Z79*100,"")</f>
        <v>-0.034770514603624</v>
      </c>
      <c r="AA80" s="12">
        <f>IF(AND(ISNUMBER(RU_Clean!AA80),ISNUMBER(RU_Clean!AA79)),(RU_Clean!AA80-RU_Clean!AA79)/RU_Clean!AA79*100,"")</f>
        <v>0.239398084815337</v>
      </c>
      <c r="AB80" s="12">
        <f>IF(AND(ISNUMBER(RU_Clean!AB80),ISNUMBER(RU_Clean!AB79)),(RU_Clean!AB80-RU_Clean!AB79)/RU_Clean!AB79*100,"")</f>
        <v>0.120385232744788</v>
      </c>
      <c r="AC80" s="12">
        <f>IF(AND(ISNUMBER(RU_Clean!AC80),ISNUMBER(RU_Clean!AC79)),(RU_Clean!AC80-RU_Clean!AC79)/RU_Clean!AC79*100,"")</f>
        <v>0.544662309368192</v>
      </c>
      <c r="AD80" s="12">
        <f>IF(AND(ISNUMBER(RU_Clean!AD80),ISNUMBER(RU_Clean!AD79)),(RU_Clean!AD80-RU_Clean!AD79)/RU_Clean!AD79*100,"")</f>
        <v>0.432468396540238</v>
      </c>
      <c r="AE80" s="12">
        <f>IF(AND(ISNUMBER(RU_Clean!AE80),ISNUMBER(RU_Clean!AE79)),(RU_Clean!AE80-RU_Clean!AE79)/RU_Clean!AE79*100,"")</f>
        <v>0</v>
      </c>
      <c r="AF80" s="12">
        <f>IF(AND(ISNUMBER(RU_Clean!AF80),ISNUMBER(RU_Clean!AF79)),(RU_Clean!AF80-RU_Clean!AF79)/RU_Clean!AF79*100,"")</f>
        <v>0.181554103122731</v>
      </c>
      <c r="AG80" s="12">
        <f>IF(AND(ISNUMBER(RU_Clean!AG80),ISNUMBER(RU_Clean!AG79)),(RU_Clean!AG80-RU_Clean!AG79)/RU_Clean!AG79*100,"")</f>
        <v>0.569800569800558</v>
      </c>
      <c r="AH80" s="12">
        <f>IF(AND(ISNUMBER(RU_Clean!AH80),ISNUMBER(RU_Clean!AH79)),(RU_Clean!AH80-RU_Clean!AH79)/RU_Clean!AH79*100,"")</f>
        <v>0.806253077301802</v>
      </c>
    </row>
    <row r="81" spans="1:34">
      <c r="A81" s="6">
        <f>RU_Clean!A81</f>
        <v>2019</v>
      </c>
      <c r="B81" s="6">
        <f>RU_Clean!B81</f>
        <v>5</v>
      </c>
      <c r="C81" s="6" t="str">
        <f>RU_Clean!C81</f>
        <v>May</v>
      </c>
      <c r="D81" s="9">
        <f>RU_Clean!D81</f>
        <v>43586</v>
      </c>
      <c r="E81" s="6"/>
      <c r="F81" s="6"/>
      <c r="G81" s="12">
        <f>IF(AND(ISNUMBER(RU_Clean!G81),ISNUMBER(RU_Clean!G80)),(RU_Clean!G81-RU_Clean!G80)/RU_Clean!G80*100,"")</f>
        <v>0.181093806591815</v>
      </c>
      <c r="H81" s="12">
        <f>IF(AND(ISNUMBER(RU_Clean!H81),ISNUMBER(RU_Clean!H80)),(RU_Clean!H81-RU_Clean!H80)/RU_Clean!H80*100,"")</f>
        <v>1.76565008025682</v>
      </c>
      <c r="I81" s="12">
        <f>IF(AND(ISNUMBER(RU_Clean!I81),ISNUMBER(RU_Clean!I80)),(RU_Clean!I81-RU_Clean!I80)/RU_Clean!I80*100,"")</f>
        <v>-1.55627940644228</v>
      </c>
      <c r="J81" s="12">
        <f>IF(AND(ISNUMBER(RU_Clean!J81),ISNUMBER(RU_Clean!J80)),(RU_Clean!J81-RU_Clean!J80)/RU_Clean!J80*100,"")</f>
        <v>0.0702247191011196</v>
      </c>
      <c r="K81" s="12">
        <f>IF(AND(ISNUMBER(RU_Clean!K81),ISNUMBER(RU_Clean!K80)),(RU_Clean!K81-RU_Clean!K80)/RU_Clean!K80*100,"")</f>
        <v>0</v>
      </c>
      <c r="L81" s="12">
        <f>IF(AND(ISNUMBER(RU_Clean!L81),ISNUMBER(RU_Clean!L80)),(RU_Clean!L81-RU_Clean!L80)/RU_Clean!L80*100,"")</f>
        <v>3.13269975360788</v>
      </c>
      <c r="M81" s="12">
        <f>IF(AND(ISNUMBER(RU_Clean!M81),ISNUMBER(RU_Clean!M80)),(RU_Clean!M81-RU_Clean!M80)/RU_Clean!M80*100,"")</f>
        <v>3.77358490566037</v>
      </c>
      <c r="N81" s="12">
        <f>IF(AND(ISNUMBER(RU_Clean!N81),ISNUMBER(RU_Clean!N80)),(RU_Clean!N81-RU_Clean!N80)/RU_Clean!N80*100,"")</f>
        <v>1.25658694770978</v>
      </c>
      <c r="O81" s="12">
        <f>IF(AND(ISNUMBER(RU_Clean!O81),ISNUMBER(RU_Clean!O80)),(RU_Clean!O81-RU_Clean!O80)/RU_Clean!O80*100,"")</f>
        <v>0.411146642302424</v>
      </c>
      <c r="P81" s="12">
        <f>IF(AND(ISNUMBER(RU_Clean!P81),ISNUMBER(RU_Clean!P80)),(RU_Clean!P81-RU_Clean!P80)/RU_Clean!P80*100,"")</f>
        <v>0.143163922691494</v>
      </c>
      <c r="Q81" s="12">
        <f>IF(AND(ISNUMBER(RU_Clean!Q81),ISNUMBER(RU_Clean!Q80)),(RU_Clean!Q81-RU_Clean!Q80)/RU_Clean!Q80*100,"")</f>
        <v>0.11206574523721</v>
      </c>
      <c r="R81" s="12">
        <f>IF(AND(ISNUMBER(RU_Clean!R81),ISNUMBER(RU_Clean!R80)),(RU_Clean!R81-RU_Clean!R80)/RU_Clean!R80*100,"")</f>
        <v>0.0965561635017739</v>
      </c>
      <c r="S81" s="12">
        <f>IF(AND(ISNUMBER(RU_Clean!S81),ISNUMBER(RU_Clean!S80)),(RU_Clean!S81-RU_Clean!S80)/RU_Clean!S80*100,"")</f>
        <v>1.00358422939068</v>
      </c>
      <c r="T81" s="12">
        <f>IF(AND(ISNUMBER(RU_Clean!T81),ISNUMBER(RU_Clean!T80)),(RU_Clean!T81-RU_Clean!T80)/RU_Clean!T80*100,"")</f>
        <v>0.183150183150173</v>
      </c>
      <c r="U81" s="12">
        <f>IF(AND(ISNUMBER(RU_Clean!U81),ISNUMBER(RU_Clean!U80)),(RU_Clean!U81-RU_Clean!U80)/RU_Clean!U80*100,"")</f>
        <v>0.168747890651367</v>
      </c>
      <c r="V81" s="12">
        <f>IF(AND(ISNUMBER(RU_Clean!V81),ISNUMBER(RU_Clean!V80)),(RU_Clean!V81-RU_Clean!V80)/RU_Clean!V80*100,"")</f>
        <v>0.178380306814128</v>
      </c>
      <c r="W81" s="12">
        <f>IF(AND(ISNUMBER(RU_Clean!W81),ISNUMBER(RU_Clean!W80)),(RU_Clean!W81-RU_Clean!W80)/RU_Clean!W80*100,"")</f>
        <v>0.204081632653069</v>
      </c>
      <c r="X81" s="12">
        <f>IF(AND(ISNUMBER(RU_Clean!X81),ISNUMBER(RU_Clean!X80)),(RU_Clean!X81-RU_Clean!X80)/RU_Clean!X80*100,"")</f>
        <v>0.367769976596445</v>
      </c>
      <c r="Y81" s="12">
        <f>IF(AND(ISNUMBER(RU_Clean!Y81),ISNUMBER(RU_Clean!Y80)),(RU_Clean!Y81-RU_Clean!Y80)/RU_Clean!Y80*100,"")</f>
        <v>0.214285714285722</v>
      </c>
      <c r="Z81" s="12">
        <f>IF(AND(ISNUMBER(RU_Clean!Z81),ISNUMBER(RU_Clean!Z80)),(RU_Clean!Z81-RU_Clean!Z80)/RU_Clean!Z80*100,"")</f>
        <v>-0.0347826086956601</v>
      </c>
      <c r="AA81" s="12">
        <f>IF(AND(ISNUMBER(RU_Clean!AA81),ISNUMBER(RU_Clean!AA80)),(RU_Clean!AA81-RU_Clean!AA80)/RU_Clean!AA80*100,"")</f>
        <v>0.238826339133398</v>
      </c>
      <c r="AB81" s="12">
        <f>IF(AND(ISNUMBER(RU_Clean!AB81),ISNUMBER(RU_Clean!AB80)),(RU_Clean!AB81-RU_Clean!AB80)/RU_Clean!AB80*100,"")</f>
        <v>0.120240480961928</v>
      </c>
      <c r="AC81" s="12">
        <f>IF(AND(ISNUMBER(RU_Clean!AC81),ISNUMBER(RU_Clean!AC80)),(RU_Clean!AC81-RU_Clean!AC80)/RU_Clean!AC80*100,"")</f>
        <v>0.541711809317443</v>
      </c>
      <c r="AD81" s="12">
        <f>IF(AND(ISNUMBER(RU_Clean!AD81),ISNUMBER(RU_Clean!AD80)),(RU_Clean!AD81-RU_Clean!AD80)/RU_Clean!AD80*100,"")</f>
        <v>0.430606160980461</v>
      </c>
      <c r="AE81" s="12">
        <f>IF(AND(ISNUMBER(RU_Clean!AE81),ISNUMBER(RU_Clean!AE80)),(RU_Clean!AE81-RU_Clean!AE80)/RU_Clean!AE80*100,"")</f>
        <v>0</v>
      </c>
      <c r="AF81" s="12">
        <f>IF(AND(ISNUMBER(RU_Clean!AF81),ISNUMBER(RU_Clean!AF80)),(RU_Clean!AF81-RU_Clean!AF80)/RU_Clean!AF80*100,"")</f>
        <v>0.181225081551287</v>
      </c>
      <c r="AG81" s="12">
        <f>IF(AND(ISNUMBER(RU_Clean!AG81),ISNUMBER(RU_Clean!AG80)),(RU_Clean!AG81-RU_Clean!AG80)/RU_Clean!AG80*100,"")</f>
        <v>0.566572237960348</v>
      </c>
      <c r="AH81" s="12">
        <f>IF(AND(ISNUMBER(RU_Clean!AH81),ISNUMBER(RU_Clean!AH80)),(RU_Clean!AH81-RU_Clean!AH80)/RU_Clean!AH80*100,"")</f>
        <v>0.799804627877182</v>
      </c>
    </row>
    <row r="82" spans="1:34">
      <c r="A82" s="6">
        <f>RU_Clean!A82</f>
        <v>2019</v>
      </c>
      <c r="B82" s="6">
        <f>RU_Clean!B82</f>
        <v>6</v>
      </c>
      <c r="C82" s="6" t="str">
        <f>RU_Clean!C82</f>
        <v>June</v>
      </c>
      <c r="D82" s="9">
        <f>RU_Clean!D82</f>
        <v>43617</v>
      </c>
      <c r="E82" s="6"/>
      <c r="F82" s="6"/>
      <c r="G82" s="12">
        <f>IF(AND(ISNUMBER(RU_Clean!G82),ISNUMBER(RU_Clean!G81)),(RU_Clean!G82-RU_Clean!G81)/RU_Clean!G81*100,"")</f>
        <v>0.289226319595067</v>
      </c>
      <c r="H82" s="12">
        <f>IF(AND(ISNUMBER(RU_Clean!H82),ISNUMBER(RU_Clean!H81)),(RU_Clean!H82-RU_Clean!H81)/RU_Clean!H81*100,"")</f>
        <v>2.27129337539432</v>
      </c>
      <c r="I82" s="12">
        <f>IF(AND(ISNUMBER(RU_Clean!I82),ISNUMBER(RU_Clean!I81)),(RU_Clean!I82-RU_Clean!I81)/RU_Clean!I81*100,"")</f>
        <v>1.32352941176471</v>
      </c>
      <c r="J82" s="12">
        <f>IF(AND(ISNUMBER(RU_Clean!J82),ISNUMBER(RU_Clean!J81)),(RU_Clean!J82-RU_Clean!J81)/RU_Clean!J81*100,"")</f>
        <v>0.561403508771938</v>
      </c>
      <c r="K82" s="12">
        <f>IF(AND(ISNUMBER(RU_Clean!K82),ISNUMBER(RU_Clean!K81)),(RU_Clean!K82-RU_Clean!K81)/RU_Clean!K81*100,"")</f>
        <v>0.163934426229511</v>
      </c>
      <c r="L82" s="12">
        <f>IF(AND(ISNUMBER(RU_Clean!L82),ISNUMBER(RU_Clean!L81)),(RU_Clean!L82-RU_Clean!L81)/RU_Clean!L81*100,"")</f>
        <v>0.204778156996595</v>
      </c>
      <c r="M82" s="12">
        <f>IF(AND(ISNUMBER(RU_Clean!M82),ISNUMBER(RU_Clean!M81)),(RU_Clean!M82-RU_Clean!M81)/RU_Clean!M81*100,"")</f>
        <v>5.24475524475525</v>
      </c>
      <c r="N82" s="12">
        <f>IF(AND(ISNUMBER(RU_Clean!N82),ISNUMBER(RU_Clean!N81)),(RU_Clean!N82-RU_Clean!N81)/RU_Clean!N81*100,"")</f>
        <v>2.72217774219376</v>
      </c>
      <c r="O82" s="12">
        <f>IF(AND(ISNUMBER(RU_Clean!O82),ISNUMBER(RU_Clean!O81)),(RU_Clean!O82-RU_Clean!O81)/RU_Clean!O81*100,"")</f>
        <v>1.00090991810737</v>
      </c>
      <c r="P82" s="12">
        <f>IF(AND(ISNUMBER(RU_Clean!P82),ISNUMBER(RU_Clean!P81)),(RU_Clean!P82-RU_Clean!P81)/RU_Clean!P81*100,"")</f>
        <v>0.500357398141522</v>
      </c>
      <c r="Q82" s="12">
        <f>IF(AND(ISNUMBER(RU_Clean!Q82),ISNUMBER(RU_Clean!Q81)),(RU_Clean!Q82-RU_Clean!Q81)/RU_Clean!Q81*100,"")</f>
        <v>0.149253731343275</v>
      </c>
      <c r="R82" s="12">
        <f>IF(AND(ISNUMBER(RU_Clean!R82),ISNUMBER(RU_Clean!R81)),(RU_Clean!R82-RU_Clean!R81)/RU_Clean!R81*100,"")</f>
        <v>0.257234726688107</v>
      </c>
      <c r="S82" s="12">
        <f>IF(AND(ISNUMBER(RU_Clean!S82),ISNUMBER(RU_Clean!S81)),(RU_Clean!S82-RU_Clean!S81)/RU_Clean!S81*100,"")</f>
        <v>1.27750177430801</v>
      </c>
      <c r="T82" s="12">
        <f>IF(AND(ISNUMBER(RU_Clean!T82),ISNUMBER(RU_Clean!T81)),(RU_Clean!T82-RU_Clean!T81)/RU_Clean!T81*100,"")</f>
        <v>0.487507617306527</v>
      </c>
      <c r="U82" s="12">
        <f>IF(AND(ISNUMBER(RU_Clean!U82),ISNUMBER(RU_Clean!U81)),(RU_Clean!U82-RU_Clean!U81)/RU_Clean!U81*100,"")</f>
        <v>0.134770889487863</v>
      </c>
      <c r="V82" s="12">
        <f>IF(AND(ISNUMBER(RU_Clean!V82),ISNUMBER(RU_Clean!V81)),(RU_Clean!V82-RU_Clean!V81)/RU_Clean!V81*100,"")</f>
        <v>0</v>
      </c>
      <c r="W82" s="12">
        <f>IF(AND(ISNUMBER(RU_Clean!W82),ISNUMBER(RU_Clean!W81)),(RU_Clean!W82-RU_Clean!W81)/RU_Clean!W81*100,"")</f>
        <v>0.067888662593343</v>
      </c>
      <c r="X82" s="12">
        <f>IF(AND(ISNUMBER(RU_Clean!X82),ISNUMBER(RU_Clean!X81)),(RU_Clean!X82-RU_Clean!X81)/RU_Clean!X81*100,"")</f>
        <v>-0.466355762824776</v>
      </c>
      <c r="Y82" s="12">
        <f>IF(AND(ISNUMBER(RU_Clean!Y82),ISNUMBER(RU_Clean!Y81)),(RU_Clean!Y82-RU_Clean!Y81)/RU_Clean!Y81*100,"")</f>
        <v>0.641482537419798</v>
      </c>
      <c r="Z82" s="12">
        <f>IF(AND(ISNUMBER(RU_Clean!Z82),ISNUMBER(RU_Clean!Z81)),(RU_Clean!Z82-RU_Clean!Z81)/RU_Clean!Z81*100,"")</f>
        <v>0.0695894224078099</v>
      </c>
      <c r="AA82" s="12">
        <f>IF(AND(ISNUMBER(RU_Clean!AA82),ISNUMBER(RU_Clean!AA81)),(RU_Clean!AA82-RU_Clean!AA81)/RU_Clean!AA81*100,"")</f>
        <v>0.340367597004765</v>
      </c>
      <c r="AB82" s="12">
        <f>IF(AND(ISNUMBER(RU_Clean!AB82),ISNUMBER(RU_Clean!AB81)),(RU_Clean!AB82-RU_Clean!AB81)/RU_Clean!AB81*100,"")</f>
        <v>-0.240192153722987</v>
      </c>
      <c r="AC82" s="12">
        <f>IF(AND(ISNUMBER(RU_Clean!AC82),ISNUMBER(RU_Clean!AC81)),(RU_Clean!AC82-RU_Clean!AC81)/RU_Clean!AC81*100,"")</f>
        <v>0.287356321839085</v>
      </c>
      <c r="AD82" s="12">
        <f>IF(AND(ISNUMBER(RU_Clean!AD82),ISNUMBER(RU_Clean!AD81)),(RU_Clean!AD82-RU_Clean!AD81)/RU_Clean!AD81*100,"")</f>
        <v>0.593667546174146</v>
      </c>
      <c r="AE82" s="12">
        <f>IF(AND(ISNUMBER(RU_Clean!AE82),ISNUMBER(RU_Clean!AE81)),(RU_Clean!AE82-RU_Clean!AE81)/RU_Clean!AE81*100,"")</f>
        <v>0.674662668665671</v>
      </c>
      <c r="AF82" s="12">
        <f>IF(AND(ISNUMBER(RU_Clean!AF82),ISNUMBER(RU_Clean!AF81)),(RU_Clean!AF82-RU_Clean!AF81)/RU_Clean!AF81*100,"")</f>
        <v>0.289435600578875</v>
      </c>
      <c r="AG82" s="12">
        <f>IF(AND(ISNUMBER(RU_Clean!AG82),ISNUMBER(RU_Clean!AG81)),(RU_Clean!AG82-RU_Clean!AG81)/RU_Clean!AG81*100,"")</f>
        <v>0.633802816901412</v>
      </c>
      <c r="AH82" s="12">
        <f>IF(AND(ISNUMBER(RU_Clean!AH82),ISNUMBER(RU_Clean!AH81)),(RU_Clean!AH82-RU_Clean!AH81)/RU_Clean!AH81*100,"")</f>
        <v>1.23561477892186</v>
      </c>
    </row>
    <row r="83" spans="1:34">
      <c r="A83" s="6">
        <f>RU_Clean!A83</f>
        <v>2019</v>
      </c>
      <c r="B83" s="6">
        <f>RU_Clean!B83</f>
        <v>7</v>
      </c>
      <c r="C83" s="6" t="str">
        <f>RU_Clean!C83</f>
        <v>July</v>
      </c>
      <c r="D83" s="9">
        <f>RU_Clean!D83</f>
        <v>43647</v>
      </c>
      <c r="E83" s="6"/>
      <c r="F83" s="6"/>
      <c r="G83" s="12">
        <f>IF(AND(ISNUMBER(RU_Clean!G83),ISNUMBER(RU_Clean!G82)),(RU_Clean!G83-RU_Clean!G82)/RU_Clean!G82*100,"")</f>
        <v>0.432588320115373</v>
      </c>
      <c r="H83" s="12">
        <f>IF(AND(ISNUMBER(RU_Clean!H83),ISNUMBER(RU_Clean!H82)),(RU_Clean!H83-RU_Clean!H82)/RU_Clean!H82*100,"")</f>
        <v>0.370141887723624</v>
      </c>
      <c r="I83" s="12">
        <f>IF(AND(ISNUMBER(RU_Clean!I83),ISNUMBER(RU_Clean!I82)),(RU_Clean!I83-RU_Clean!I82)/RU_Clean!I82*100,"")</f>
        <v>1.59651669085631</v>
      </c>
      <c r="J83" s="12">
        <f>IF(AND(ISNUMBER(RU_Clean!J83),ISNUMBER(RU_Clean!J82)),(RU_Clean!J83-RU_Clean!J82)/RU_Clean!J82*100,"")</f>
        <v>0.488485694347515</v>
      </c>
      <c r="K83" s="12">
        <f>IF(AND(ISNUMBER(RU_Clean!K83),ISNUMBER(RU_Clean!K82)),(RU_Clean!K83-RU_Clean!K82)/RU_Clean!K82*100,"")</f>
        <v>0.245499181669392</v>
      </c>
      <c r="L83" s="12">
        <f>IF(AND(ISNUMBER(RU_Clean!L83),ISNUMBER(RU_Clean!L82)),(RU_Clean!L83-RU_Clean!L82)/RU_Clean!L82*100,"")</f>
        <v>2.3841961852861</v>
      </c>
      <c r="M83" s="12">
        <f>IF(AND(ISNUMBER(RU_Clean!M83),ISNUMBER(RU_Clean!M82)),(RU_Clean!M83-RU_Clean!M82)/RU_Clean!M82*100,"")</f>
        <v>6.51162790697675</v>
      </c>
      <c r="N83" s="12">
        <f>IF(AND(ISNUMBER(RU_Clean!N83),ISNUMBER(RU_Clean!N82)),(RU_Clean!N83-RU_Clean!N82)/RU_Clean!N82*100,"")</f>
        <v>1.32501948558066</v>
      </c>
      <c r="O83" s="12">
        <f>IF(AND(ISNUMBER(RU_Clean!O83),ISNUMBER(RU_Clean!O82)),(RU_Clean!O83-RU_Clean!O82)/RU_Clean!O82*100,"")</f>
        <v>0.090090090090085</v>
      </c>
      <c r="P83" s="12">
        <f>IF(AND(ISNUMBER(RU_Clean!P83),ISNUMBER(RU_Clean!P82)),(RU_Clean!P83-RU_Clean!P82)/RU_Clean!P82*100,"")</f>
        <v>0.782361308677094</v>
      </c>
      <c r="Q83" s="12">
        <f>IF(AND(ISNUMBER(RU_Clean!Q83),ISNUMBER(RU_Clean!Q82)),(RU_Clean!Q83-RU_Clean!Q82)/RU_Clean!Q82*100,"")</f>
        <v>0.372578241430701</v>
      </c>
      <c r="R83" s="12">
        <f>IF(AND(ISNUMBER(RU_Clean!R83),ISNUMBER(RU_Clean!R82)),(RU_Clean!R83-RU_Clean!R82)/RU_Clean!R82*100,"")</f>
        <v>0.192431045542003</v>
      </c>
      <c r="S83" s="12">
        <f>IF(AND(ISNUMBER(RU_Clean!S83),ISNUMBER(RU_Clean!S82)),(RU_Clean!S83-RU_Clean!S82)/RU_Clean!S82*100,"")</f>
        <v>1.40154169586545</v>
      </c>
      <c r="T83" s="12">
        <f>IF(AND(ISNUMBER(RU_Clean!T83),ISNUMBER(RU_Clean!T82)),(RU_Clean!T83-RU_Clean!T82)/RU_Clean!T82*100,"")</f>
        <v>0.181928441479674</v>
      </c>
      <c r="U83" s="12">
        <f>IF(AND(ISNUMBER(RU_Clean!U83),ISNUMBER(RU_Clean!U82)),(RU_Clean!U83-RU_Clean!U82)/RU_Clean!U82*100,"")</f>
        <v>0.201884253028271</v>
      </c>
      <c r="V83" s="12">
        <f>IF(AND(ISNUMBER(RU_Clean!V83),ISNUMBER(RU_Clean!V82)),(RU_Clean!V83-RU_Clean!V82)/RU_Clean!V82*100,"")</f>
        <v>0.0712250712250672</v>
      </c>
      <c r="W83" s="12">
        <f>IF(AND(ISNUMBER(RU_Clean!W83),ISNUMBER(RU_Clean!W82)),(RU_Clean!W83-RU_Clean!W82)/RU_Clean!W82*100,"")</f>
        <v>0.135685210312068</v>
      </c>
      <c r="X83" s="12">
        <f>IF(AND(ISNUMBER(RU_Clean!X83),ISNUMBER(RU_Clean!X82)),(RU_Clean!X83-RU_Clean!X82)/RU_Clean!X82*100,"")</f>
        <v>0.803212851405615</v>
      </c>
      <c r="Y83" s="12">
        <f>IF(AND(ISNUMBER(RU_Clean!Y83),ISNUMBER(RU_Clean!Y82)),(RU_Clean!Y83-RU_Clean!Y82)/RU_Clean!Y82*100,"")</f>
        <v>-1.34560906515579</v>
      </c>
      <c r="Z83" s="12">
        <f>IF(AND(ISNUMBER(RU_Clean!Z83),ISNUMBER(RU_Clean!Z82)),(RU_Clean!Z83-RU_Clean!Z82)/RU_Clean!Z82*100,"")</f>
        <v>0.278164116828913</v>
      </c>
      <c r="AA83" s="12">
        <f>IF(AND(ISNUMBER(RU_Clean!AA83),ISNUMBER(RU_Clean!AA82)),(RU_Clean!AA83-RU_Clean!AA82)/RU_Clean!AA82*100,"")</f>
        <v>0.33921302578019</v>
      </c>
      <c r="AB83" s="12">
        <f>IF(AND(ISNUMBER(RU_Clean!AB83),ISNUMBER(RU_Clean!AB82)),(RU_Clean!AB83-RU_Clean!AB82)/RU_Clean!AB82*100,"")</f>
        <v>0.802568218298556</v>
      </c>
      <c r="AC83" s="12">
        <f>IF(AND(ISNUMBER(RU_Clean!AC83),ISNUMBER(RU_Clean!AC82)),(RU_Clean!AC83-RU_Clean!AC82)/RU_Clean!AC82*100,"")</f>
        <v>0.64469914040115</v>
      </c>
      <c r="AD83" s="12">
        <f>IF(AND(ISNUMBER(RU_Clean!AD83),ISNUMBER(RU_Clean!AD82)),(RU_Clean!AD83-RU_Clean!AD82)/RU_Clean!AD82*100,"")</f>
        <v>0.983606557377049</v>
      </c>
      <c r="AE83" s="12">
        <f>IF(AND(ISNUMBER(RU_Clean!AE83),ISNUMBER(RU_Clean!AE82)),(RU_Clean!AE83-RU_Clean!AE82)/RU_Clean!AE82*100,"")</f>
        <v>1.04244229337303</v>
      </c>
      <c r="AF83" s="12">
        <f>IF(AND(ISNUMBER(RU_Clean!AF83),ISNUMBER(RU_Clean!AF82)),(RU_Clean!AF83-RU_Clean!AF82)/RU_Clean!AF82*100,"")</f>
        <v>0.649350649350653</v>
      </c>
      <c r="AG83" s="12">
        <f>IF(AND(ISNUMBER(RU_Clean!AG83),ISNUMBER(RU_Clean!AG82)),(RU_Clean!AG83-RU_Clean!AG82)/RU_Clean!AG82*100,"")</f>
        <v>0.909727081875426</v>
      </c>
      <c r="AH83" s="12">
        <f>IF(AND(ISNUMBER(RU_Clean!AH83),ISNUMBER(RU_Clean!AH82)),(RU_Clean!AH83-RU_Clean!AH82)/RU_Clean!AH82*100,"")</f>
        <v>1.28036376690199</v>
      </c>
    </row>
    <row r="84" spans="1:34">
      <c r="A84" s="6">
        <f>RU_Clean!A84</f>
        <v>2019</v>
      </c>
      <c r="B84" s="6">
        <f>RU_Clean!B84</f>
        <v>8</v>
      </c>
      <c r="C84" s="6" t="str">
        <f>RU_Clean!C84</f>
        <v>August</v>
      </c>
      <c r="D84" s="9">
        <f>RU_Clean!D84</f>
        <v>43678</v>
      </c>
      <c r="E84" s="6"/>
      <c r="F84" s="6"/>
      <c r="G84" s="12">
        <f>IF(AND(ISNUMBER(RU_Clean!G84),ISNUMBER(RU_Clean!G83)),(RU_Clean!G84-RU_Clean!G83)/RU_Clean!G83*100,"")</f>
        <v>0.574300071787497</v>
      </c>
      <c r="H84" s="12">
        <f>IF(AND(ISNUMBER(RU_Clean!H84),ISNUMBER(RU_Clean!H83)),(RU_Clean!H84-RU_Clean!H83)/RU_Clean!H83*100,"")</f>
        <v>-1.29071911493546</v>
      </c>
      <c r="I84" s="12">
        <f>IF(AND(ISNUMBER(RU_Clean!I84),ISNUMBER(RU_Clean!I83)),(RU_Clean!I84-RU_Clean!I83)/RU_Clean!I83*100,"")</f>
        <v>-1.07142857142857</v>
      </c>
      <c r="J84" s="12">
        <f>IF(AND(ISNUMBER(RU_Clean!J84),ISNUMBER(RU_Clean!J83)),(RU_Clean!J84-RU_Clean!J83)/RU_Clean!J83*100,"")</f>
        <v>0.486111111111103</v>
      </c>
      <c r="K84" s="12">
        <f>IF(AND(ISNUMBER(RU_Clean!K84),ISNUMBER(RU_Clean!K83)),(RU_Clean!K84-RU_Clean!K83)/RU_Clean!K83*100,"")</f>
        <v>0.326530612244903</v>
      </c>
      <c r="L84" s="12">
        <f>IF(AND(ISNUMBER(RU_Clean!L84),ISNUMBER(RU_Clean!L83)),(RU_Clean!L84-RU_Clean!L83)/RU_Clean!L83*100,"")</f>
        <v>-0.598802395209585</v>
      </c>
      <c r="M84" s="12">
        <f>IF(AND(ISNUMBER(RU_Clean!M84),ISNUMBER(RU_Clean!M83)),(RU_Clean!M84-RU_Clean!M83)/RU_Clean!M83*100,"")</f>
        <v>4.42919525888958</v>
      </c>
      <c r="N84" s="12">
        <f>IF(AND(ISNUMBER(RU_Clean!N84),ISNUMBER(RU_Clean!N83)),(RU_Clean!N84-RU_Clean!N83)/RU_Clean!N83*100,"")</f>
        <v>0.692307692307697</v>
      </c>
      <c r="O84" s="12">
        <f>IF(AND(ISNUMBER(RU_Clean!O84),ISNUMBER(RU_Clean!O83)),(RU_Clean!O84-RU_Clean!O83)/RU_Clean!O83*100,"")</f>
        <v>0.810081008100815</v>
      </c>
      <c r="P84" s="12">
        <f>IF(AND(ISNUMBER(RU_Clean!P84),ISNUMBER(RU_Clean!P83)),(RU_Clean!P84-RU_Clean!P83)/RU_Clean!P83*100,"")</f>
        <v>0.635144671841924</v>
      </c>
      <c r="Q84" s="12">
        <f>IF(AND(ISNUMBER(RU_Clean!Q84),ISNUMBER(RU_Clean!Q83)),(RU_Clean!Q84-RU_Clean!Q83)/RU_Clean!Q83*100,"")</f>
        <v>0.148478099480339</v>
      </c>
      <c r="R84" s="12">
        <f>IF(AND(ISNUMBER(RU_Clean!R84),ISNUMBER(RU_Clean!R83)),(RU_Clean!R84-RU_Clean!R83)/RU_Clean!R83*100,"")</f>
        <v>0.256081946222795</v>
      </c>
      <c r="S84" s="12">
        <f>IF(AND(ISNUMBER(RU_Clean!S84),ISNUMBER(RU_Clean!S83)),(RU_Clean!S84-RU_Clean!S83)/RU_Clean!S83*100,"")</f>
        <v>0.829302004146522</v>
      </c>
      <c r="T84" s="12">
        <f>IF(AND(ISNUMBER(RU_Clean!T84),ISNUMBER(RU_Clean!T83)),(RU_Clean!T84-RU_Clean!T83)/RU_Clean!T83*100,"")</f>
        <v>0.363196125908004</v>
      </c>
      <c r="U84" s="12">
        <f>IF(AND(ISNUMBER(RU_Clean!U84),ISNUMBER(RU_Clean!U83)),(RU_Clean!U84-RU_Clean!U83)/RU_Clean!U83*100,"")</f>
        <v>0.134318334452645</v>
      </c>
      <c r="V84" s="12">
        <f>IF(AND(ISNUMBER(RU_Clean!V84),ISNUMBER(RU_Clean!V83)),(RU_Clean!V84-RU_Clean!V83)/RU_Clean!V83*100,"")</f>
        <v>0.0711743772241952</v>
      </c>
      <c r="W84" s="12">
        <f>IF(AND(ISNUMBER(RU_Clean!W84),ISNUMBER(RU_Clean!W83)),(RU_Clean!W84-RU_Clean!W83)/RU_Clean!W83*100,"")</f>
        <v>0.203252032520333</v>
      </c>
      <c r="X84" s="12">
        <f>IF(AND(ISNUMBER(RU_Clean!X84),ISNUMBER(RU_Clean!X83)),(RU_Clean!X84-RU_Clean!X83)/RU_Clean!X83*100,"")</f>
        <v>0.664010624169987</v>
      </c>
      <c r="Y84" s="12">
        <f>IF(AND(ISNUMBER(RU_Clean!Y84),ISNUMBER(RU_Clean!Y83)),(RU_Clean!Y84-RU_Clean!Y83)/RU_Clean!Y83*100,"")</f>
        <v>-0.574300071787517</v>
      </c>
      <c r="Z84" s="12">
        <f>IF(AND(ISNUMBER(RU_Clean!Z84),ISNUMBER(RU_Clean!Z83)),(RU_Clean!Z84-RU_Clean!Z83)/RU_Clean!Z83*100,"")</f>
        <v>0.208044382801672</v>
      </c>
      <c r="AA84" s="12">
        <f>IF(AND(ISNUMBER(RU_Clean!AA84),ISNUMBER(RU_Clean!AA83)),(RU_Clean!AA84-RU_Clean!AA83)/RU_Clean!AA83*100,"")</f>
        <v>0.40567951318458</v>
      </c>
      <c r="AB84" s="12">
        <f>IF(AND(ISNUMBER(RU_Clean!AB84),ISNUMBER(RU_Clean!AB83)),(RU_Clean!AB84-RU_Clean!AB83)/RU_Clean!AB83*100,"")</f>
        <v>0.159235668789811</v>
      </c>
      <c r="AC84" s="12">
        <f>IF(AND(ISNUMBER(RU_Clean!AC84),ISNUMBER(RU_Clean!AC83)),(RU_Clean!AC84-RU_Clean!AC83)/RU_Clean!AC83*100,"")</f>
        <v>0.284697508896801</v>
      </c>
      <c r="AD84" s="12">
        <f>IF(AND(ISNUMBER(RU_Clean!AD84),ISNUMBER(RU_Clean!AD83)),(RU_Clean!AD84-RU_Clean!AD83)/RU_Clean!AD83*100,"")</f>
        <v>0.584415584415588</v>
      </c>
      <c r="AE84" s="12">
        <f>IF(AND(ISNUMBER(RU_Clean!AE84),ISNUMBER(RU_Clean!AE83)),(RU_Clean!AE84-RU_Clean!AE83)/RU_Clean!AE83*100,"")</f>
        <v>1.98968312453944</v>
      </c>
      <c r="AF84" s="12">
        <f>IF(AND(ISNUMBER(RU_Clean!AF84),ISNUMBER(RU_Clean!AF83)),(RU_Clean!AF84-RU_Clean!AF83)/RU_Clean!AF83*100,"")</f>
        <v>0.501792114695332</v>
      </c>
      <c r="AG84" s="12">
        <f>IF(AND(ISNUMBER(RU_Clean!AG84),ISNUMBER(RU_Clean!AG83)),(RU_Clean!AG84-RU_Clean!AG83)/RU_Clean!AG83*100,"")</f>
        <v>0.554785020804446</v>
      </c>
      <c r="AH84" s="12">
        <f>IF(AND(ISNUMBER(RU_Clean!AH84),ISNUMBER(RU_Clean!AH83)),(RU_Clean!AH84-RU_Clean!AH83)/RU_Clean!AH83*100,"")</f>
        <v>0.460775047258976</v>
      </c>
    </row>
    <row r="85" spans="1:34">
      <c r="A85" s="6">
        <f>RU_Clean!A85</f>
        <v>2019</v>
      </c>
      <c r="B85" s="6">
        <f>RU_Clean!B85</f>
        <v>9</v>
      </c>
      <c r="C85" s="6" t="str">
        <f>RU_Clean!C85</f>
        <v>September</v>
      </c>
      <c r="D85" s="9">
        <f>RU_Clean!D85</f>
        <v>43709</v>
      </c>
      <c r="E85" s="6"/>
      <c r="F85" s="6"/>
      <c r="G85" s="12">
        <f>IF(AND(ISNUMBER(RU_Clean!G85),ISNUMBER(RU_Clean!G84)),(RU_Clean!G85-RU_Clean!G84)/RU_Clean!G84*100,"")</f>
        <v>0.571020699500365</v>
      </c>
      <c r="H85" s="12">
        <f>IF(AND(ISNUMBER(RU_Clean!H85),ISNUMBER(RU_Clean!H84)),(RU_Clean!H85-RU_Clean!H84)/RU_Clean!H84*100,"")</f>
        <v>0.124533001245341</v>
      </c>
      <c r="I85" s="12">
        <f>IF(AND(ISNUMBER(RU_Clean!I85),ISNUMBER(RU_Clean!I84)),(RU_Clean!I85-RU_Clean!I84)/RU_Clean!I84*100,"")</f>
        <v>0.794223826714797</v>
      </c>
      <c r="J85" s="12">
        <f>IF(AND(ISNUMBER(RU_Clean!J85),ISNUMBER(RU_Clean!J84)),(RU_Clean!J85-RU_Clean!J84)/RU_Clean!J84*100,"")</f>
        <v>0.483759502418809</v>
      </c>
      <c r="K85" s="12">
        <f>IF(AND(ISNUMBER(RU_Clean!K85),ISNUMBER(RU_Clean!K84)),(RU_Clean!K85-RU_Clean!K84)/RU_Clean!K84*100,"")</f>
        <v>0.488201790073226</v>
      </c>
      <c r="L85" s="12">
        <f>IF(AND(ISNUMBER(RU_Clean!L85),ISNUMBER(RU_Clean!L84)),(RU_Clean!L85-RU_Clean!L84)/RU_Clean!L84*100,"")</f>
        <v>-1.87416331994646</v>
      </c>
      <c r="M85" s="12">
        <f>IF(AND(ISNUMBER(RU_Clean!M85),ISNUMBER(RU_Clean!M84)),(RU_Clean!M85-RU_Clean!M84)/RU_Clean!M84*100,"")</f>
        <v>3.46475507765829</v>
      </c>
      <c r="N85" s="12">
        <f>IF(AND(ISNUMBER(RU_Clean!N85),ISNUMBER(RU_Clean!N84)),(RU_Clean!N85-RU_Clean!N84)/RU_Clean!N84*100,"")</f>
        <v>0.534759358288761</v>
      </c>
      <c r="O85" s="12">
        <f>IF(AND(ISNUMBER(RU_Clean!O85),ISNUMBER(RU_Clean!O84)),(RU_Clean!O85-RU_Clean!O84)/RU_Clean!O84*100,"")</f>
        <v>1.07142857142857</v>
      </c>
      <c r="P85" s="12">
        <f>IF(AND(ISNUMBER(RU_Clean!P85),ISNUMBER(RU_Clean!P84)),(RU_Clean!P85-RU_Clean!P84)/RU_Clean!P84*100,"")</f>
        <v>1.05189340813464</v>
      </c>
      <c r="Q85" s="12">
        <f>IF(AND(ISNUMBER(RU_Clean!Q85),ISNUMBER(RU_Clean!Q84)),(RU_Clean!Q85-RU_Clean!Q84)/RU_Clean!Q84*100,"")</f>
        <v>0.0741289844329091</v>
      </c>
      <c r="R85" s="12">
        <f>IF(AND(ISNUMBER(RU_Clean!R85),ISNUMBER(RU_Clean!R84)),(RU_Clean!R85-RU_Clean!R84)/RU_Clean!R84*100,"")</f>
        <v>0.12771392081738</v>
      </c>
      <c r="S85" s="12">
        <f>IF(AND(ISNUMBER(RU_Clean!S85),ISNUMBER(RU_Clean!S84)),(RU_Clean!S85-RU_Clean!S84)/RU_Clean!S84*100,"")</f>
        <v>0.753941055517474</v>
      </c>
      <c r="T85" s="12">
        <f>IF(AND(ISNUMBER(RU_Clean!T85),ISNUMBER(RU_Clean!T84)),(RU_Clean!T85-RU_Clean!T84)/RU_Clean!T84*100,"")</f>
        <v>0.422195416164046</v>
      </c>
      <c r="U85" s="12">
        <f>IF(AND(ISNUMBER(RU_Clean!U85),ISNUMBER(RU_Clean!U84)),(RU_Clean!U85-RU_Clean!U84)/RU_Clean!U84*100,"")</f>
        <v>0.0670690811535844</v>
      </c>
      <c r="V85" s="12">
        <f>IF(AND(ISNUMBER(RU_Clean!V85),ISNUMBER(RU_Clean!V84)),(RU_Clean!V85-RU_Clean!V84)/RU_Clean!V84*100,"")</f>
        <v>0</v>
      </c>
      <c r="W85" s="12">
        <f>IF(AND(ISNUMBER(RU_Clean!W85),ISNUMBER(RU_Clean!W84)),(RU_Clean!W85-RU_Clean!W84)/RU_Clean!W84*100,"")</f>
        <v>0</v>
      </c>
      <c r="X85" s="12">
        <f>IF(AND(ISNUMBER(RU_Clean!X85),ISNUMBER(RU_Clean!X84)),(RU_Clean!X85-RU_Clean!X84)/RU_Clean!X84*100,"")</f>
        <v>0.395778364116091</v>
      </c>
      <c r="Y85" s="12">
        <f>IF(AND(ISNUMBER(RU_Clean!Y85),ISNUMBER(RU_Clean!Y84)),(RU_Clean!Y85-RU_Clean!Y84)/RU_Clean!Y84*100,"")</f>
        <v>0.505415162454866</v>
      </c>
      <c r="Z85" s="12">
        <f>IF(AND(ISNUMBER(RU_Clean!Z85),ISNUMBER(RU_Clean!Z84)),(RU_Clean!Z85-RU_Clean!Z84)/RU_Clean!Z84*100,"")</f>
        <v>0.069204152249131</v>
      </c>
      <c r="AA85" s="12">
        <f>IF(AND(ISNUMBER(RU_Clean!AA85),ISNUMBER(RU_Clean!AA84)),(RU_Clean!AA85-RU_Clean!AA84)/RU_Clean!AA84*100,"")</f>
        <v>0.336700336700337</v>
      </c>
      <c r="AB85" s="12">
        <f>IF(AND(ISNUMBER(RU_Clean!AB85),ISNUMBER(RU_Clean!AB84)),(RU_Clean!AB85-RU_Clean!AB84)/RU_Clean!AB84*100,"")</f>
        <v>0.23847376788553</v>
      </c>
      <c r="AC85" s="12">
        <f>IF(AND(ISNUMBER(RU_Clean!AC85),ISNUMBER(RU_Clean!AC84)),(RU_Clean!AC85-RU_Clean!AC84)/RU_Clean!AC84*100,"")</f>
        <v>0.283889283179564</v>
      </c>
      <c r="AD85" s="12">
        <f>IF(AND(ISNUMBER(RU_Clean!AD85),ISNUMBER(RU_Clean!AD84)),(RU_Clean!AD85-RU_Clean!AD84)/RU_Clean!AD84*100,"")</f>
        <v>0.193673337637174</v>
      </c>
      <c r="AE85" s="12">
        <f>IF(AND(ISNUMBER(RU_Clean!AE85),ISNUMBER(RU_Clean!AE84)),(RU_Clean!AE85-RU_Clean!AE84)/RU_Clean!AE84*100,"")</f>
        <v>0.93930635838149</v>
      </c>
      <c r="AF85" s="12">
        <f>IF(AND(ISNUMBER(RU_Clean!AF85),ISNUMBER(RU_Clean!AF84)),(RU_Clean!AF85-RU_Clean!AF84)/RU_Clean!AF84*100,"")</f>
        <v>0.356633380884451</v>
      </c>
      <c r="AG85" s="12">
        <f>IF(AND(ISNUMBER(RU_Clean!AG85),ISNUMBER(RU_Clean!AG84)),(RU_Clean!AG85-RU_Clean!AG84)/RU_Clean!AG84*100,"")</f>
        <v>0.551724137931042</v>
      </c>
      <c r="AH85" s="12">
        <f>IF(AND(ISNUMBER(RU_Clean!AH85),ISNUMBER(RU_Clean!AH84)),(RU_Clean!AH85-RU_Clean!AH84)/RU_Clean!AH84*100,"")</f>
        <v>0.593908032459127</v>
      </c>
    </row>
    <row r="86" spans="1:34">
      <c r="A86" s="6">
        <f>RU_Clean!A86</f>
        <v>2019</v>
      </c>
      <c r="B86" s="6">
        <f>RU_Clean!B86</f>
        <v>10</v>
      </c>
      <c r="C86" s="6" t="str">
        <f>RU_Clean!C86</f>
        <v>October</v>
      </c>
      <c r="D86" s="9">
        <f>RU_Clean!D86</f>
        <v>43739</v>
      </c>
      <c r="E86" s="6"/>
      <c r="F86" s="6"/>
      <c r="G86" s="12">
        <f>IF(AND(ISNUMBER(RU_Clean!G86),ISNUMBER(RU_Clean!G85)),(RU_Clean!G86-RU_Clean!G85)/RU_Clean!G85*100,"")</f>
        <v>0.638750887154014</v>
      </c>
      <c r="H86" s="12">
        <f>IF(AND(ISNUMBER(RU_Clean!H86),ISNUMBER(RU_Clean!H85)),(RU_Clean!H86-RU_Clean!H85)/RU_Clean!H85*100,"")</f>
        <v>0.124378109452729</v>
      </c>
      <c r="I86" s="12">
        <f>IF(AND(ISNUMBER(RU_Clean!I86),ISNUMBER(RU_Clean!I85)),(RU_Clean!I86-RU_Clean!I85)/RU_Clean!I85*100,"")</f>
        <v>2.14899713467049</v>
      </c>
      <c r="J86" s="12">
        <f>IF(AND(ISNUMBER(RU_Clean!J86),ISNUMBER(RU_Clean!J85)),(RU_Clean!J86-RU_Clean!J85)/RU_Clean!J85*100,"")</f>
        <v>0.550206327372753</v>
      </c>
      <c r="K86" s="12">
        <f>IF(AND(ISNUMBER(RU_Clean!K86),ISNUMBER(RU_Clean!K85)),(RU_Clean!K86-RU_Clean!K85)/RU_Clean!K85*100,"")</f>
        <v>0.323886639676118</v>
      </c>
      <c r="L86" s="12">
        <f>IF(AND(ISNUMBER(RU_Clean!L86),ISNUMBER(RU_Clean!L85)),(RU_Clean!L86-RU_Clean!L85)/RU_Clean!L85*100,"")</f>
        <v>0.954979536152801</v>
      </c>
      <c r="M86" s="12">
        <f>IF(AND(ISNUMBER(RU_Clean!M86),ISNUMBER(RU_Clean!M85)),(RU_Clean!M86-RU_Clean!M85)/RU_Clean!M85*100,"")</f>
        <v>8.77598152424943</v>
      </c>
      <c r="N86" s="12">
        <f>IF(AND(ISNUMBER(RU_Clean!N86),ISNUMBER(RU_Clean!N85)),(RU_Clean!N86-RU_Clean!N85)/RU_Clean!N85*100,"")</f>
        <v>0.683890577507603</v>
      </c>
      <c r="O86" s="12">
        <f>IF(AND(ISNUMBER(RU_Clean!O86),ISNUMBER(RU_Clean!O85)),(RU_Clean!O86-RU_Clean!O85)/RU_Clean!O85*100,"")</f>
        <v>0.706713780918725</v>
      </c>
      <c r="P86" s="12">
        <f>IF(AND(ISNUMBER(RU_Clean!P86),ISNUMBER(RU_Clean!P85)),(RU_Clean!P86-RU_Clean!P85)/RU_Clean!P85*100,"")</f>
        <v>0.902151283830681</v>
      </c>
      <c r="Q86" s="12">
        <f>IF(AND(ISNUMBER(RU_Clean!Q86),ISNUMBER(RU_Clean!Q85)),(RU_Clean!Q86-RU_Clean!Q85)/RU_Clean!Q85*100,"")</f>
        <v>0.0740740740740699</v>
      </c>
      <c r="R86" s="12">
        <f>IF(AND(ISNUMBER(RU_Clean!R86),ISNUMBER(RU_Clean!R85)),(RU_Clean!R86-RU_Clean!R85)/RU_Clean!R85*100,"")</f>
        <v>0.191326530612234</v>
      </c>
      <c r="S86" s="12">
        <f>IF(AND(ISNUMBER(RU_Clean!S86),ISNUMBER(RU_Clean!S85)),(RU_Clean!S86-RU_Clean!S85)/RU_Clean!S85*100,"")</f>
        <v>1.76870748299319</v>
      </c>
      <c r="T86" s="12">
        <f>IF(AND(ISNUMBER(RU_Clean!T86),ISNUMBER(RU_Clean!T85)),(RU_Clean!T86-RU_Clean!T85)/RU_Clean!T85*100,"")</f>
        <v>0.360360360360357</v>
      </c>
      <c r="U86" s="12">
        <f>IF(AND(ISNUMBER(RU_Clean!U86),ISNUMBER(RU_Clean!U85)),(RU_Clean!U86-RU_Clean!U85)/RU_Clean!U85*100,"")</f>
        <v>0.134048257372666</v>
      </c>
      <c r="V86" s="12">
        <f>IF(AND(ISNUMBER(RU_Clean!V86),ISNUMBER(RU_Clean!V85)),(RU_Clean!V86-RU_Clean!V85)/RU_Clean!V85*100,"")</f>
        <v>0.142247510668575</v>
      </c>
      <c r="W86" s="12">
        <f>IF(AND(ISNUMBER(RU_Clean!W86),ISNUMBER(RU_Clean!W85)),(RU_Clean!W86-RU_Clean!W85)/RU_Clean!W85*100,"")</f>
        <v>0.202839756592281</v>
      </c>
      <c r="X86" s="12">
        <f>IF(AND(ISNUMBER(RU_Clean!X86),ISNUMBER(RU_Clean!X85)),(RU_Clean!X86-RU_Clean!X85)/RU_Clean!X85*100,"")</f>
        <v>0.525624178712228</v>
      </c>
      <c r="Y86" s="12">
        <f>IF(AND(ISNUMBER(RU_Clean!Y86),ISNUMBER(RU_Clean!Y85)),(RU_Clean!Y86-RU_Clean!Y85)/RU_Clean!Y85*100,"")</f>
        <v>1.00574712643679</v>
      </c>
      <c r="Z86" s="12">
        <f>IF(AND(ISNUMBER(RU_Clean!Z86),ISNUMBER(RU_Clean!Z85)),(RU_Clean!Z86-RU_Clean!Z85)/RU_Clean!Z85*100,"")</f>
        <v>0.276625172890737</v>
      </c>
      <c r="AA86" s="12">
        <f>IF(AND(ISNUMBER(RU_Clean!AA86),ISNUMBER(RU_Clean!AA85)),(RU_Clean!AA86-RU_Clean!AA85)/RU_Clean!AA85*100,"")</f>
        <v>0.26845637583893</v>
      </c>
      <c r="AB86" s="12">
        <f>IF(AND(ISNUMBER(RU_Clean!AB86),ISNUMBER(RU_Clean!AB85)),(RU_Clean!AB86-RU_Clean!AB85)/RU_Clean!AB85*100,"")</f>
        <v>0.158604282315625</v>
      </c>
      <c r="AC86" s="12">
        <f>IF(AND(ISNUMBER(RU_Clean!AC86),ISNUMBER(RU_Clean!AC85)),(RU_Clean!AC86-RU_Clean!AC85)/RU_Clean!AC85*100,"")</f>
        <v>0.283085633404089</v>
      </c>
      <c r="AD86" s="12">
        <f>IF(AND(ISNUMBER(RU_Clean!AD86),ISNUMBER(RU_Clean!AD85)),(RU_Clean!AD86-RU_Clean!AD85)/RU_Clean!AD85*100,"")</f>
        <v>0.128865979381454</v>
      </c>
      <c r="AE86" s="12">
        <f>IF(AND(ISNUMBER(RU_Clean!AE86),ISNUMBER(RU_Clean!AE85)),(RU_Clean!AE86-RU_Clean!AE85)/RU_Clean!AE85*100,"")</f>
        <v>0.214745884037231</v>
      </c>
      <c r="AF86" s="12">
        <f>IF(AND(ISNUMBER(RU_Clean!AF86),ISNUMBER(RU_Clean!AF85)),(RU_Clean!AF86-RU_Clean!AF85)/RU_Clean!AF85*100,"")</f>
        <v>0.213219616204699</v>
      </c>
      <c r="AG86" s="12">
        <f>IF(AND(ISNUMBER(RU_Clean!AG86),ISNUMBER(RU_Clean!AG85)),(RU_Clean!AG86-RU_Clean!AG85)/RU_Clean!AG85*100,"")</f>
        <v>0.960219478737982</v>
      </c>
      <c r="AH86" s="12">
        <f>IF(AND(ISNUMBER(RU_Clean!AH86),ISNUMBER(RU_Clean!AH85)),(RU_Clean!AH86-RU_Clean!AH85)/RU_Clean!AH85*100,"")</f>
        <v>1.47892675512948</v>
      </c>
    </row>
    <row r="87" spans="1:34">
      <c r="A87" s="6">
        <f>RU_Clean!A87</f>
        <v>2019</v>
      </c>
      <c r="B87" s="6">
        <f>RU_Clean!B87</f>
        <v>11</v>
      </c>
      <c r="C87" s="6" t="str">
        <f>RU_Clean!C87</f>
        <v>November</v>
      </c>
      <c r="D87" s="9">
        <f>RU_Clean!D87</f>
        <v>43770</v>
      </c>
      <c r="E87" s="6"/>
      <c r="F87" s="6"/>
      <c r="G87" s="12">
        <f>IF(AND(ISNUMBER(RU_Clean!G87),ISNUMBER(RU_Clean!G86)),(RU_Clean!G87-RU_Clean!G86)/RU_Clean!G86*100,"")</f>
        <v>0.493653032440048</v>
      </c>
      <c r="H87" s="12">
        <f>IF(AND(ISNUMBER(RU_Clean!H87),ISNUMBER(RU_Clean!H86)),(RU_Clean!H87-RU_Clean!H86)/RU_Clean!H86*100,"")</f>
        <v>1.36645962732919</v>
      </c>
      <c r="I87" s="12">
        <f>IF(AND(ISNUMBER(RU_Clean!I87),ISNUMBER(RU_Clean!I86)),(RU_Clean!I87-RU_Clean!I86)/RU_Clean!I86*100,"")</f>
        <v>2.10378681626928</v>
      </c>
      <c r="J87" s="12">
        <f>IF(AND(ISNUMBER(RU_Clean!J87),ISNUMBER(RU_Clean!J86)),(RU_Clean!J87-RU_Clean!J86)/RU_Clean!J86*100,"")</f>
        <v>0.341997264021888</v>
      </c>
      <c r="K87" s="12">
        <f>IF(AND(ISNUMBER(RU_Clean!K87),ISNUMBER(RU_Clean!K86)),(RU_Clean!K87-RU_Clean!K86)/RU_Clean!K86*100,"")</f>
        <v>0.322841000807096</v>
      </c>
      <c r="L87" s="12">
        <f>IF(AND(ISNUMBER(RU_Clean!L87),ISNUMBER(RU_Clean!L86)),(RU_Clean!L87-RU_Clean!L86)/RU_Clean!L86*100,"")</f>
        <v>-0.405405405405402</v>
      </c>
      <c r="M87" s="12">
        <f>IF(AND(ISNUMBER(RU_Clean!M87),ISNUMBER(RU_Clean!M86)),(RU_Clean!M87-RU_Clean!M86)/RU_Clean!M86*100,"")</f>
        <v>5.94479830148619</v>
      </c>
      <c r="N87" s="12">
        <f>IF(AND(ISNUMBER(RU_Clean!N87),ISNUMBER(RU_Clean!N86)),(RU_Clean!N87-RU_Clean!N86)/RU_Clean!N86*100,"")</f>
        <v>2.41509433962263</v>
      </c>
      <c r="O87" s="12">
        <f>IF(AND(ISNUMBER(RU_Clean!O87),ISNUMBER(RU_Clean!O86)),(RU_Clean!O87-RU_Clean!O86)/RU_Clean!O86*100,"")</f>
        <v>0.175438596491231</v>
      </c>
      <c r="P87" s="12">
        <f>IF(AND(ISNUMBER(RU_Clean!P87),ISNUMBER(RU_Clean!P86)),(RU_Clean!P87-RU_Clean!P86)/RU_Clean!P86*100,"")</f>
        <v>1.10041265474553</v>
      </c>
      <c r="Q87" s="12">
        <f>IF(AND(ISNUMBER(RU_Clean!Q87),ISNUMBER(RU_Clean!Q86)),(RU_Clean!Q87-RU_Clean!Q86)/RU_Clean!Q86*100,"")</f>
        <v>0.148038490007415</v>
      </c>
      <c r="R87" s="12">
        <f>IF(AND(ISNUMBER(RU_Clean!R87),ISNUMBER(RU_Clean!R86)),(RU_Clean!R87-RU_Clean!R86)/RU_Clean!R86*100,"")</f>
        <v>0.254614894971359</v>
      </c>
      <c r="S87" s="12">
        <f>IF(AND(ISNUMBER(RU_Clean!S87),ISNUMBER(RU_Clean!S86)),(RU_Clean!S87-RU_Clean!S86)/RU_Clean!S86*100,"")</f>
        <v>1.53743315508022</v>
      </c>
      <c r="T87" s="12">
        <f>IF(AND(ISNUMBER(RU_Clean!T87),ISNUMBER(RU_Clean!T86)),(RU_Clean!T87-RU_Clean!T86)/RU_Clean!T86*100,"")</f>
        <v>0.478755236385405</v>
      </c>
      <c r="U87" s="12">
        <f>IF(AND(ISNUMBER(RU_Clean!U87),ISNUMBER(RU_Clean!U86)),(RU_Clean!U87-RU_Clean!U86)/RU_Clean!U86*100,"")</f>
        <v>0.334672021419009</v>
      </c>
      <c r="V87" s="12">
        <f>IF(AND(ISNUMBER(RU_Clean!V87),ISNUMBER(RU_Clean!V86)),(RU_Clean!V87-RU_Clean!V86)/RU_Clean!V86*100,"")</f>
        <v>0.142045454545446</v>
      </c>
      <c r="W87" s="12">
        <f>IF(AND(ISNUMBER(RU_Clean!W87),ISNUMBER(RU_Clean!W86)),(RU_Clean!W87-RU_Clean!W86)/RU_Clean!W86*100,"")</f>
        <v>0.269905533063432</v>
      </c>
      <c r="X87" s="12">
        <f>IF(AND(ISNUMBER(RU_Clean!X87),ISNUMBER(RU_Clean!X86)),(RU_Clean!X87-RU_Clean!X86)/RU_Clean!X86*100,"")</f>
        <v>0.326797385620915</v>
      </c>
      <c r="Y87" s="12">
        <f>IF(AND(ISNUMBER(RU_Clean!Y87),ISNUMBER(RU_Clean!Y86)),(RU_Clean!Y87-RU_Clean!Y86)/RU_Clean!Y86*100,"")</f>
        <v>1.2091038406828</v>
      </c>
      <c r="Z87" s="12">
        <f>IF(AND(ISNUMBER(RU_Clean!Z87),ISNUMBER(RU_Clean!Z86)),(RU_Clean!Z87-RU_Clean!Z86)/RU_Clean!Z86*100,"")</f>
        <v>0.206896551724146</v>
      </c>
      <c r="AA87" s="12">
        <f>IF(AND(ISNUMBER(RU_Clean!AA87),ISNUMBER(RU_Clean!AA86)),(RU_Clean!AA87-RU_Clean!AA86)/RU_Clean!AA86*100,"")</f>
        <v>0.334672021419009</v>
      </c>
      <c r="AB87" s="12">
        <f>IF(AND(ISNUMBER(RU_Clean!AB87),ISNUMBER(RU_Clean!AB86)),(RU_Clean!AB87-RU_Clean!AB86)/RU_Clean!AB86*100,"")</f>
        <v>0.237529691211399</v>
      </c>
      <c r="AC87" s="12">
        <f>IF(AND(ISNUMBER(RU_Clean!AC87),ISNUMBER(RU_Clean!AC86)),(RU_Clean!AC87-RU_Clean!AC86)/RU_Clean!AC86*100,"")</f>
        <v>0.282286520818635</v>
      </c>
      <c r="AD87" s="12">
        <f>IF(AND(ISNUMBER(RU_Clean!AD87),ISNUMBER(RU_Clean!AD86)),(RU_Clean!AD87-RU_Clean!AD86)/RU_Clean!AD86*100,"")</f>
        <v>0.0643500643500607</v>
      </c>
      <c r="AE87" s="12">
        <f>IF(AND(ISNUMBER(RU_Clean!AE87),ISNUMBER(RU_Clean!AE86)),(RU_Clean!AE87-RU_Clean!AE86)/RU_Clean!AE86*100,"")</f>
        <v>0.214285714285722</v>
      </c>
      <c r="AF87" s="12">
        <f>IF(AND(ISNUMBER(RU_Clean!AF87),ISNUMBER(RU_Clean!AF86)),(RU_Clean!AF87-RU_Clean!AF86)/RU_Clean!AF86*100,"")</f>
        <v>0.212765957446817</v>
      </c>
      <c r="AG87" s="12">
        <f>IF(AND(ISNUMBER(RU_Clean!AG87),ISNUMBER(RU_Clean!AG86)),(RU_Clean!AG87-RU_Clean!AG86)/RU_Clean!AG86*100,"")</f>
        <v>0.951086956521743</v>
      </c>
      <c r="AH87" s="12">
        <f>IF(AND(ISNUMBER(RU_Clean!AH87),ISNUMBER(RU_Clean!AH86)),(RU_Clean!AH87-RU_Clean!AH86)/RU_Clean!AH86*100,"")</f>
        <v>1.32488479262674</v>
      </c>
    </row>
    <row r="88" spans="1:34">
      <c r="A88" s="6">
        <f>RU_Clean!A88</f>
        <v>2019</v>
      </c>
      <c r="B88" s="6">
        <f>RU_Clean!B88</f>
        <v>12</v>
      </c>
      <c r="C88" s="6" t="str">
        <f>RU_Clean!C88</f>
        <v>December</v>
      </c>
      <c r="D88" s="9">
        <f>RU_Clean!D88</f>
        <v>43800</v>
      </c>
      <c r="E88" s="6"/>
      <c r="F88" s="6"/>
      <c r="G88" s="12">
        <f>IF(AND(ISNUMBER(RU_Clean!G88),ISNUMBER(RU_Clean!G87)),(RU_Clean!G88-RU_Clean!G87)/RU_Clean!G87*100,"")</f>
        <v>0.701754385964912</v>
      </c>
      <c r="H88" s="12">
        <f>IF(AND(ISNUMBER(RU_Clean!H88),ISNUMBER(RU_Clean!H87)),(RU_Clean!H88-RU_Clean!H87)/RU_Clean!H87*100,"")</f>
        <v>1.1029411764706</v>
      </c>
      <c r="I88" s="12">
        <f>IF(AND(ISNUMBER(RU_Clean!I88),ISNUMBER(RU_Clean!I87)),(RU_Clean!I88-RU_Clean!I87)/RU_Clean!I87*100,"")</f>
        <v>3.77747252747253</v>
      </c>
      <c r="J88" s="12">
        <f>IF(AND(ISNUMBER(RU_Clean!J88),ISNUMBER(RU_Clean!J87)),(RU_Clean!J88-RU_Clean!J87)/RU_Clean!J87*100,"")</f>
        <v>1.09066121336062</v>
      </c>
      <c r="K88" s="12">
        <f>IF(AND(ISNUMBER(RU_Clean!K88),ISNUMBER(RU_Clean!K87)),(RU_Clean!K88-RU_Clean!K87)/RU_Clean!K87*100,"")</f>
        <v>1.12630732099759</v>
      </c>
      <c r="L88" s="12">
        <f>IF(AND(ISNUMBER(RU_Clean!L88),ISNUMBER(RU_Clean!L87)),(RU_Clean!L88-RU_Clean!L87)/RU_Clean!L87*100,"")</f>
        <v>-1.15332428765266</v>
      </c>
      <c r="M88" s="12">
        <f>IF(AND(ISNUMBER(RU_Clean!M88),ISNUMBER(RU_Clean!M87)),(RU_Clean!M88-RU_Clean!M87)/RU_Clean!M87*100,"")</f>
        <v>8.71743486973948</v>
      </c>
      <c r="N88" s="12">
        <f>IF(AND(ISNUMBER(RU_Clean!N88),ISNUMBER(RU_Clean!N87)),(RU_Clean!N88-RU_Clean!N87)/RU_Clean!N87*100,"")</f>
        <v>1.91599115696391</v>
      </c>
      <c r="O88" s="12">
        <f>IF(AND(ISNUMBER(RU_Clean!O88),ISNUMBER(RU_Clean!O87)),(RU_Clean!O88-RU_Clean!O87)/RU_Clean!O87*100,"")</f>
        <v>-0.175131348511386</v>
      </c>
      <c r="P88" s="12">
        <f>IF(AND(ISNUMBER(RU_Clean!P88),ISNUMBER(RU_Clean!P87)),(RU_Clean!P88-RU_Clean!P87)/RU_Clean!P87*100,"")</f>
        <v>1.15646258503401</v>
      </c>
      <c r="Q88" s="12">
        <f>IF(AND(ISNUMBER(RU_Clean!Q88),ISNUMBER(RU_Clean!Q87)),(RU_Clean!Q88-RU_Clean!Q87)/RU_Clean!Q87*100,"")</f>
        <v>0.369549150036955</v>
      </c>
      <c r="R88" s="12">
        <f>IF(AND(ISNUMBER(RU_Clean!R88),ISNUMBER(RU_Clean!R87)),(RU_Clean!R88-RU_Clean!R87)/RU_Clean!R87*100,"")</f>
        <v>0.317460317460317</v>
      </c>
      <c r="S88" s="12">
        <f>IF(AND(ISNUMBER(RU_Clean!S88),ISNUMBER(RU_Clean!S87)),(RU_Clean!S88-RU_Clean!S87)/RU_Clean!S87*100,"")</f>
        <v>2.04081632653061</v>
      </c>
      <c r="T88" s="12">
        <f>IF(AND(ISNUMBER(RU_Clean!T88),ISNUMBER(RU_Clean!T87)),(RU_Clean!T88-RU_Clean!T87)/RU_Clean!T87*100,"")</f>
        <v>0.357355568790944</v>
      </c>
      <c r="U88" s="12">
        <f>IF(AND(ISNUMBER(RU_Clean!U88),ISNUMBER(RU_Clean!U87)),(RU_Clean!U88-RU_Clean!U87)/RU_Clean!U87*100,"")</f>
        <v>0.266844563042032</v>
      </c>
      <c r="V88" s="12">
        <f>IF(AND(ISNUMBER(RU_Clean!V88),ISNUMBER(RU_Clean!V87)),(RU_Clean!V88-RU_Clean!V87)/RU_Clean!V87*100,"")</f>
        <v>0.212765957446817</v>
      </c>
      <c r="W88" s="12">
        <f>IF(AND(ISNUMBER(RU_Clean!W88),ISNUMBER(RU_Clean!W87)),(RU_Clean!W88-RU_Clean!W87)/RU_Clean!W87*100,"")</f>
        <v>0.269179004037689</v>
      </c>
      <c r="X88" s="12">
        <f>IF(AND(ISNUMBER(RU_Clean!X88),ISNUMBER(RU_Clean!X87)),(RU_Clean!X88-RU_Clean!X87)/RU_Clean!X87*100,"")</f>
        <v>-0.456026058631914</v>
      </c>
      <c r="Y88" s="12">
        <f>IF(AND(ISNUMBER(RU_Clean!Y88),ISNUMBER(RU_Clean!Y87)),(RU_Clean!Y88-RU_Clean!Y87)/RU_Clean!Y87*100,"")</f>
        <v>0.983836964160209</v>
      </c>
      <c r="Z88" s="12">
        <f>IF(AND(ISNUMBER(RU_Clean!Z88),ISNUMBER(RU_Clean!Z87)),(RU_Clean!Z88-RU_Clean!Z87)/RU_Clean!Z87*100,"")</f>
        <v>0.344115622849277</v>
      </c>
      <c r="AA88" s="12">
        <f>IF(AND(ISNUMBER(RU_Clean!AA88),ISNUMBER(RU_Clean!AA87)),(RU_Clean!AA88-RU_Clean!AA87)/RU_Clean!AA87*100,"")</f>
        <v>0.333555703802535</v>
      </c>
      <c r="AB88" s="12">
        <f>IF(AND(ISNUMBER(RU_Clean!AB88),ISNUMBER(RU_Clean!AB87)),(RU_Clean!AB88-RU_Clean!AB87)/RU_Clean!AB87*100,"")</f>
        <v>2.52764612954188</v>
      </c>
      <c r="AC88" s="12">
        <f>IF(AND(ISNUMBER(RU_Clean!AC88),ISNUMBER(RU_Clean!AC87)),(RU_Clean!AC88-RU_Clean!AC87)/RU_Clean!AC87*100,"")</f>
        <v>0.140745953553847</v>
      </c>
      <c r="AD88" s="12">
        <f>IF(AND(ISNUMBER(RU_Clean!AD88),ISNUMBER(RU_Clean!AD87)),(RU_Clean!AD88-RU_Clean!AD87)/RU_Clean!AD87*100,"")</f>
        <v>0.128617363344044</v>
      </c>
      <c r="AE88" s="12">
        <f>IF(AND(ISNUMBER(RU_Clean!AE88),ISNUMBER(RU_Clean!AE87)),(RU_Clean!AE88-RU_Clean!AE87)/RU_Clean!AE87*100,"")</f>
        <v>0.0712758374910865</v>
      </c>
      <c r="AF88" s="12">
        <f>IF(AND(ISNUMBER(RU_Clean!AF88),ISNUMBER(RU_Clean!AF87)),(RU_Clean!AF88-RU_Clean!AF87)/RU_Clean!AF87*100,"")</f>
        <v>0.849256900212306</v>
      </c>
      <c r="AG88" s="12">
        <f>IF(AND(ISNUMBER(RU_Clean!AG88),ISNUMBER(RU_Clean!AG87)),(RU_Clean!AG88-RU_Clean!AG87)/RU_Clean!AG87*100,"")</f>
        <v>1.21130551816959</v>
      </c>
      <c r="AH88" s="12">
        <f>IF(AND(ISNUMBER(RU_Clean!AH88),ISNUMBER(RU_Clean!AH87)),(RU_Clean!AH88-RU_Clean!AH87)/RU_Clean!AH87*100,"")</f>
        <v>1.82490051165436</v>
      </c>
    </row>
    <row r="89" spans="1:34">
      <c r="A89" s="6">
        <f>RU_Clean!A89</f>
        <v>2020</v>
      </c>
      <c r="B89" s="6">
        <f>RU_Clean!B89</f>
        <v>1</v>
      </c>
      <c r="C89" s="6" t="str">
        <f>RU_Clean!C89</f>
        <v>January</v>
      </c>
      <c r="D89" s="9">
        <f>RU_Clean!D89</f>
        <v>43831</v>
      </c>
      <c r="E89" s="6"/>
      <c r="F89" s="6"/>
      <c r="G89" s="12">
        <f>IF(AND(ISNUMBER(RU_Clean!G89),ISNUMBER(RU_Clean!G88)),(RU_Clean!G89-RU_Clean!G88)/RU_Clean!G88*100,"")</f>
        <v>0.557491289198614</v>
      </c>
      <c r="H89" s="12">
        <f>IF(AND(ISNUMBER(RU_Clean!H89),ISNUMBER(RU_Clean!H88)),(RU_Clean!H89-RU_Clean!H88)/RU_Clean!H88*100,"")</f>
        <v>1.45454545454546</v>
      </c>
      <c r="I89" s="12">
        <f>IF(AND(ISNUMBER(RU_Clean!I89),ISNUMBER(RU_Clean!I88)),(RU_Clean!I89-RU_Clean!I88)/RU_Clean!I88*100,"")</f>
        <v>2.51489080079418</v>
      </c>
      <c r="J89" s="12">
        <f>IF(AND(ISNUMBER(RU_Clean!J89),ISNUMBER(RU_Clean!J88)),(RU_Clean!J89-RU_Clean!J88)/RU_Clean!J88*100,"")</f>
        <v>1.21375590020228</v>
      </c>
      <c r="K89" s="12">
        <f>IF(AND(ISNUMBER(RU_Clean!K89),ISNUMBER(RU_Clean!K88)),(RU_Clean!K89-RU_Clean!K88)/RU_Clean!K88*100,"")</f>
        <v>3.34128878281623</v>
      </c>
      <c r="L89" s="12">
        <f>IF(AND(ISNUMBER(RU_Clean!L89),ISNUMBER(RU_Clean!L88)),(RU_Clean!L89-RU_Clean!L88)/RU_Clean!L88*100,"")</f>
        <v>-1.71585449553878</v>
      </c>
      <c r="M89" s="12">
        <f>IF(AND(ISNUMBER(RU_Clean!M89),ISNUMBER(RU_Clean!M88)),(RU_Clean!M89-RU_Clean!M88)/RU_Clean!M88*100,"")</f>
        <v>-9.21658986175115</v>
      </c>
      <c r="N89" s="12">
        <f>IF(AND(ISNUMBER(RU_Clean!N89),ISNUMBER(RU_Clean!N88)),(RU_Clean!N89-RU_Clean!N88)/RU_Clean!N88*100,"")</f>
        <v>1.51843817787418</v>
      </c>
      <c r="O89" s="12">
        <f>IF(AND(ISNUMBER(RU_Clean!O89),ISNUMBER(RU_Clean!O88)),(RU_Clean!O89-RU_Clean!O88)/RU_Clean!O88*100,"")</f>
        <v>0.087719298245609</v>
      </c>
      <c r="P89" s="12">
        <f>IF(AND(ISNUMBER(RU_Clean!P89),ISNUMBER(RU_Clean!P88)),(RU_Clean!P89-RU_Clean!P88)/RU_Clean!P88*100,"")</f>
        <v>1.47948890383323</v>
      </c>
      <c r="Q89" s="12">
        <f>IF(AND(ISNUMBER(RU_Clean!Q89),ISNUMBER(RU_Clean!Q88)),(RU_Clean!Q89-RU_Clean!Q88)/RU_Clean!Q88*100,"")</f>
        <v>0.220913107511033</v>
      </c>
      <c r="R89" s="12">
        <f>IF(AND(ISNUMBER(RU_Clean!R89),ISNUMBER(RU_Clean!R88)),(RU_Clean!R89-RU_Clean!R88)/RU_Clean!R88*100,"")</f>
        <v>0.379746835443034</v>
      </c>
      <c r="S89" s="12">
        <f>IF(AND(ISNUMBER(RU_Clean!S89),ISNUMBER(RU_Clean!S88)),(RU_Clean!S89-RU_Clean!S88)/RU_Clean!S88*100,"")</f>
        <v>-0.967741935483871</v>
      </c>
      <c r="T89" s="12">
        <f>IF(AND(ISNUMBER(RU_Clean!T89),ISNUMBER(RU_Clean!T88)),(RU_Clean!T89-RU_Clean!T88)/RU_Clean!T88*100,"")</f>
        <v>0.415430267062308</v>
      </c>
      <c r="U89" s="12">
        <f>IF(AND(ISNUMBER(RU_Clean!U89),ISNUMBER(RU_Clean!U88)),(RU_Clean!U89-RU_Clean!U88)/RU_Clean!U88*100,"")</f>
        <v>0.133067198935455</v>
      </c>
      <c r="V89" s="12">
        <f>IF(AND(ISNUMBER(RU_Clean!V89),ISNUMBER(RU_Clean!V88)),(RU_Clean!V89-RU_Clean!V88)/RU_Clean!V88*100,"")</f>
        <v>0.141542816702044</v>
      </c>
      <c r="W89" s="12">
        <f>IF(AND(ISNUMBER(RU_Clean!W89),ISNUMBER(RU_Clean!W88)),(RU_Clean!W89-RU_Clean!W88)/RU_Clean!W88*100,"")</f>
        <v>0.134228187919455</v>
      </c>
      <c r="X89" s="12">
        <f>IF(AND(ISNUMBER(RU_Clean!X89),ISNUMBER(RU_Clean!X88)),(RU_Clean!X89-RU_Clean!X88)/RU_Clean!X88*100,"")</f>
        <v>0.719895287958111</v>
      </c>
      <c r="Y89" s="12">
        <f>IF(AND(ISNUMBER(RU_Clean!Y89),ISNUMBER(RU_Clean!Y88)),(RU_Clean!Y89-RU_Clean!Y88)/RU_Clean!Y88*100,"")</f>
        <v>0.62630480167015</v>
      </c>
      <c r="Z89" s="12">
        <f>IF(AND(ISNUMBER(RU_Clean!Z89),ISNUMBER(RU_Clean!Z88)),(RU_Clean!Z89-RU_Clean!Z88)/RU_Clean!Z88*100,"")</f>
        <v>0.274348422496555</v>
      </c>
      <c r="AA89" s="12">
        <f>IF(AND(ISNUMBER(RU_Clean!AA89),ISNUMBER(RU_Clean!AA88)),(RU_Clean!AA89-RU_Clean!AA88)/RU_Clean!AA88*100,"")</f>
        <v>0.53191489361701</v>
      </c>
      <c r="AB89" s="12">
        <f>IF(AND(ISNUMBER(RU_Clean!AB89),ISNUMBER(RU_Clean!AB88)),(RU_Clean!AB89-RU_Clean!AB88)/RU_Clean!AB88*100,"")</f>
        <v>0.84745762711864</v>
      </c>
      <c r="AC89" s="12">
        <f>IF(AND(ISNUMBER(RU_Clean!AC89),ISNUMBER(RU_Clean!AC88)),(RU_Clean!AC89-RU_Clean!AC88)/RU_Clean!AC88*100,"")</f>
        <v>0.351370344342937</v>
      </c>
      <c r="AD89" s="12">
        <f>IF(AND(ISNUMBER(RU_Clean!AD89),ISNUMBER(RU_Clean!AD88)),(RU_Clean!AD89-RU_Clean!AD88)/RU_Clean!AD88*100,"")</f>
        <v>0.256904303147081</v>
      </c>
      <c r="AE89" s="12">
        <f>IF(AND(ISNUMBER(RU_Clean!AE89),ISNUMBER(RU_Clean!AE88)),(RU_Clean!AE89-RU_Clean!AE88)/RU_Clean!AE88*100,"")</f>
        <v>1.35327635327636</v>
      </c>
      <c r="AF89" s="12">
        <f>IF(AND(ISNUMBER(RU_Clean!AF89),ISNUMBER(RU_Clean!AF88)),(RU_Clean!AF89-RU_Clean!AF88)/RU_Clean!AF88*100,"")</f>
        <v>0.631578947368425</v>
      </c>
      <c r="AG89" s="12">
        <f>IF(AND(ISNUMBER(RU_Clean!AG89),ISNUMBER(RU_Clean!AG88)),(RU_Clean!AG89-RU_Clean!AG88)/RU_Clean!AG88*100,"")</f>
        <v>-0.132978723404267</v>
      </c>
      <c r="AH89" s="12">
        <f>IF(AND(ISNUMBER(RU_Clean!AH89),ISNUMBER(RU_Clean!AH88)),(RU_Clean!AH89-RU_Clean!AH88)/RU_Clean!AH88*100,"")</f>
        <v>-0.23449276980628</v>
      </c>
    </row>
    <row r="90" spans="1:34">
      <c r="A90" s="6">
        <f>RU_Clean!A90</f>
        <v>2020</v>
      </c>
      <c r="B90" s="6">
        <f>RU_Clean!B90</f>
        <v>2</v>
      </c>
      <c r="C90" s="6" t="str">
        <f>RU_Clean!C90</f>
        <v>February</v>
      </c>
      <c r="D90" s="9">
        <f>RU_Clean!D90</f>
        <v>43862</v>
      </c>
      <c r="E90" s="6"/>
      <c r="F90" s="6"/>
      <c r="G90" s="12">
        <f>IF(AND(ISNUMBER(RU_Clean!G90),ISNUMBER(RU_Clean!G89)),(RU_Clean!G90-RU_Clean!G89)/RU_Clean!G89*100,"")</f>
        <v>0.346500346500347</v>
      </c>
      <c r="H90" s="12">
        <f>IF(AND(ISNUMBER(RU_Clean!H90),ISNUMBER(RU_Clean!H89)),(RU_Clean!H90-RU_Clean!H89)/RU_Clean!H89*100,"")</f>
        <v>0.0597371565113467</v>
      </c>
      <c r="I90" s="12">
        <f>IF(AND(ISNUMBER(RU_Clean!I90),ISNUMBER(RU_Clean!I89)),(RU_Clean!I90-RU_Clean!I89)/RU_Clean!I89*100,"")</f>
        <v>-2.00129115558424</v>
      </c>
      <c r="J90" s="12">
        <f>IF(AND(ISNUMBER(RU_Clean!J90),ISNUMBER(RU_Clean!J89)),(RU_Clean!J90-RU_Clean!J89)/RU_Clean!J89*100,"")</f>
        <v>0.466355762824795</v>
      </c>
      <c r="K90" s="12">
        <f>IF(AND(ISNUMBER(RU_Clean!K90),ISNUMBER(RU_Clean!K89)),(RU_Clean!K90-RU_Clean!K89)/RU_Clean!K89*100,"")</f>
        <v>1.15473441108545</v>
      </c>
      <c r="L90" s="12">
        <f>IF(AND(ISNUMBER(RU_Clean!L90),ISNUMBER(RU_Clean!L89)),(RU_Clean!L90-RU_Clean!L89)/RU_Clean!L89*100,"")</f>
        <v>-0.9776536312849</v>
      </c>
      <c r="M90" s="12">
        <f>IF(AND(ISNUMBER(RU_Clean!M90),ISNUMBER(RU_Clean!M89)),(RU_Clean!M90-RU_Clean!M89)/RU_Clean!M89*100,"")</f>
        <v>-13.3502538071066</v>
      </c>
      <c r="N90" s="12">
        <f>IF(AND(ISNUMBER(RU_Clean!N90),ISNUMBER(RU_Clean!N89)),(RU_Clean!N90-RU_Clean!N89)/RU_Clean!N89*100,"")</f>
        <v>0.49857549857549</v>
      </c>
      <c r="O90" s="12">
        <f>IF(AND(ISNUMBER(RU_Clean!O90),ISNUMBER(RU_Clean!O89)),(RU_Clean!O90-RU_Clean!O89)/RU_Clean!O89*100,"")</f>
        <v>-0.438212094653812</v>
      </c>
      <c r="P90" s="12">
        <f>IF(AND(ISNUMBER(RU_Clean!P90),ISNUMBER(RU_Clean!P89)),(RU_Clean!P90-RU_Clean!P89)/RU_Clean!P89*100,"")</f>
        <v>0.728959575878061</v>
      </c>
      <c r="Q90" s="12">
        <f>IF(AND(ISNUMBER(RU_Clean!Q90),ISNUMBER(RU_Clean!Q89)),(RU_Clean!Q90-RU_Clean!Q89)/RU_Clean!Q89*100,"")</f>
        <v>0.293901542983105</v>
      </c>
      <c r="R90" s="12">
        <f>IF(AND(ISNUMBER(RU_Clean!R90),ISNUMBER(RU_Clean!R89)),(RU_Clean!R90-RU_Clean!R89)/RU_Clean!R89*100,"")</f>
        <v>0.315258511979823</v>
      </c>
      <c r="S90" s="12">
        <f>IF(AND(ISNUMBER(RU_Clean!S90),ISNUMBER(RU_Clean!S89)),(RU_Clean!S90-RU_Clean!S89)/RU_Clean!S89*100,"")</f>
        <v>-1.95439739413681</v>
      </c>
      <c r="T90" s="12">
        <f>IF(AND(ISNUMBER(RU_Clean!T90),ISNUMBER(RU_Clean!T89)),(RU_Clean!T90-RU_Clean!T89)/RU_Clean!T89*100,"")</f>
        <v>0.531914893617025</v>
      </c>
      <c r="U90" s="12">
        <f>IF(AND(ISNUMBER(RU_Clean!U90),ISNUMBER(RU_Clean!U89)),(RU_Clean!U90-RU_Clean!U89)/RU_Clean!U89*100,"")</f>
        <v>0.199335548172765</v>
      </c>
      <c r="V90" s="12">
        <f>IF(AND(ISNUMBER(RU_Clean!V90),ISNUMBER(RU_Clean!V89)),(RU_Clean!V90-RU_Clean!V89)/RU_Clean!V89*100,"")</f>
        <v>0.141342756183738</v>
      </c>
      <c r="W90" s="12">
        <f>IF(AND(ISNUMBER(RU_Clean!W90),ISNUMBER(RU_Clean!W89)),(RU_Clean!W90-RU_Clean!W89)/RU_Clean!W89*100,"")</f>
        <v>0.201072386058989</v>
      </c>
      <c r="X90" s="12">
        <f>IF(AND(ISNUMBER(RU_Clean!X90),ISNUMBER(RU_Clean!X89)),(RU_Clean!X90-RU_Clean!X89)/RU_Clean!X89*100,"")</f>
        <v>0.584795321637431</v>
      </c>
      <c r="Y90" s="12">
        <f>IF(AND(ISNUMBER(RU_Clean!Y90),ISNUMBER(RU_Clean!Y89)),(RU_Clean!Y90-RU_Clean!Y89)/RU_Clean!Y89*100,"")</f>
        <v>1.79806362378976</v>
      </c>
      <c r="Z90" s="12">
        <f>IF(AND(ISNUMBER(RU_Clean!Z90),ISNUMBER(RU_Clean!Z89)),(RU_Clean!Z90-RU_Clean!Z89)/RU_Clean!Z89*100,"")</f>
        <v>0.136798905608767</v>
      </c>
      <c r="AA90" s="12">
        <f>IF(AND(ISNUMBER(RU_Clean!AA90),ISNUMBER(RU_Clean!AA89)),(RU_Clean!AA90-RU_Clean!AA89)/RU_Clean!AA89*100,"")</f>
        <v>0.330687830687831</v>
      </c>
      <c r="AB90" s="12">
        <f>IF(AND(ISNUMBER(RU_Clean!AB90),ISNUMBER(RU_Clean!AB89)),(RU_Clean!AB90-RU_Clean!AB89)/RU_Clean!AB89*100,"")</f>
        <v>-0.458365164247513</v>
      </c>
      <c r="AC90" s="12">
        <f>IF(AND(ISNUMBER(RU_Clean!AC90),ISNUMBER(RU_Clean!AC89)),(RU_Clean!AC90-RU_Clean!AC89)/RU_Clean!AC89*100,"")</f>
        <v>0.280112044817911</v>
      </c>
      <c r="AD90" s="12">
        <f>IF(AND(ISNUMBER(RU_Clean!AD90),ISNUMBER(RU_Clean!AD89)),(RU_Clean!AD90-RU_Clean!AD89)/RU_Clean!AD89*100,"")</f>
        <v>0.0640614990390739</v>
      </c>
      <c r="AE90" s="12">
        <f>IF(AND(ISNUMBER(RU_Clean!AE90),ISNUMBER(RU_Clean!AE89)),(RU_Clean!AE90-RU_Clean!AE89)/RU_Clean!AE89*100,"")</f>
        <v>0.773014757554458</v>
      </c>
      <c r="AF90" s="12">
        <f>IF(AND(ISNUMBER(RU_Clean!AF90),ISNUMBER(RU_Clean!AF89)),(RU_Clean!AF90-RU_Clean!AF89)/RU_Clean!AF89*100,"")</f>
        <v>0.139470013946993</v>
      </c>
      <c r="AG90" s="12">
        <f>IF(AND(ISNUMBER(RU_Clean!AG90),ISNUMBER(RU_Clean!AG89)),(RU_Clean!AG90-RU_Clean!AG89)/RU_Clean!AG89*100,"")</f>
        <v>-0.732356857523298</v>
      </c>
      <c r="AH90" s="12">
        <f>IF(AND(ISNUMBER(RU_Clean!AH90),ISNUMBER(RU_Clean!AH89)),(RU_Clean!AH90-RU_Clean!AH89)/RU_Clean!AH89*100,"")</f>
        <v>-1.44384128938385</v>
      </c>
    </row>
    <row r="91" spans="1:34">
      <c r="A91" s="6">
        <f>RU_Clean!A91</f>
        <v>2020</v>
      </c>
      <c r="B91" s="6">
        <f>RU_Clean!B91</f>
        <v>3</v>
      </c>
      <c r="C91" s="6" t="str">
        <f>RU_Clean!C91</f>
        <v>March</v>
      </c>
      <c r="D91" s="9">
        <f>RU_Clean!D91</f>
        <v>43891</v>
      </c>
      <c r="E91" s="6"/>
      <c r="F91" s="6"/>
      <c r="G91" s="12">
        <f>IF(AND(ISNUMBER(RU_Clean!G91),ISNUMBER(RU_Clean!G90)),(RU_Clean!G91-RU_Clean!G90)/RU_Clean!G90*100,"")</f>
        <v>0.207182320441977</v>
      </c>
      <c r="H91" s="12">
        <f>IF(AND(ISNUMBER(RU_Clean!H91),ISNUMBER(RU_Clean!H90)),(RU_Clean!H91-RU_Clean!H90)/RU_Clean!H90*100,"")</f>
        <v>-0.298507462686567</v>
      </c>
      <c r="I91" s="12">
        <f>IF(AND(ISNUMBER(RU_Clean!I91),ISNUMBER(RU_Clean!I90)),(RU_Clean!I91-RU_Clean!I90)/RU_Clean!I90*100,"")</f>
        <v>-2.43741765480897</v>
      </c>
      <c r="J91" s="12">
        <f>IF(AND(ISNUMBER(RU_Clean!J91),ISNUMBER(RU_Clean!J90)),(RU_Clean!J91-RU_Clean!J90)/RU_Clean!J90*100,"")</f>
        <v>0.464190981432353</v>
      </c>
      <c r="K91" s="12">
        <f>IF(AND(ISNUMBER(RU_Clean!K91),ISNUMBER(RU_Clean!K90)),(RU_Clean!K91-RU_Clean!K90)/RU_Clean!K90*100,"")</f>
        <v>-0.152207001522083</v>
      </c>
      <c r="L91" s="12">
        <f>IF(AND(ISNUMBER(RU_Clean!L91),ISNUMBER(RU_Clean!L90)),(RU_Clean!L91-RU_Clean!L90)/RU_Clean!L90*100,"")</f>
        <v>0.493653032440048</v>
      </c>
      <c r="M91" s="12">
        <f>IF(AND(ISNUMBER(RU_Clean!M91),ISNUMBER(RU_Clean!M90)),(RU_Clean!M91-RU_Clean!M90)/RU_Clean!M90*100,"")</f>
        <v>-7.85002929115406</v>
      </c>
      <c r="N91" s="12">
        <f>IF(AND(ISNUMBER(RU_Clean!N91),ISNUMBER(RU_Clean!N90)),(RU_Clean!N91-RU_Clean!N90)/RU_Clean!N90*100,"")</f>
        <v>0</v>
      </c>
      <c r="O91" s="12">
        <f>IF(AND(ISNUMBER(RU_Clean!O91),ISNUMBER(RU_Clean!O90)),(RU_Clean!O91-RU_Clean!O90)/RU_Clean!O90*100,"")</f>
        <v>-0.352112676056331</v>
      </c>
      <c r="P91" s="12">
        <f>IF(AND(ISNUMBER(RU_Clean!P91),ISNUMBER(RU_Clean!P90)),(RU_Clean!P91-RU_Clean!P90)/RU_Clean!P90*100,"")</f>
        <v>0.789473684210519</v>
      </c>
      <c r="Q91" s="12">
        <f>IF(AND(ISNUMBER(RU_Clean!Q91),ISNUMBER(RU_Clean!Q90)),(RU_Clean!Q91-RU_Clean!Q90)/RU_Clean!Q90*100,"")</f>
        <v>0.146520146520138</v>
      </c>
      <c r="R91" s="12">
        <f>IF(AND(ISNUMBER(RU_Clean!R91),ISNUMBER(RU_Clean!R90)),(RU_Clean!R91-RU_Clean!R90)/RU_Clean!R90*100,"")</f>
        <v>0.314267756128221</v>
      </c>
      <c r="S91" s="12">
        <f>IF(AND(ISNUMBER(RU_Clean!S91),ISNUMBER(RU_Clean!S90)),(RU_Clean!S91-RU_Clean!S90)/RU_Clean!S90*100,"")</f>
        <v>-1.06312292358804</v>
      </c>
      <c r="T91" s="12">
        <f>IF(AND(ISNUMBER(RU_Clean!T91),ISNUMBER(RU_Clean!T90)),(RU_Clean!T91-RU_Clean!T90)/RU_Clean!T90*100,"")</f>
        <v>0.646678424456199</v>
      </c>
      <c r="U91" s="12">
        <f>IF(AND(ISNUMBER(RU_Clean!U91),ISNUMBER(RU_Clean!U90)),(RU_Clean!U91-RU_Clean!U90)/RU_Clean!U90*100,"")</f>
        <v>0.265251989389905</v>
      </c>
      <c r="V91" s="12">
        <f>IF(AND(ISNUMBER(RU_Clean!V91),ISNUMBER(RU_Clean!V90)),(RU_Clean!V91-RU_Clean!V90)/RU_Clean!V90*100,"")</f>
        <v>0.141143260409328</v>
      </c>
      <c r="W91" s="12">
        <f>IF(AND(ISNUMBER(RU_Clean!W91),ISNUMBER(RU_Clean!W90)),(RU_Clean!W91-RU_Clean!W90)/RU_Clean!W90*100,"")</f>
        <v>0.200668896321078</v>
      </c>
      <c r="X91" s="12">
        <f>IF(AND(ISNUMBER(RU_Clean!X91),ISNUMBER(RU_Clean!X90)),(RU_Clean!X91-RU_Clean!X90)/RU_Clean!X90*100,"")</f>
        <v>-0.19379844961241</v>
      </c>
      <c r="Y91" s="12">
        <f>IF(AND(ISNUMBER(RU_Clean!Y91),ISNUMBER(RU_Clean!Y90)),(RU_Clean!Y91-RU_Clean!Y90)/RU_Clean!Y90*100,"")</f>
        <v>1.15489130434784</v>
      </c>
      <c r="Z91" s="12">
        <f>IF(AND(ISNUMBER(RU_Clean!Z91),ISNUMBER(RU_Clean!Z90)),(RU_Clean!Z91-RU_Clean!Z90)/RU_Clean!Z90*100,"")</f>
        <v>0</v>
      </c>
      <c r="AA91" s="12">
        <f>IF(AND(ISNUMBER(RU_Clean!AA91),ISNUMBER(RU_Clean!AA90)),(RU_Clean!AA91-RU_Clean!AA90)/RU_Clean!AA90*100,"")</f>
        <v>0.395517468688215</v>
      </c>
      <c r="AB91" s="12">
        <f>IF(AND(ISNUMBER(RU_Clean!AB91),ISNUMBER(RU_Clean!AB90)),(RU_Clean!AB91-RU_Clean!AB90)/RU_Clean!AB90*100,"")</f>
        <v>-0.306983883346129</v>
      </c>
      <c r="AC91" s="12">
        <f>IF(AND(ISNUMBER(RU_Clean!AC91),ISNUMBER(RU_Clean!AC90)),(RU_Clean!AC91-RU_Clean!AC90)/RU_Clean!AC90*100,"")</f>
        <v>0.349162011173184</v>
      </c>
      <c r="AD91" s="12">
        <f>IF(AND(ISNUMBER(RU_Clean!AD91),ISNUMBER(RU_Clean!AD90)),(RU_Clean!AD91-RU_Clean!AD90)/RU_Clean!AD90*100,"")</f>
        <v>-0.0640204865556942</v>
      </c>
      <c r="AE91" s="12">
        <f>IF(AND(ISNUMBER(RU_Clean!AE91),ISNUMBER(RU_Clean!AE90)),(RU_Clean!AE91-RU_Clean!AE90)/RU_Clean!AE90*100,"")</f>
        <v>1.255230125523</v>
      </c>
      <c r="AF91" s="12">
        <f>IF(AND(ISNUMBER(RU_Clean!AF91),ISNUMBER(RU_Clean!AF90)),(RU_Clean!AF91-RU_Clean!AF90)/RU_Clean!AF90*100,"")</f>
        <v>0.139275766016725</v>
      </c>
      <c r="AG91" s="12">
        <f>IF(AND(ISNUMBER(RU_Clean!AG91),ISNUMBER(RU_Clean!AG90)),(RU_Clean!AG91-RU_Clean!AG90)/RU_Clean!AG90*100,"")</f>
        <v>-0.335345405767941</v>
      </c>
      <c r="AH91" s="12">
        <f>IF(AND(ISNUMBER(RU_Clean!AH91),ISNUMBER(RU_Clean!AH90)),(RU_Clean!AH91-RU_Clean!AH90)/RU_Clean!AH90*100,"")</f>
        <v>-0.829027312475152</v>
      </c>
    </row>
    <row r="92" spans="1:34">
      <c r="A92" s="6">
        <f>RU_Clean!A92</f>
        <v>2020</v>
      </c>
      <c r="B92" s="6">
        <f>RU_Clean!B92</f>
        <v>4</v>
      </c>
      <c r="C92" s="6" t="str">
        <f>RU_Clean!C92</f>
        <v>April</v>
      </c>
      <c r="D92" s="9">
        <f>RU_Clean!D92</f>
        <v>43922</v>
      </c>
      <c r="E92" s="6"/>
      <c r="F92" s="6"/>
      <c r="G92" s="12">
        <f>IF(AND(ISNUMBER(RU_Clean!G92),ISNUMBER(RU_Clean!G91)),(RU_Clean!G92-RU_Clean!G91)/RU_Clean!G91*100,"")</f>
        <v>2.48104755341144</v>
      </c>
      <c r="H92" s="12">
        <f>IF(AND(ISNUMBER(RU_Clean!H92),ISNUMBER(RU_Clean!H91)),(RU_Clean!H92-RU_Clean!H91)/RU_Clean!H91*100,"")</f>
        <v>5.12974051896207</v>
      </c>
      <c r="I92" s="12">
        <f>IF(AND(ISNUMBER(RU_Clean!I92),ISNUMBER(RU_Clean!I91)),(RU_Clean!I92-RU_Clean!I91)/RU_Clean!I91*100,"")</f>
        <v>0.472653612424049</v>
      </c>
      <c r="J92" s="12">
        <f>IF(AND(ISNUMBER(RU_Clean!J92),ISNUMBER(RU_Clean!J91)),(RU_Clean!J92-RU_Clean!J91)/RU_Clean!J91*100,"")</f>
        <v>2.7062706270627</v>
      </c>
      <c r="K92" s="12">
        <f>IF(AND(ISNUMBER(RU_Clean!K92),ISNUMBER(RU_Clean!K91)),(RU_Clean!K92-RU_Clean!K91)/RU_Clean!K91*100,"")</f>
        <v>2.97256097560976</v>
      </c>
      <c r="L92" s="12">
        <f>IF(AND(ISNUMBER(RU_Clean!L92),ISNUMBER(RU_Clean!L91)),(RU_Clean!L92-RU_Clean!L91)/RU_Clean!L91*100,"")</f>
        <v>5.19298245614035</v>
      </c>
      <c r="M92" s="12">
        <f>IF(AND(ISNUMBER(RU_Clean!M92),ISNUMBER(RU_Clean!M91)),(RU_Clean!M92-RU_Clean!M91)/RU_Clean!M91*100,"")</f>
        <v>7.18372536554354</v>
      </c>
      <c r="N92" s="12">
        <f>IF(AND(ISNUMBER(RU_Clean!N92),ISNUMBER(RU_Clean!N91)),(RU_Clean!N92-RU_Clean!N91)/RU_Clean!N91*100,"")</f>
        <v>6.59107016300497</v>
      </c>
      <c r="O92" s="12">
        <f>IF(AND(ISNUMBER(RU_Clean!O92),ISNUMBER(RU_Clean!O91)),(RU_Clean!O92-RU_Clean!O91)/RU_Clean!O91*100,"")</f>
        <v>6.27208480565371</v>
      </c>
      <c r="P92" s="12">
        <f>IF(AND(ISNUMBER(RU_Clean!P92),ISNUMBER(RU_Clean!P91)),(RU_Clean!P92-RU_Clean!P91)/RU_Clean!P91*100,"")</f>
        <v>2.54569190600523</v>
      </c>
      <c r="Q92" s="12">
        <f>IF(AND(ISNUMBER(RU_Clean!Q92),ISNUMBER(RU_Clean!Q91)),(RU_Clean!Q92-RU_Clean!Q91)/RU_Clean!Q91*100,"")</f>
        <v>0.0731528895391534</v>
      </c>
      <c r="R92" s="12">
        <f>IF(AND(ISNUMBER(RU_Clean!R92),ISNUMBER(RU_Clean!R91)),(RU_Clean!R92-RU_Clean!R91)/RU_Clean!R91*100,"")</f>
        <v>0.459482038429416</v>
      </c>
      <c r="S92" s="12">
        <f>IF(AND(ISNUMBER(RU_Clean!S92),ISNUMBER(RU_Clean!S91)),(RU_Clean!S92-RU_Clean!S91)/RU_Clean!S91*100,"")</f>
        <v>1.67897918065816</v>
      </c>
      <c r="T92" s="12">
        <f>IF(AND(ISNUMBER(RU_Clean!T92),ISNUMBER(RU_Clean!T91)),(RU_Clean!T92-RU_Clean!T91)/RU_Clean!T91*100,"")</f>
        <v>2.39485981308411</v>
      </c>
      <c r="U92" s="12">
        <f>IF(AND(ISNUMBER(RU_Clean!U92),ISNUMBER(RU_Clean!U91)),(RU_Clean!U92-RU_Clean!U91)/RU_Clean!U91*100,"")</f>
        <v>0.286596119929456</v>
      </c>
      <c r="V92" s="12">
        <f>IF(AND(ISNUMBER(RU_Clean!V92),ISNUMBER(RU_Clean!V91)),(RU_Clean!V92-RU_Clean!V91)/RU_Clean!V91*100,"")</f>
        <v>0.587268029128501</v>
      </c>
      <c r="W92" s="12">
        <f>IF(AND(ISNUMBER(RU_Clean!W92),ISNUMBER(RU_Clean!W91)),(RU_Clean!W92-RU_Clean!W91)/RU_Clean!W91*100,"")</f>
        <v>0.356030262572317</v>
      </c>
      <c r="X92" s="12">
        <f>IF(AND(ISNUMBER(RU_Clean!X92),ISNUMBER(RU_Clean!X91)),(RU_Clean!X92-RU_Clean!X91)/RU_Clean!X91*100,"")</f>
        <v>0.711974110032359</v>
      </c>
      <c r="Y92" s="12">
        <f>IF(AND(ISNUMBER(RU_Clean!Y92),ISNUMBER(RU_Clean!Y91)),(RU_Clean!Y92-RU_Clean!Y91)/RU_Clean!Y91*100,"")</f>
        <v>-3.22364002686367</v>
      </c>
      <c r="Z92" s="12">
        <f>IF(AND(ISNUMBER(RU_Clean!Z92),ISNUMBER(RU_Clean!Z91)),(RU_Clean!Z92-RU_Clean!Z91)/RU_Clean!Z91*100,"")</f>
        <v>0</v>
      </c>
      <c r="AA92" s="12">
        <f>IF(AND(ISNUMBER(RU_Clean!AA92),ISNUMBER(RU_Clean!AA91)),(RU_Clean!AA92-RU_Clean!AA91)/RU_Clean!AA91*100,"")</f>
        <v>-1.05055810899542</v>
      </c>
      <c r="AB92" s="12">
        <f>IF(AND(ISNUMBER(RU_Clean!AB92),ISNUMBER(RU_Clean!AB91)),(RU_Clean!AB92-RU_Clean!AB91)/RU_Clean!AB91*100,"")</f>
        <v>1.30869899923017</v>
      </c>
      <c r="AC92" s="12">
        <f>IF(AND(ISNUMBER(RU_Clean!AC92),ISNUMBER(RU_Clean!AC91)),(RU_Clean!AC92-RU_Clean!AC91)/RU_Clean!AC91*100,"")</f>
        <v>1.06703781025284</v>
      </c>
      <c r="AD92" s="12">
        <f>IF(AND(ISNUMBER(RU_Clean!AD92),ISNUMBER(RU_Clean!AD91)),(RU_Clean!AD92-RU_Clean!AD91)/RU_Clean!AD91*100,"")</f>
        <v>0.0640614990390739</v>
      </c>
      <c r="AE92" s="12">
        <f>IF(AND(ISNUMBER(RU_Clean!AE92),ISNUMBER(RU_Clean!AE91)),(RU_Clean!AE92-RU_Clean!AE91)/RU_Clean!AE91*100,"")</f>
        <v>1.46923783287419</v>
      </c>
      <c r="AF92" s="12">
        <f>IF(AND(ISNUMBER(RU_Clean!AF92),ISNUMBER(RU_Clean!AF91)),(RU_Clean!AF92-RU_Clean!AF91)/RU_Clean!AF91*100,"")</f>
        <v>0.741770978210475</v>
      </c>
      <c r="AG92" s="12">
        <f>IF(AND(ISNUMBER(RU_Clean!AG92),ISNUMBER(RU_Clean!AG91)),(RU_Clean!AG92-RU_Clean!AG91)/RU_Clean!AG91*100,"")</f>
        <v>0.717810677433824</v>
      </c>
      <c r="AH92" s="12">
        <f>IF(AND(ISNUMBER(RU_Clean!AH92),ISNUMBER(RU_Clean!AH91)),(RU_Clean!AH92-RU_Clean!AH91)/RU_Clean!AH91*100,"")</f>
        <v>3.47552247351846</v>
      </c>
    </row>
    <row r="93" spans="1:34">
      <c r="A93" s="6">
        <f>RU_Clean!A93</f>
        <v>2020</v>
      </c>
      <c r="B93" s="6">
        <f>RU_Clean!B93</f>
        <v>5</v>
      </c>
      <c r="C93" s="6" t="str">
        <f>RU_Clean!C93</f>
        <v>May</v>
      </c>
      <c r="D93" s="9">
        <f>RU_Clean!D93</f>
        <v>43952</v>
      </c>
      <c r="E93" s="6"/>
      <c r="F93" s="6"/>
      <c r="G93" s="12">
        <f>IF(AND(ISNUMBER(RU_Clean!G93),ISNUMBER(RU_Clean!G92)),(RU_Clean!G93-RU_Clean!G92)/RU_Clean!G92*100,"")</f>
        <v>0.302622730329515</v>
      </c>
      <c r="H93" s="12">
        <f>IF(AND(ISNUMBER(RU_Clean!H93),ISNUMBER(RU_Clean!H92)),(RU_Clean!H93-RU_Clean!H92)/RU_Clean!H92*100,"")</f>
        <v>4.87943801025251</v>
      </c>
      <c r="I93" s="12">
        <f>IF(AND(ISNUMBER(RU_Clean!I93),ISNUMBER(RU_Clean!I92)),(RU_Clean!I93-RU_Clean!I92)/RU_Clean!I92*100,"")</f>
        <v>0.873655913978502</v>
      </c>
      <c r="J93" s="12">
        <f>IF(AND(ISNUMBER(RU_Clean!J93),ISNUMBER(RU_Clean!J92)),(RU_Clean!J93-RU_Clean!J92)/RU_Clean!J92*100,"")</f>
        <v>-0.739074550128538</v>
      </c>
      <c r="K93" s="12">
        <f>IF(AND(ISNUMBER(RU_Clean!K93),ISNUMBER(RU_Clean!K92)),(RU_Clean!K93-RU_Clean!K92)/RU_Clean!K92*100,"")</f>
        <v>0.444115470022202</v>
      </c>
      <c r="L93" s="12">
        <f>IF(AND(ISNUMBER(RU_Clean!L93),ISNUMBER(RU_Clean!L92)),(RU_Clean!L93-RU_Clean!L92)/RU_Clean!L92*100,"")</f>
        <v>-0.900600400266841</v>
      </c>
      <c r="M93" s="12">
        <f>IF(AND(ISNUMBER(RU_Clean!M93),ISNUMBER(RU_Clean!M92)),(RU_Clean!M93-RU_Clean!M92)/RU_Clean!M92*100,"")</f>
        <v>-3.58837485172004</v>
      </c>
      <c r="N93" s="12">
        <f>IF(AND(ISNUMBER(RU_Clean!N93),ISNUMBER(RU_Clean!N92)),(RU_Clean!N93-RU_Clean!N92)/RU_Clean!N92*100,"")</f>
        <v>0.166223404255319</v>
      </c>
      <c r="O93" s="12">
        <f>IF(AND(ISNUMBER(RU_Clean!O93),ISNUMBER(RU_Clean!O92)),(RU_Clean!O93-RU_Clean!O92)/RU_Clean!O92*100,"")</f>
        <v>-2.53532834580216</v>
      </c>
      <c r="P93" s="12">
        <f>IF(AND(ISNUMBER(RU_Clean!P93),ISNUMBER(RU_Clean!P92)),(RU_Clean!P93-RU_Clean!P92)/RU_Clean!P92*100,"")</f>
        <v>0.763844684914078</v>
      </c>
      <c r="Q93" s="12">
        <f>IF(AND(ISNUMBER(RU_Clean!Q93),ISNUMBER(RU_Clean!Q92)),(RU_Clean!Q93-RU_Clean!Q92)/RU_Clean!Q92*100,"")</f>
        <v>0.950292397660827</v>
      </c>
      <c r="R93" s="12">
        <f>IF(AND(ISNUMBER(RU_Clean!R93),ISNUMBER(RU_Clean!R92)),(RU_Clean!R93-RU_Clean!R92)/RU_Clean!R92*100,"")</f>
        <v>0.457380457380449</v>
      </c>
      <c r="S93" s="12">
        <f>IF(AND(ISNUMBER(RU_Clean!S93),ISNUMBER(RU_Clean!S92)),(RU_Clean!S93-RU_Clean!S92)/RU_Clean!S92*100,"")</f>
        <v>0.858652575957717</v>
      </c>
      <c r="T93" s="12">
        <f>IF(AND(ISNUMBER(RU_Clean!T93),ISNUMBER(RU_Clean!T92)),(RU_Clean!T93-RU_Clean!T92)/RU_Clean!T92*100,"")</f>
        <v>2.33884768967484</v>
      </c>
      <c r="U93" s="12">
        <f>IF(AND(ISNUMBER(RU_Clean!U93),ISNUMBER(RU_Clean!U92)),(RU_Clean!U93-RU_Clean!U92)/RU_Clean!U92*100,"")</f>
        <v>0.285777093866786</v>
      </c>
      <c r="V93" s="12">
        <f>IF(AND(ISNUMBER(RU_Clean!V93),ISNUMBER(RU_Clean!V92)),(RU_Clean!V93-RU_Clean!V92)/RU_Clean!V92*100,"")</f>
        <v>0.583839327417081</v>
      </c>
      <c r="W93" s="12">
        <f>IF(AND(ISNUMBER(RU_Clean!W93),ISNUMBER(RU_Clean!W92)),(RU_Clean!W93-RU_Clean!W92)/RU_Clean!W92*100,"")</f>
        <v>0.354767184035475</v>
      </c>
      <c r="X93" s="12">
        <f>IF(AND(ISNUMBER(RU_Clean!X93),ISNUMBER(RU_Clean!X92)),(RU_Clean!X93-RU_Clean!X92)/RU_Clean!X92*100,"")</f>
        <v>-0.289203084832916</v>
      </c>
      <c r="Y93" s="12">
        <f>IF(AND(ISNUMBER(RU_Clean!Y93),ISNUMBER(RU_Clean!Y92)),(RU_Clean!Y93-RU_Clean!Y92)/RU_Clean!Y92*100,"")</f>
        <v>-0.76335877862595</v>
      </c>
      <c r="Z93" s="12">
        <f>IF(AND(ISNUMBER(RU_Clean!Z93),ISNUMBER(RU_Clean!Z92)),(RU_Clean!Z93-RU_Clean!Z92)/RU_Clean!Z92*100,"")</f>
        <v>0</v>
      </c>
      <c r="AA93" s="12">
        <f>IF(AND(ISNUMBER(RU_Clean!AA93),ISNUMBER(RU_Clean!AA92)),(RU_Clean!AA93-RU_Clean!AA92)/RU_Clean!AA92*100,"")</f>
        <v>1.22760451227606</v>
      </c>
      <c r="AB93" s="12">
        <f>IF(AND(ISNUMBER(RU_Clean!AB93),ISNUMBER(RU_Clean!AB92)),(RU_Clean!AB93-RU_Clean!AB92)/RU_Clean!AB92*100,"")</f>
        <v>1.29179331306992</v>
      </c>
      <c r="AC93" s="12">
        <f>IF(AND(ISNUMBER(RU_Clean!AC93),ISNUMBER(RU_Clean!AC92)),(RU_Clean!AC93-RU_Clean!AC92)/RU_Clean!AC92*100,"")</f>
        <v>1.05577232040395</v>
      </c>
      <c r="AD93" s="12">
        <f>IF(AND(ISNUMBER(RU_Clean!AD93),ISNUMBER(RU_Clean!AD92)),(RU_Clean!AD93-RU_Clean!AD92)/RU_Clean!AD92*100,"")</f>
        <v>0.0640204865557124</v>
      </c>
      <c r="AE93" s="12">
        <f>IF(AND(ISNUMBER(RU_Clean!AE93),ISNUMBER(RU_Clean!AE92)),(RU_Clean!AE93-RU_Clean!AE92)/RU_Clean!AE92*100,"")</f>
        <v>1.44796380090497</v>
      </c>
      <c r="AF93" s="12">
        <f>IF(AND(ISNUMBER(RU_Clean!AF93),ISNUMBER(RU_Clean!AF92)),(RU_Clean!AF93-RU_Clean!AF92)/RU_Clean!AF92*100,"")</f>
        <v>0.736309249884949</v>
      </c>
      <c r="AG93" s="12">
        <f>IF(AND(ISNUMBER(RU_Clean!AG93),ISNUMBER(RU_Clean!AG92)),(RU_Clean!AG93-RU_Clean!AG92)/RU_Clean!AG92*100,"")</f>
        <v>0.712694877505584</v>
      </c>
      <c r="AH93" s="12">
        <f>IF(AND(ISNUMBER(RU_Clean!AH93),ISNUMBER(RU_Clean!AH92)),(RU_Clean!AH93-RU_Clean!AH92)/RU_Clean!AH92*100,"")</f>
        <v>0.15493581230634</v>
      </c>
    </row>
    <row r="94" spans="1:34">
      <c r="A94" s="6">
        <f>RU_Clean!A94</f>
        <v>2020</v>
      </c>
      <c r="B94" s="6">
        <f>RU_Clean!B94</f>
        <v>6</v>
      </c>
      <c r="C94" s="6" t="str">
        <f>RU_Clean!C94</f>
        <v>June</v>
      </c>
      <c r="D94" s="9">
        <f>RU_Clean!D94</f>
        <v>43983</v>
      </c>
      <c r="E94" s="6"/>
      <c r="F94" s="6"/>
      <c r="G94" s="12">
        <f>IF(AND(ISNUMBER(RU_Clean!G94),ISNUMBER(RU_Clean!G93)),(RU_Clean!G94-RU_Clean!G93)/RU_Clean!G93*100,"")</f>
        <v>0.301709688233334</v>
      </c>
      <c r="H94" s="12">
        <f>IF(AND(ISNUMBER(RU_Clean!H94),ISNUMBER(RU_Clean!H93)),(RU_Clean!H94-RU_Clean!H93)/RU_Clean!H93*100,"")</f>
        <v>4.65242577842143</v>
      </c>
      <c r="I94" s="12">
        <f>IF(AND(ISNUMBER(RU_Clean!I94),ISNUMBER(RU_Clean!I93)),(RU_Clean!I94-RU_Clean!I93)/RU_Clean!I93*100,"")</f>
        <v>0.866089273817443</v>
      </c>
      <c r="J94" s="12">
        <f>IF(AND(ISNUMBER(RU_Clean!J94),ISNUMBER(RU_Clean!J93)),(RU_Clean!J94-RU_Clean!J93)/RU_Clean!J93*100,"")</f>
        <v>-0.744577533182245</v>
      </c>
      <c r="K94" s="12">
        <f>IF(AND(ISNUMBER(RU_Clean!K94),ISNUMBER(RU_Clean!K93)),(RU_Clean!K94-RU_Clean!K93)/RU_Clean!K93*100,"")</f>
        <v>0.442151805453222</v>
      </c>
      <c r="L94" s="12">
        <f>IF(AND(ISNUMBER(RU_Clean!L94),ISNUMBER(RU_Clean!L93)),(RU_Clean!L94-RU_Clean!L93)/RU_Clean!L93*100,"")</f>
        <v>-0.908784920902068</v>
      </c>
      <c r="M94" s="12">
        <f>IF(AND(ISNUMBER(RU_Clean!M94),ISNUMBER(RU_Clean!M93)),(RU_Clean!M94-RU_Clean!M93)/RU_Clean!M93*100,"")</f>
        <v>-3.72193171331899</v>
      </c>
      <c r="N94" s="12">
        <f>IF(AND(ISNUMBER(RU_Clean!N94),ISNUMBER(RU_Clean!N93)),(RU_Clean!N94-RU_Clean!N93)/RU_Clean!N93*100,"")</f>
        <v>0.16594756057086</v>
      </c>
      <c r="O94" s="12">
        <f>IF(AND(ISNUMBER(RU_Clean!O94),ISNUMBER(RU_Clean!O93)),(RU_Clean!O94-RU_Clean!O93)/RU_Clean!O93*100,"")</f>
        <v>-2.60127931769723</v>
      </c>
      <c r="P94" s="12">
        <f>IF(AND(ISNUMBER(RU_Clean!P94),ISNUMBER(RU_Clean!P93)),(RU_Clean!P94-RU_Clean!P93)/RU_Clean!P93*100,"")</f>
        <v>0.758054327226777</v>
      </c>
      <c r="Q94" s="12">
        <f>IF(AND(ISNUMBER(RU_Clean!Q94),ISNUMBER(RU_Clean!Q93)),(RU_Clean!Q94-RU_Clean!Q93)/RU_Clean!Q93*100,"")</f>
        <v>0.941346850108604</v>
      </c>
      <c r="R94" s="12">
        <f>IF(AND(ISNUMBER(RU_Clean!R94),ISNUMBER(RU_Clean!R93)),(RU_Clean!R94-RU_Clean!R93)/RU_Clean!R93*100,"")</f>
        <v>0.455298013245043</v>
      </c>
      <c r="S94" s="12">
        <f>IF(AND(ISNUMBER(RU_Clean!S94),ISNUMBER(RU_Clean!S93)),(RU_Clean!S94-RU_Clean!S93)/RU_Clean!S93*100,"")</f>
        <v>0.851342501637205</v>
      </c>
      <c r="T94" s="12">
        <f>IF(AND(ISNUMBER(RU_Clean!T94),ISNUMBER(RU_Clean!T93)),(RU_Clean!T94-RU_Clean!T93)/RU_Clean!T93*100,"")</f>
        <v>2.28539576365665</v>
      </c>
      <c r="U94" s="12">
        <f>IF(AND(ISNUMBER(RU_Clean!U94),ISNUMBER(RU_Clean!U93)),(RU_Clean!U94-RU_Clean!U93)/RU_Clean!U93*100,"")</f>
        <v>0.284962735642265</v>
      </c>
      <c r="V94" s="12">
        <f>IF(AND(ISNUMBER(RU_Clean!V94),ISNUMBER(RU_Clean!V93)),(RU_Clean!V94-RU_Clean!V93)/RU_Clean!V93*100,"")</f>
        <v>0.580450429533324</v>
      </c>
      <c r="W94" s="12">
        <f>IF(AND(ISNUMBER(RU_Clean!W94),ISNUMBER(RU_Clean!W93)),(RU_Clean!W94-RU_Clean!W93)/RU_Clean!W93*100,"")</f>
        <v>0.353513035793194</v>
      </c>
      <c r="X94" s="12">
        <f>IF(AND(ISNUMBER(RU_Clean!X94),ISNUMBER(RU_Clean!X93)),(RU_Clean!X94-RU_Clean!X93)/RU_Clean!X93*100,"")</f>
        <v>-0.290041894940373</v>
      </c>
      <c r="Y94" s="12">
        <f>IF(AND(ISNUMBER(RU_Clean!Y94),ISNUMBER(RU_Clean!Y93)),(RU_Clean!Y94-RU_Clean!Y93)/RU_Clean!Y93*100,"")</f>
        <v>-0.769230769230765</v>
      </c>
      <c r="Z94" s="12">
        <f>IF(AND(ISNUMBER(RU_Clean!Z94),ISNUMBER(RU_Clean!Z93)),(RU_Clean!Z94-RU_Clean!Z93)/RU_Clean!Z93*100,"")</f>
        <v>0</v>
      </c>
      <c r="AA94" s="12">
        <f>IF(AND(ISNUMBER(RU_Clean!AA94),ISNUMBER(RU_Clean!AA93)),(RU_Clean!AA94-RU_Clean!AA93)/RU_Clean!AA93*100,"")</f>
        <v>1.21271714192068</v>
      </c>
      <c r="AB94" s="12">
        <f>IF(AND(ISNUMBER(RU_Clean!AB94),ISNUMBER(RU_Clean!AB93)),(RU_Clean!AB94-RU_Clean!AB93)/RU_Clean!AB93*100,"")</f>
        <v>1.27531882970742</v>
      </c>
      <c r="AC94" s="12">
        <f>IF(AND(ISNUMBER(RU_Clean!AC94),ISNUMBER(RU_Clean!AC93)),(RU_Clean!AC94-RU_Clean!AC93)/RU_Clean!AC93*100,"")</f>
        <v>1.04474222121283</v>
      </c>
      <c r="AD94" s="12">
        <f>IF(AND(ISNUMBER(RU_Clean!AD94),ISNUMBER(RU_Clean!AD93)),(RU_Clean!AD94-RU_Clean!AD93)/RU_Clean!AD93*100,"")</f>
        <v>0.0639795265514999</v>
      </c>
      <c r="AE94" s="12">
        <f>IF(AND(ISNUMBER(RU_Clean!AE94),ISNUMBER(RU_Clean!AE93)),(RU_Clean!AE94-RU_Clean!AE93)/RU_Clean!AE93*100,"")</f>
        <v>1.42729705619984</v>
      </c>
      <c r="AF94" s="12">
        <f>IF(AND(ISNUMBER(RU_Clean!AF94),ISNUMBER(RU_Clean!AF93)),(RU_Clean!AF94-RU_Clean!AF93)/RU_Clean!AF93*100,"")</f>
        <v>0.730927364093191</v>
      </c>
      <c r="AG94" s="12">
        <f>IF(AND(ISNUMBER(RU_Clean!AG94),ISNUMBER(RU_Clean!AG93)),(RU_Clean!AG94-RU_Clean!AG93)/RU_Clean!AG93*100,"")</f>
        <v>0.707651481645287</v>
      </c>
      <c r="AH94" s="12">
        <f>IF(AND(ISNUMBER(RU_Clean!AH94),ISNUMBER(RU_Clean!AH93)),(RU_Clean!AH94-RU_Clean!AH93)/RU_Clean!AH93*100,"")</f>
        <v>0.154696132596695</v>
      </c>
    </row>
    <row r="95" spans="1:34">
      <c r="A95" s="6">
        <f>RU_Clean!A95</f>
        <v>2020</v>
      </c>
      <c r="B95" s="6">
        <f>RU_Clean!B95</f>
        <v>7</v>
      </c>
      <c r="C95" s="6" t="str">
        <f>RU_Clean!C95</f>
        <v>July</v>
      </c>
      <c r="D95" s="9">
        <f>RU_Clean!D95</f>
        <v>44013</v>
      </c>
      <c r="E95" s="6"/>
      <c r="F95" s="6"/>
      <c r="G95" s="12">
        <f>IF(AND(ISNUMBER(RU_Clean!G95),ISNUMBER(RU_Clean!G94)),(RU_Clean!G95-RU_Clean!G94)/RU_Clean!G94*100,"")</f>
        <v>0</v>
      </c>
      <c r="H95" s="12">
        <f>IF(AND(ISNUMBER(RU_Clean!H95),ISNUMBER(RU_Clean!H94)),(RU_Clean!H95-RU_Clean!H94)/RU_Clean!H94*100,"")</f>
        <v>0</v>
      </c>
      <c r="I95" s="12">
        <f>IF(AND(ISNUMBER(RU_Clean!I95),ISNUMBER(RU_Clean!I94)),(RU_Clean!I95-RU_Clean!I94)/RU_Clean!I94*100,"")</f>
        <v>0</v>
      </c>
      <c r="J95" s="12">
        <f>IF(AND(ISNUMBER(RU_Clean!J95),ISNUMBER(RU_Clean!J94)),(RU_Clean!J95-RU_Clean!J94)/RU_Clean!J94*100,"")</f>
        <v>0</v>
      </c>
      <c r="K95" s="12">
        <f>IF(AND(ISNUMBER(RU_Clean!K95),ISNUMBER(RU_Clean!K94)),(RU_Clean!K95-RU_Clean!K94)/RU_Clean!K94*100,"")</f>
        <v>0</v>
      </c>
      <c r="L95" s="12">
        <f>IF(AND(ISNUMBER(RU_Clean!L95),ISNUMBER(RU_Clean!L94)),(RU_Clean!L95-RU_Clean!L94)/RU_Clean!L94*100,"")</f>
        <v>0</v>
      </c>
      <c r="M95" s="12">
        <f>IF(AND(ISNUMBER(RU_Clean!M95),ISNUMBER(RU_Clean!M94)),(RU_Clean!M95-RU_Clean!M94)/RU_Clean!M94*100,"")</f>
        <v>0</v>
      </c>
      <c r="N95" s="12">
        <f>IF(AND(ISNUMBER(RU_Clean!N95),ISNUMBER(RU_Clean!N94)),(RU_Clean!N95-RU_Clean!N94)/RU_Clean!N94*100,"")</f>
        <v>0</v>
      </c>
      <c r="O95" s="12">
        <f>IF(AND(ISNUMBER(RU_Clean!O95),ISNUMBER(RU_Clean!O94)),(RU_Clean!O95-RU_Clean!O94)/RU_Clean!O94*100,"")</f>
        <v>0</v>
      </c>
      <c r="P95" s="12">
        <f>IF(AND(ISNUMBER(RU_Clean!P95),ISNUMBER(RU_Clean!P94)),(RU_Clean!P95-RU_Clean!P94)/RU_Clean!P94*100,"")</f>
        <v>0</v>
      </c>
      <c r="Q95" s="12">
        <f>IF(AND(ISNUMBER(RU_Clean!Q95),ISNUMBER(RU_Clean!Q94)),(RU_Clean!Q95-RU_Clean!Q94)/RU_Clean!Q94*100,"")</f>
        <v>0</v>
      </c>
      <c r="R95" s="12">
        <f>IF(AND(ISNUMBER(RU_Clean!R95),ISNUMBER(RU_Clean!R94)),(RU_Clean!R95-RU_Clean!R94)/RU_Clean!R94*100,"")</f>
        <v>0</v>
      </c>
      <c r="S95" s="12">
        <f>IF(AND(ISNUMBER(RU_Clean!S95),ISNUMBER(RU_Clean!S94)),(RU_Clean!S95-RU_Clean!S94)/RU_Clean!S94*100,"")</f>
        <v>0</v>
      </c>
      <c r="T95" s="12">
        <f>IF(AND(ISNUMBER(RU_Clean!T95),ISNUMBER(RU_Clean!T94)),(RU_Clean!T95-RU_Clean!T94)/RU_Clean!T94*100,"")</f>
        <v>0</v>
      </c>
      <c r="U95" s="12">
        <f>IF(AND(ISNUMBER(RU_Clean!U95),ISNUMBER(RU_Clean!U94)),(RU_Clean!U95-RU_Clean!U94)/RU_Clean!U94*100,"")</f>
        <v>0</v>
      </c>
      <c r="V95" s="12">
        <f>IF(AND(ISNUMBER(RU_Clean!V95),ISNUMBER(RU_Clean!V94)),(RU_Clean!V95-RU_Clean!V94)/RU_Clean!V94*100,"")</f>
        <v>0</v>
      </c>
      <c r="W95" s="12">
        <f>IF(AND(ISNUMBER(RU_Clean!W95),ISNUMBER(RU_Clean!W94)),(RU_Clean!W95-RU_Clean!W94)/RU_Clean!W94*100,"")</f>
        <v>0</v>
      </c>
      <c r="X95" s="12">
        <f>IF(AND(ISNUMBER(RU_Clean!X95),ISNUMBER(RU_Clean!X94)),(RU_Clean!X95-RU_Clean!X94)/RU_Clean!X94*100,"")</f>
        <v>0</v>
      </c>
      <c r="Y95" s="12">
        <f>IF(AND(ISNUMBER(RU_Clean!Y95),ISNUMBER(RU_Clean!Y94)),(RU_Clean!Y95-RU_Clean!Y94)/RU_Clean!Y94*100,"")</f>
        <v>0</v>
      </c>
      <c r="Z95" s="12">
        <f>IF(AND(ISNUMBER(RU_Clean!Z95),ISNUMBER(RU_Clean!Z94)),(RU_Clean!Z95-RU_Clean!Z94)/RU_Clean!Z94*100,"")</f>
        <v>0</v>
      </c>
      <c r="AA95" s="12">
        <f>IF(AND(ISNUMBER(RU_Clean!AA95),ISNUMBER(RU_Clean!AA94)),(RU_Clean!AA95-RU_Clean!AA94)/RU_Clean!AA94*100,"")</f>
        <v>0</v>
      </c>
      <c r="AB95" s="12">
        <f>IF(AND(ISNUMBER(RU_Clean!AB95),ISNUMBER(RU_Clean!AB94)),(RU_Clean!AB95-RU_Clean!AB94)/RU_Clean!AB94*100,"")</f>
        <v>0</v>
      </c>
      <c r="AC95" s="12">
        <f>IF(AND(ISNUMBER(RU_Clean!AC95),ISNUMBER(RU_Clean!AC94)),(RU_Clean!AC95-RU_Clean!AC94)/RU_Clean!AC94*100,"")</f>
        <v>0</v>
      </c>
      <c r="AD95" s="12">
        <f>IF(AND(ISNUMBER(RU_Clean!AD95),ISNUMBER(RU_Clean!AD94)),(RU_Clean!AD95-RU_Clean!AD94)/RU_Clean!AD94*100,"")</f>
        <v>0</v>
      </c>
      <c r="AE95" s="12">
        <f>IF(AND(ISNUMBER(RU_Clean!AE95),ISNUMBER(RU_Clean!AE94)),(RU_Clean!AE95-RU_Clean!AE94)/RU_Clean!AE94*100,"")</f>
        <v>0</v>
      </c>
      <c r="AF95" s="12">
        <f>IF(AND(ISNUMBER(RU_Clean!AF95),ISNUMBER(RU_Clean!AF94)),(RU_Clean!AF95-RU_Clean!AF94)/RU_Clean!AF94*100,"")</f>
        <v>0</v>
      </c>
      <c r="AG95" s="12">
        <f>IF(AND(ISNUMBER(RU_Clean!AG95),ISNUMBER(RU_Clean!AG94)),(RU_Clean!AG95-RU_Clean!AG94)/RU_Clean!AG94*100,"")</f>
        <v>0</v>
      </c>
      <c r="AH95" s="12">
        <f>IF(AND(ISNUMBER(RU_Clean!AH95),ISNUMBER(RU_Clean!AH94)),(RU_Clean!AH95-RU_Clean!AH94)/RU_Clean!AH94*100,"")</f>
        <v>0</v>
      </c>
    </row>
    <row r="96" spans="1:34">
      <c r="A96" s="6">
        <f>RU_Clean!A96</f>
        <v>2020</v>
      </c>
      <c r="B96" s="6">
        <f>RU_Clean!B96</f>
        <v>8</v>
      </c>
      <c r="C96" s="6" t="str">
        <f>RU_Clean!C96</f>
        <v>August</v>
      </c>
      <c r="D96" s="9">
        <f>RU_Clean!D96</f>
        <v>44044</v>
      </c>
      <c r="E96" s="6"/>
      <c r="F96" s="6"/>
      <c r="G96" s="12">
        <f>IF(AND(ISNUMBER(RU_Clean!G96),ISNUMBER(RU_Clean!G95)),(RU_Clean!G96-RU_Clean!G95)/RU_Clean!G95*100,"")</f>
        <v>-0.467914438502666</v>
      </c>
      <c r="H96" s="12">
        <f>IF(AND(ISNUMBER(RU_Clean!H96),ISNUMBER(RU_Clean!H95)),(RU_Clean!H96-RU_Clean!H95)/RU_Clean!H95*100,"")</f>
        <v>-0.934094447327443</v>
      </c>
      <c r="I96" s="12">
        <f>IF(AND(ISNUMBER(RU_Clean!I96),ISNUMBER(RU_Clean!I95)),(RU_Clean!I96-RU_Clean!I95)/RU_Clean!I95*100,"")</f>
        <v>-0.396301188903563</v>
      </c>
      <c r="J96" s="12">
        <f>IF(AND(ISNUMBER(RU_Clean!J96),ISNUMBER(RU_Clean!J95)),(RU_Clean!J96-RU_Clean!J95)/RU_Clean!J95*100,"")</f>
        <v>0</v>
      </c>
      <c r="K96" s="12">
        <f>IF(AND(ISNUMBER(RU_Clean!K96),ISNUMBER(RU_Clean!K95)),(RU_Clean!K96-RU_Clean!K95)/RU_Clean!K95*100,"")</f>
        <v>0.807043286867201</v>
      </c>
      <c r="L96" s="12">
        <f>IF(AND(ISNUMBER(RU_Clean!L96),ISNUMBER(RU_Clean!L95)),(RU_Clean!L96-RU_Clean!L95)/RU_Clean!L95*100,"")</f>
        <v>2.17391304347827</v>
      </c>
      <c r="M96" s="12">
        <f>IF(AND(ISNUMBER(RU_Clean!M96),ISNUMBER(RU_Clean!M95)),(RU_Clean!M96-RU_Clean!M95)/RU_Clean!M95*100,"")</f>
        <v>13.8019169329073</v>
      </c>
      <c r="N96" s="12">
        <f>IF(AND(ISNUMBER(RU_Clean!N96),ISNUMBER(RU_Clean!N95)),(RU_Clean!N96-RU_Clean!N95)/RU_Clean!N95*100,"")</f>
        <v>-0.331345261762757</v>
      </c>
      <c r="O96" s="12">
        <f>IF(AND(ISNUMBER(RU_Clean!O96),ISNUMBER(RU_Clean!O95)),(RU_Clean!O96-RU_Clean!O95)/RU_Clean!O95*100,"")</f>
        <v>0.788091068301218</v>
      </c>
      <c r="P96" s="12">
        <f>IF(AND(ISNUMBER(RU_Clean!P96),ISNUMBER(RU_Clean!P95)),(RU_Clean!P96-RU_Clean!P95)/RU_Clean!P95*100,"")</f>
        <v>0.313479623824451</v>
      </c>
      <c r="Q96" s="12">
        <f>IF(AND(ISNUMBER(RU_Clean!Q96),ISNUMBER(RU_Clean!Q95)),(RU_Clean!Q96-RU_Clean!Q95)/RU_Clean!Q95*100,"")</f>
        <v>0.860832137733134</v>
      </c>
      <c r="R96" s="12">
        <f>IF(AND(ISNUMBER(RU_Clean!R96),ISNUMBER(RU_Clean!R95)),(RU_Clean!R96-RU_Clean!R95)/RU_Clean!R95*100,"")</f>
        <v>0.30902348578492</v>
      </c>
      <c r="S96" s="12">
        <f>IF(AND(ISNUMBER(RU_Clean!S96),ISNUMBER(RU_Clean!S95)),(RU_Clean!S96-RU_Clean!S95)/RU_Clean!S95*100,"")</f>
        <v>1.94805194805195</v>
      </c>
      <c r="T96" s="12">
        <f>IF(AND(ISNUMBER(RU_Clean!T96),ISNUMBER(RU_Clean!T95)),(RU_Clean!T96-RU_Clean!T95)/RU_Clean!T95*100,"")</f>
        <v>-0.490463215258859</v>
      </c>
      <c r="U96" s="12">
        <f>IF(AND(ISNUMBER(RU_Clean!U96),ISNUMBER(RU_Clean!U95)),(RU_Clean!U96-RU_Clean!U95)/RU_Clean!U95*100,"")</f>
        <v>0.393442622950816</v>
      </c>
      <c r="V96" s="12">
        <f>IF(AND(ISNUMBER(RU_Clean!V96),ISNUMBER(RU_Clean!V95)),(RU_Clean!V96-RU_Clean!V95)/RU_Clean!V95*100,"")</f>
        <v>-0.692520775623269</v>
      </c>
      <c r="W96" s="12">
        <f>IF(AND(ISNUMBER(RU_Clean!W96),ISNUMBER(RU_Clean!W95)),(RU_Clean!W96-RU_Clean!W95)/RU_Clean!W95*100,"")</f>
        <v>0.198150594451772</v>
      </c>
      <c r="X96" s="12">
        <f>IF(AND(ISNUMBER(RU_Clean!X96),ISNUMBER(RU_Clean!X95)),(RU_Clean!X96-RU_Clean!X95)/RU_Clean!X95*100,"")</f>
        <v>0.517129928894642</v>
      </c>
      <c r="Y96" s="12">
        <f>IF(AND(ISNUMBER(RU_Clean!Y96),ISNUMBER(RU_Clean!Y95)),(RU_Clean!Y96-RU_Clean!Y95)/RU_Clean!Y95*100,"")</f>
        <v>0.775193798449608</v>
      </c>
      <c r="Z96" s="12">
        <f>IF(AND(ISNUMBER(RU_Clean!Z96),ISNUMBER(RU_Clean!Z95)),(RU_Clean!Z96-RU_Clean!Z95)/RU_Clean!Z95*100,"")</f>
        <v>1.36612021857923</v>
      </c>
      <c r="AA96" s="12">
        <f>IF(AND(ISNUMBER(RU_Clean!AA96),ISNUMBER(RU_Clean!AA95)),(RU_Clean!AA96-RU_Clean!AA95)/RU_Clean!AA95*100,"")</f>
        <v>0.388601036269426</v>
      </c>
      <c r="AB96" s="12">
        <f>IF(AND(ISNUMBER(RU_Clean!AB96),ISNUMBER(RU_Clean!AB95)),(RU_Clean!AB96-RU_Clean!AB95)/RU_Clean!AB95*100,"")</f>
        <v>2.59259259259259</v>
      </c>
      <c r="AC96" s="12">
        <f>IF(AND(ISNUMBER(RU_Clean!AC96),ISNUMBER(RU_Clean!AC95)),(RU_Clean!AC96-RU_Clean!AC95)/RU_Clean!AC95*100,"")</f>
        <v>-1.55091031692516</v>
      </c>
      <c r="AD96" s="12">
        <f>IF(AND(ISNUMBER(RU_Clean!AD96),ISNUMBER(RU_Clean!AD95)),(RU_Clean!AD96-RU_Clean!AD95)/RU_Clean!AD95*100,"")</f>
        <v>1.34271099744245</v>
      </c>
      <c r="AE96" s="12">
        <f>IF(AND(ISNUMBER(RU_Clean!AE96),ISNUMBER(RU_Clean!AE95)),(RU_Clean!AE96-RU_Clean!AE95)/RU_Clean!AE95*100,"")</f>
        <v>1.78100263852244</v>
      </c>
      <c r="AF96" s="12">
        <f>IF(AND(ISNUMBER(RU_Clean!AF96),ISNUMBER(RU_Clean!AF95)),(RU_Clean!AF96-RU_Clean!AF95)/RU_Clean!AF95*100,"")</f>
        <v>1.36054421768707</v>
      </c>
      <c r="AG96" s="12">
        <f>IF(AND(ISNUMBER(RU_Clean!AG96),ISNUMBER(RU_Clean!AG95)),(RU_Clean!AG96-RU_Clean!AG95)/RU_Clean!AG95*100,"")</f>
        <v>1.38339920948616</v>
      </c>
      <c r="AH96" s="12">
        <f>IF(AND(ISNUMBER(RU_Clean!AH96),ISNUMBER(RU_Clean!AH95)),(RU_Clean!AH96-RU_Clean!AH95)/RU_Clean!AH95*100,"")</f>
        <v>1.40114739629301</v>
      </c>
    </row>
    <row r="97" spans="1:34">
      <c r="A97" s="6">
        <f>RU_Clean!A97</f>
        <v>2020</v>
      </c>
      <c r="B97" s="6">
        <f>RU_Clean!B97</f>
        <v>9</v>
      </c>
      <c r="C97" s="6" t="str">
        <f>RU_Clean!C97</f>
        <v>September</v>
      </c>
      <c r="D97" s="9">
        <f>RU_Clean!D97</f>
        <v>44075</v>
      </c>
      <c r="E97" s="6"/>
      <c r="F97" s="6"/>
      <c r="G97" s="12">
        <f>IF(AND(ISNUMBER(RU_Clean!G97),ISNUMBER(RU_Clean!G96)),(RU_Clean!G97-RU_Clean!G96)/RU_Clean!G96*100,"")</f>
        <v>-0.335795836131632</v>
      </c>
      <c r="H97" s="12">
        <f>IF(AND(ISNUMBER(RU_Clean!H97),ISNUMBER(RU_Clean!H96)),(RU_Clean!H97-RU_Clean!H96)/RU_Clean!H96*100,"")</f>
        <v>-1.99057097957046</v>
      </c>
      <c r="I97" s="12">
        <f>IF(AND(ISNUMBER(RU_Clean!I97),ISNUMBER(RU_Clean!I96)),(RU_Clean!I97-RU_Clean!I96)/RU_Clean!I96*100,"")</f>
        <v>1.12732095490715</v>
      </c>
      <c r="J97" s="12">
        <f>IF(AND(ISNUMBER(RU_Clean!J97),ISNUMBER(RU_Clean!J96)),(RU_Clean!J97-RU_Clean!J96)/RU_Clean!J96*100,"")</f>
        <v>0.19569471624265</v>
      </c>
      <c r="K97" s="12">
        <f>IF(AND(ISNUMBER(RU_Clean!K97),ISNUMBER(RU_Clean!K96)),(RU_Clean!K97-RU_Clean!K96)/RU_Clean!K96*100,"")</f>
        <v>0.582241630276552</v>
      </c>
      <c r="L97" s="12">
        <f>IF(AND(ISNUMBER(RU_Clean!L97),ISNUMBER(RU_Clean!L96)),(RU_Clean!L97-RU_Clean!L96)/RU_Clean!L96*100,"")</f>
        <v>0.332446808510638</v>
      </c>
      <c r="M97" s="12">
        <f>IF(AND(ISNUMBER(RU_Clean!M97),ISNUMBER(RU_Clean!M96)),(RU_Clean!M97-RU_Clean!M96)/RU_Clean!M96*100,"")</f>
        <v>4.82874789444132</v>
      </c>
      <c r="N97" s="12">
        <f>IF(AND(ISNUMBER(RU_Clean!N97),ISNUMBER(RU_Clean!N96)),(RU_Clean!N97-RU_Clean!N96)/RU_Clean!N96*100,"")</f>
        <v>-0.398936170212762</v>
      </c>
      <c r="O97" s="12">
        <f>IF(AND(ISNUMBER(RU_Clean!O97),ISNUMBER(RU_Clean!O96)),(RU_Clean!O97-RU_Clean!O96)/RU_Clean!O96*100,"")</f>
        <v>1.12945264986969</v>
      </c>
      <c r="P97" s="12">
        <f>IF(AND(ISNUMBER(RU_Clean!P97),ISNUMBER(RU_Clean!P96)),(RU_Clean!P97-RU_Clean!P96)/RU_Clean!P96*100,"")</f>
        <v>0.187500000000007</v>
      </c>
      <c r="Q97" s="12">
        <f>IF(AND(ISNUMBER(RU_Clean!Q97),ISNUMBER(RU_Clean!Q96)),(RU_Clean!Q97-RU_Clean!Q96)/RU_Clean!Q96*100,"")</f>
        <v>1.1379800853485</v>
      </c>
      <c r="R97" s="12">
        <f>IF(AND(ISNUMBER(RU_Clean!R97),ISNUMBER(RU_Clean!R96)),(RU_Clean!R97-RU_Clean!R96)/RU_Clean!R96*100,"")</f>
        <v>0.369685767097963</v>
      </c>
      <c r="S97" s="12">
        <f>IF(AND(ISNUMBER(RU_Clean!S97),ISNUMBER(RU_Clean!S96)),(RU_Clean!S97-RU_Clean!S96)/RU_Clean!S96*100,"")</f>
        <v>0.636942675159236</v>
      </c>
      <c r="T97" s="12">
        <f>IF(AND(ISNUMBER(RU_Clean!T97),ISNUMBER(RU_Clean!T96)),(RU_Clean!T97-RU_Clean!T96)/RU_Clean!T96*100,"")</f>
        <v>0.985761226725088</v>
      </c>
      <c r="U97" s="12">
        <f>IF(AND(ISNUMBER(RU_Clean!U97),ISNUMBER(RU_Clean!U96)),(RU_Clean!U97-RU_Clean!U96)/RU_Clean!U96*100,"")</f>
        <v>0.195950359242333</v>
      </c>
      <c r="V97" s="12">
        <f>IF(AND(ISNUMBER(RU_Clean!V97),ISNUMBER(RU_Clean!V96)),(RU_Clean!V97-RU_Clean!V96)/RU_Clean!V96*100,"")</f>
        <v>0.62761506276151</v>
      </c>
      <c r="W97" s="12">
        <f>IF(AND(ISNUMBER(RU_Clean!W97),ISNUMBER(RU_Clean!W96)),(RU_Clean!W97-RU_Clean!W96)/RU_Clean!W96*100,"")</f>
        <v>0.197758734344108</v>
      </c>
      <c r="X97" s="12">
        <f>IF(AND(ISNUMBER(RU_Clean!X97),ISNUMBER(RU_Clean!X96)),(RU_Clean!X97-RU_Clean!X96)/RU_Clean!X96*100,"")</f>
        <v>0.514469453376213</v>
      </c>
      <c r="Y97" s="12">
        <f>IF(AND(ISNUMBER(RU_Clean!Y97),ISNUMBER(RU_Clean!Y96)),(RU_Clean!Y97-RU_Clean!Y96)/RU_Clean!Y96*100,"")</f>
        <v>-0.069930069930066</v>
      </c>
      <c r="Z97" s="12">
        <f>IF(AND(ISNUMBER(RU_Clean!Z97),ISNUMBER(RU_Clean!Z96)),(RU_Clean!Z97-RU_Clean!Z96)/RU_Clean!Z96*100,"")</f>
        <v>0.202156334231794</v>
      </c>
      <c r="AA97" s="12">
        <f>IF(AND(ISNUMBER(RU_Clean!AA97),ISNUMBER(RU_Clean!AA96)),(RU_Clean!AA97-RU_Clean!AA96)/RU_Clean!AA96*100,"")</f>
        <v>0.387096774193545</v>
      </c>
      <c r="AB97" s="12">
        <f>IF(AND(ISNUMBER(RU_Clean!AB97),ISNUMBER(RU_Clean!AB96)),(RU_Clean!AB97-RU_Clean!AB96)/RU_Clean!AB96*100,"")</f>
        <v>0.794223826714797</v>
      </c>
      <c r="AC97" s="12">
        <f>IF(AND(ISNUMBER(RU_Clean!AC97),ISNUMBER(RU_Clean!AC96)),(RU_Clean!AC97-RU_Clean!AC96)/RU_Clean!AC96*100,"")</f>
        <v>0.410958904109585</v>
      </c>
      <c r="AD97" s="12">
        <f>IF(AND(ISNUMBER(RU_Clean!AD97),ISNUMBER(RU_Clean!AD96)),(RU_Clean!AD97-RU_Clean!AD96)/RU_Clean!AD96*100,"")</f>
        <v>-0.630914826498423</v>
      </c>
      <c r="AE97" s="12">
        <f>IF(AND(ISNUMBER(RU_Clean!AE97),ISNUMBER(RU_Clean!AE96)),(RU_Clean!AE97-RU_Clean!AE96)/RU_Clean!AE96*100,"")</f>
        <v>2.65716137394685</v>
      </c>
      <c r="AF97" s="12">
        <f>IF(AND(ISNUMBER(RU_Clean!AF97),ISNUMBER(RU_Clean!AF96)),(RU_Clean!AF97-RU_Clean!AF96)/RU_Clean!AF96*100,"")</f>
        <v>0.671140939597315</v>
      </c>
      <c r="AG97" s="12">
        <f>IF(AND(ISNUMBER(RU_Clean!AG97),ISNUMBER(RU_Clean!AG96)),(RU_Clean!AG97-RU_Clean!AG96)/RU_Clean!AG96*100,"")</f>
        <v>0.519818063677702</v>
      </c>
      <c r="AH97" s="12">
        <f>IF(AND(ISNUMBER(RU_Clean!AH97),ISNUMBER(RU_Clean!AH96)),(RU_Clean!AH97-RU_Clean!AH96)/RU_Clean!AH96*100,"")</f>
        <v>0.587531280600598</v>
      </c>
    </row>
    <row r="98" spans="1:34">
      <c r="A98" s="6">
        <f>RU_Clean!A98</f>
        <v>2020</v>
      </c>
      <c r="B98" s="6">
        <f>RU_Clean!B98</f>
        <v>10</v>
      </c>
      <c r="C98" s="6" t="str">
        <f>RU_Clean!C98</f>
        <v>October</v>
      </c>
      <c r="D98" s="9">
        <f>RU_Clean!D98</f>
        <v>44105</v>
      </c>
      <c r="E98" s="6"/>
      <c r="F98" s="6"/>
      <c r="G98" s="12">
        <f>IF(AND(ISNUMBER(RU_Clean!G98),ISNUMBER(RU_Clean!G97)),(RU_Clean!G98-RU_Clean!G97)/RU_Clean!G97*100,"")</f>
        <v>-0.606469002695422</v>
      </c>
      <c r="H98" s="12">
        <f>IF(AND(ISNUMBER(RU_Clean!H98),ISNUMBER(RU_Clean!H97)),(RU_Clean!H98-RU_Clean!H97)/RU_Clean!H97*100,"")</f>
        <v>0.962052378407275</v>
      </c>
      <c r="I98" s="12">
        <f>IF(AND(ISNUMBER(RU_Clean!I98),ISNUMBER(RU_Clean!I97)),(RU_Clean!I98-RU_Clean!I97)/RU_Clean!I97*100,"")</f>
        <v>5.8360655737705</v>
      </c>
      <c r="J98" s="12">
        <f>IF(AND(ISNUMBER(RU_Clean!J98),ISNUMBER(RU_Clean!J97)),(RU_Clean!J98-RU_Clean!J97)/RU_Clean!J97*100,"")</f>
        <v>0</v>
      </c>
      <c r="K98" s="12">
        <f>IF(AND(ISNUMBER(RU_Clean!K98),ISNUMBER(RU_Clean!K97)),(RU_Clean!K98-RU_Clean!K97)/RU_Clean!K97*100,"")</f>
        <v>1.37481910274964</v>
      </c>
      <c r="L98" s="12">
        <f>IF(AND(ISNUMBER(RU_Clean!L98),ISNUMBER(RU_Clean!L97)),(RU_Clean!L98-RU_Clean!L97)/RU_Clean!L97*100,"")</f>
        <v>0.198807157057643</v>
      </c>
      <c r="M98" s="12">
        <f>IF(AND(ISNUMBER(RU_Clean!M98),ISNUMBER(RU_Clean!M97)),(RU_Clean!M98-RU_Clean!M97)/RU_Clean!M97*100,"")</f>
        <v>12.0514193893948</v>
      </c>
      <c r="N98" s="12">
        <f>IF(AND(ISNUMBER(RU_Clean!N98),ISNUMBER(RU_Clean!N97)),(RU_Clean!N98-RU_Clean!N97)/RU_Clean!N97*100,"")</f>
        <v>0.734312416555403</v>
      </c>
      <c r="O98" s="12">
        <f>IF(AND(ISNUMBER(RU_Clean!O98),ISNUMBER(RU_Clean!O97)),(RU_Clean!O98-RU_Clean!O97)/RU_Clean!O97*100,"")</f>
        <v>-0.171821305841927</v>
      </c>
      <c r="P98" s="12">
        <f>IF(AND(ISNUMBER(RU_Clean!P98),ISNUMBER(RU_Clean!P97)),(RU_Clean!P98-RU_Clean!P97)/RU_Clean!P97*100,"")</f>
        <v>0.436681222707416</v>
      </c>
      <c r="Q98" s="12">
        <f>IF(AND(ISNUMBER(RU_Clean!Q98),ISNUMBER(RU_Clean!Q97)),(RU_Clean!Q98-RU_Clean!Q97)/RU_Clean!Q97*100,"")</f>
        <v>1.26582278481013</v>
      </c>
      <c r="R98" s="12">
        <f>IF(AND(ISNUMBER(RU_Clean!R98),ISNUMBER(RU_Clean!R97)),(RU_Clean!R98-RU_Clean!R97)/RU_Clean!R97*100,"")</f>
        <v>0.184162062615091</v>
      </c>
      <c r="S98" s="12">
        <f>IF(AND(ISNUMBER(RU_Clean!S98),ISNUMBER(RU_Clean!S97)),(RU_Clean!S98-RU_Clean!S97)/RU_Clean!S97*100,"")</f>
        <v>2.15189873417722</v>
      </c>
      <c r="T98" s="12">
        <f>IF(AND(ISNUMBER(RU_Clean!T98),ISNUMBER(RU_Clean!T97)),(RU_Clean!T98-RU_Clean!T97)/RU_Clean!T97*100,"")</f>
        <v>-0.054229934924075</v>
      </c>
      <c r="U98" s="12">
        <f>IF(AND(ISNUMBER(RU_Clean!U98),ISNUMBER(RU_Clean!U97)),(RU_Clean!U98-RU_Clean!U97)/RU_Clean!U97*100,"")</f>
        <v>0.195567144719676</v>
      </c>
      <c r="V98" s="12">
        <f>IF(AND(ISNUMBER(RU_Clean!V98),ISNUMBER(RU_Clean!V97)),(RU_Clean!V98-RU_Clean!V97)/RU_Clean!V97*100,"")</f>
        <v>0.207900207900196</v>
      </c>
      <c r="W98" s="12">
        <f>IF(AND(ISNUMBER(RU_Clean!W98),ISNUMBER(RU_Clean!W97)),(RU_Clean!W98-RU_Clean!W97)/RU_Clean!W97*100,"")</f>
        <v>0.197368421052639</v>
      </c>
      <c r="X98" s="12">
        <f>IF(AND(ISNUMBER(RU_Clean!X98),ISNUMBER(RU_Clean!X97)),(RU_Clean!X98-RU_Clean!X97)/RU_Clean!X97*100,"")</f>
        <v>0.127959053103</v>
      </c>
      <c r="Y98" s="12">
        <f>IF(AND(ISNUMBER(RU_Clean!Y98),ISNUMBER(RU_Clean!Y97)),(RU_Clean!Y98-RU_Clean!Y97)/RU_Clean!Y97*100,"")</f>
        <v>0.139958012596213</v>
      </c>
      <c r="Z98" s="12">
        <f>IF(AND(ISNUMBER(RU_Clean!Z98),ISNUMBER(RU_Clean!Z97)),(RU_Clean!Z98-RU_Clean!Z97)/RU_Clean!Z97*100,"")</f>
        <v>0</v>
      </c>
      <c r="AA98" s="12">
        <f>IF(AND(ISNUMBER(RU_Clean!AA98),ISNUMBER(RU_Clean!AA97)),(RU_Clean!AA98-RU_Clean!AA97)/RU_Clean!AA97*100,"")</f>
        <v>0.449871465295641</v>
      </c>
      <c r="AB98" s="12">
        <f>IF(AND(ISNUMBER(RU_Clean!AB98),ISNUMBER(RU_Clean!AB97)),(RU_Clean!AB98-RU_Clean!AB97)/RU_Clean!AB97*100,"")</f>
        <v>0.716332378223496</v>
      </c>
      <c r="AC98" s="12">
        <f>IF(AND(ISNUMBER(RU_Clean!AC98),ISNUMBER(RU_Clean!AC97)),(RU_Clean!AC98-RU_Clean!AC97)/RU_Clean!AC97*100,"")</f>
        <v>-0.0682128240109102</v>
      </c>
      <c r="AD98" s="12">
        <f>IF(AND(ISNUMBER(RU_Clean!AD98),ISNUMBER(RU_Clean!AD97)),(RU_Clean!AD98-RU_Clean!AD97)/RU_Clean!AD97*100,"")</f>
        <v>0.634920634920635</v>
      </c>
      <c r="AE98" s="12">
        <f>IF(AND(ISNUMBER(RU_Clean!AE98),ISNUMBER(RU_Clean!AE97)),(RU_Clean!AE98-RU_Clean!AE97)/RU_Clean!AE97*100,"")</f>
        <v>-0.883838383838387</v>
      </c>
      <c r="AF98" s="12">
        <f>IF(AND(ISNUMBER(RU_Clean!AF98),ISNUMBER(RU_Clean!AF97)),(RU_Clean!AF98-RU_Clean!AF97)/RU_Clean!AF97*100,"")</f>
        <v>0.26666666666667</v>
      </c>
      <c r="AG98" s="12">
        <f>IF(AND(ISNUMBER(RU_Clean!AG98),ISNUMBER(RU_Clean!AG97)),(RU_Clean!AG98-RU_Clean!AG97)/RU_Clean!AG97*100,"")</f>
        <v>1.09890109890111</v>
      </c>
      <c r="AH98" s="12">
        <f>IF(AND(ISNUMBER(RU_Clean!AH98),ISNUMBER(RU_Clean!AH97)),(RU_Clean!AH98-RU_Clean!AH97)/RU_Clean!AH97*100,"")</f>
        <v>2.06598161168201</v>
      </c>
    </row>
    <row r="99" spans="1:34">
      <c r="A99" s="6">
        <f>RU_Clean!A99</f>
        <v>2020</v>
      </c>
      <c r="B99" s="6">
        <f>RU_Clean!B99</f>
        <v>11</v>
      </c>
      <c r="C99" s="6" t="str">
        <f>RU_Clean!C99</f>
        <v>November</v>
      </c>
      <c r="D99" s="9">
        <f>RU_Clean!D99</f>
        <v>44136</v>
      </c>
      <c r="E99" s="6"/>
      <c r="F99" s="6"/>
      <c r="G99" s="12">
        <f>IF(AND(ISNUMBER(RU_Clean!G99),ISNUMBER(RU_Clean!G98)),(RU_Clean!G99-RU_Clean!G98)/RU_Clean!G98*100,"")</f>
        <v>-0.474576271186433</v>
      </c>
      <c r="H99" s="12">
        <f>IF(AND(ISNUMBER(RU_Clean!H99),ISNUMBER(RU_Clean!H98)),(RU_Clean!H99-RU_Clean!H98)/RU_Clean!H98*100,"")</f>
        <v>1.11169931180518</v>
      </c>
      <c r="I99" s="12">
        <f>IF(AND(ISNUMBER(RU_Clean!I99),ISNUMBER(RU_Clean!I98)),(RU_Clean!I99-RU_Clean!I98)/RU_Clean!I98*100,"")</f>
        <v>7.55885997521685</v>
      </c>
      <c r="J99" s="12">
        <f>IF(AND(ISNUMBER(RU_Clean!J99),ISNUMBER(RU_Clean!J98)),(RU_Clean!J99-RU_Clean!J98)/RU_Clean!J98*100,"")</f>
        <v>0.130208333333344</v>
      </c>
      <c r="K99" s="12">
        <f>IF(AND(ISNUMBER(RU_Clean!K99),ISNUMBER(RU_Clean!K98)),(RU_Clean!K99-RU_Clean!K98)/RU_Clean!K98*100,"")</f>
        <v>1.85581727337616</v>
      </c>
      <c r="L99" s="12">
        <f>IF(AND(ISNUMBER(RU_Clean!L99),ISNUMBER(RU_Clean!L98)),(RU_Clean!L99-RU_Clean!L98)/RU_Clean!L98*100,"")</f>
        <v>-1.85185185185184</v>
      </c>
      <c r="M99" s="12">
        <f>IF(AND(ISNUMBER(RU_Clean!M99),ISNUMBER(RU_Clean!M98)),(RU_Clean!M99-RU_Clean!M98)/RU_Clean!M98*100,"")</f>
        <v>9.94263862332697</v>
      </c>
      <c r="N99" s="12">
        <f>IF(AND(ISNUMBER(RU_Clean!N99),ISNUMBER(RU_Clean!N98)),(RU_Clean!N99-RU_Clean!N98)/RU_Clean!N98*100,"")</f>
        <v>3.90987408880053</v>
      </c>
      <c r="O99" s="12">
        <f>IF(AND(ISNUMBER(RU_Clean!O99),ISNUMBER(RU_Clean!O98)),(RU_Clean!O99-RU_Clean!O98)/RU_Clean!O98*100,"")</f>
        <v>-0.430292598967298</v>
      </c>
      <c r="P99" s="12">
        <f>IF(AND(ISNUMBER(RU_Clean!P99),ISNUMBER(RU_Clean!P98)),(RU_Clean!P99-RU_Clean!P98)/RU_Clean!P98*100,"")</f>
        <v>0.496894409937895</v>
      </c>
      <c r="Q99" s="12">
        <f>IF(AND(ISNUMBER(RU_Clean!Q99),ISNUMBER(RU_Clean!Q98)),(RU_Clean!Q99-RU_Clean!Q98)/RU_Clean!Q98*100,"")</f>
        <v>1.73611111111111</v>
      </c>
      <c r="R99" s="12">
        <f>IF(AND(ISNUMBER(RU_Clean!R99),ISNUMBER(RU_Clean!R98)),(RU_Clean!R99-RU_Clean!R98)/RU_Clean!R98*100,"")</f>
        <v>0.367647058823543</v>
      </c>
      <c r="S99" s="12">
        <f>IF(AND(ISNUMBER(RU_Clean!S99),ISNUMBER(RU_Clean!S98)),(RU_Clean!S99-RU_Clean!S98)/RU_Clean!S98*100,"")</f>
        <v>2.0446096654275</v>
      </c>
      <c r="T99" s="12">
        <f>IF(AND(ISNUMBER(RU_Clean!T99),ISNUMBER(RU_Clean!T98)),(RU_Clean!T99-RU_Clean!T98)/RU_Clean!T98*100,"")</f>
        <v>0.271296798697775</v>
      </c>
      <c r="U99" s="12">
        <f>IF(AND(ISNUMBER(RU_Clean!U99),ISNUMBER(RU_Clean!U98)),(RU_Clean!U99-RU_Clean!U98)/RU_Clean!U98*100,"")</f>
        <v>0.390370852309709</v>
      </c>
      <c r="V99" s="12">
        <f>IF(AND(ISNUMBER(RU_Clean!V99),ISNUMBER(RU_Clean!V98)),(RU_Clean!V99-RU_Clean!V98)/RU_Clean!V98*100,"")</f>
        <v>0.207468879668058</v>
      </c>
      <c r="W99" s="12">
        <f>IF(AND(ISNUMBER(RU_Clean!W99),ISNUMBER(RU_Clean!W98)),(RU_Clean!W99-RU_Clean!W98)/RU_Clean!W98*100,"")</f>
        <v>0.328299409061064</v>
      </c>
      <c r="X99" s="12">
        <f>IF(AND(ISNUMBER(RU_Clean!X99),ISNUMBER(RU_Clean!X98)),(RU_Clean!X99-RU_Clean!X98)/RU_Clean!X98*100,"")</f>
        <v>0.958466453674121</v>
      </c>
      <c r="Y99" s="12">
        <f>IF(AND(ISNUMBER(RU_Clean!Y99),ISNUMBER(RU_Clean!Y98)),(RU_Clean!Y99-RU_Clean!Y98)/RU_Clean!Y98*100,"")</f>
        <v>0.349406009783368</v>
      </c>
      <c r="Z99" s="12">
        <f>IF(AND(ISNUMBER(RU_Clean!Z99),ISNUMBER(RU_Clean!Z98)),(RU_Clean!Z99-RU_Clean!Z98)/RU_Clean!Z98*100,"")</f>
        <v>0.336247478143914</v>
      </c>
      <c r="AA99" s="12">
        <f>IF(AND(ISNUMBER(RU_Clean!AA99),ISNUMBER(RU_Clean!AA98)),(RU_Clean!AA99-RU_Clean!AA98)/RU_Clean!AA98*100,"")</f>
        <v>0.575815738963517</v>
      </c>
      <c r="AB99" s="12">
        <f>IF(AND(ISNUMBER(RU_Clean!AB99),ISNUMBER(RU_Clean!AB98)),(RU_Clean!AB99-RU_Clean!AB98)/RU_Clean!AB98*100,"")</f>
        <v>-0.142247510668555</v>
      </c>
      <c r="AC99" s="12">
        <f>IF(AND(ISNUMBER(RU_Clean!AC99),ISNUMBER(RU_Clean!AC98)),(RU_Clean!AC99-RU_Clean!AC98)/RU_Clean!AC98*100,"")</f>
        <v>1.29692832764506</v>
      </c>
      <c r="AD99" s="12">
        <f>IF(AND(ISNUMBER(RU_Clean!AD99),ISNUMBER(RU_Clean!AD98)),(RU_Clean!AD99-RU_Clean!AD98)/RU_Clean!AD98*100,"")</f>
        <v>0.0630914826498387</v>
      </c>
      <c r="AE99" s="12">
        <f>IF(AND(ISNUMBER(RU_Clean!AE99),ISNUMBER(RU_Clean!AE98)),(RU_Clean!AE99-RU_Clean!AE98)/RU_Clean!AE98*100,"")</f>
        <v>-0.0636942675159199</v>
      </c>
      <c r="AF99" s="12">
        <f>IF(AND(ISNUMBER(RU_Clean!AF99),ISNUMBER(RU_Clean!AF98)),(RU_Clean!AF99-RU_Clean!AF98)/RU_Clean!AF98*100,"")</f>
        <v>0.199468085106372</v>
      </c>
      <c r="AG99" s="12">
        <f>IF(AND(ISNUMBER(RU_Clean!AG99),ISNUMBER(RU_Clean!AG98)),(RU_Clean!AG99-RU_Clean!AG98)/RU_Clean!AG98*100,"")</f>
        <v>1.27877237851662</v>
      </c>
      <c r="AH99" s="12">
        <f>IF(AND(ISNUMBER(RU_Clean!AH99),ISNUMBER(RU_Clean!AH98)),(RU_Clean!AH99-RU_Clean!AH98)/RU_Clean!AH98*100,"")</f>
        <v>2.31559983043662</v>
      </c>
    </row>
    <row r="100" spans="1:34">
      <c r="A100" s="6">
        <f>RU_Clean!A100</f>
        <v>2020</v>
      </c>
      <c r="B100" s="6">
        <f>RU_Clean!B100</f>
        <v>12</v>
      </c>
      <c r="C100" s="6" t="str">
        <f>RU_Clean!C100</f>
        <v>December</v>
      </c>
      <c r="D100" s="9">
        <f>RU_Clean!D100</f>
        <v>44166</v>
      </c>
      <c r="E100" s="6"/>
      <c r="F100" s="6"/>
      <c r="G100" s="12">
        <f>IF(AND(ISNUMBER(RU_Clean!G100),ISNUMBER(RU_Clean!G99)),(RU_Clean!G100-RU_Clean!G99)/RU_Clean!G99*100,"")</f>
        <v>-0.544959128065403</v>
      </c>
      <c r="H100" s="12">
        <f>IF(AND(ISNUMBER(RU_Clean!H100),ISNUMBER(RU_Clean!H99)),(RU_Clean!H100-RU_Clean!H99)/RU_Clean!H99*100,"")</f>
        <v>0</v>
      </c>
      <c r="I100" s="12">
        <f>IF(AND(ISNUMBER(RU_Clean!I100),ISNUMBER(RU_Clean!I99)),(RU_Clean!I100-RU_Clean!I99)/RU_Clean!I99*100,"")</f>
        <v>0.97926267281107</v>
      </c>
      <c r="J100" s="12">
        <f>IF(AND(ISNUMBER(RU_Clean!J100),ISNUMBER(RU_Clean!J99)),(RU_Clean!J100-RU_Clean!J99)/RU_Clean!J99*100,"")</f>
        <v>0.195058517555255</v>
      </c>
      <c r="K100" s="12">
        <f>IF(AND(ISNUMBER(RU_Clean!K100),ISNUMBER(RU_Clean!K99)),(RU_Clean!K100-RU_Clean!K99)/RU_Clean!K99*100,"")</f>
        <v>2.73300630693764</v>
      </c>
      <c r="L100" s="12">
        <f>IF(AND(ISNUMBER(RU_Clean!L100),ISNUMBER(RU_Clean!L99)),(RU_Clean!L100-RU_Clean!L99)/RU_Clean!L99*100,"")</f>
        <v>-0.471698113207559</v>
      </c>
      <c r="M100" s="12">
        <f>IF(AND(ISNUMBER(RU_Clean!M100),ISNUMBER(RU_Clean!M99)),(RU_Clean!M100-RU_Clean!M99)/RU_Clean!M99*100,"")</f>
        <v>0.217391304347826</v>
      </c>
      <c r="N100" s="12">
        <f>IF(AND(ISNUMBER(RU_Clean!N100),ISNUMBER(RU_Clean!N99)),(RU_Clean!N100-RU_Clean!N99)/RU_Clean!N99*100,"")</f>
        <v>2.16836734693876</v>
      </c>
      <c r="O100" s="12">
        <f>IF(AND(ISNUMBER(RU_Clean!O100),ISNUMBER(RU_Clean!O99)),(RU_Clean!O100-RU_Clean!O99)/RU_Clean!O99*100,"")</f>
        <v>-0.345721694036306</v>
      </c>
      <c r="P100" s="12">
        <f>IF(AND(ISNUMBER(RU_Clean!P100),ISNUMBER(RU_Clean!P99)),(RU_Clean!P100-RU_Clean!P99)/RU_Clean!P99*100,"")</f>
        <v>0.7416563658838</v>
      </c>
      <c r="Q100" s="12">
        <f>IF(AND(ISNUMBER(RU_Clean!Q100),ISNUMBER(RU_Clean!Q99)),(RU_Clean!Q100-RU_Clean!Q99)/RU_Clean!Q99*100,"")</f>
        <v>1.84300341296928</v>
      </c>
      <c r="R100" s="12">
        <f>IF(AND(ISNUMBER(RU_Clean!R100),ISNUMBER(RU_Clean!R99)),(RU_Clean!R100-RU_Clean!R99)/RU_Clean!R99*100,"")</f>
        <v>0.610500610500611</v>
      </c>
      <c r="S100" s="12">
        <f>IF(AND(ISNUMBER(RU_Clean!S100),ISNUMBER(RU_Clean!S99)),(RU_Clean!S100-RU_Clean!S99)/RU_Clean!S99*100,"")</f>
        <v>0.42501517911355</v>
      </c>
      <c r="T100" s="12">
        <f>IF(AND(ISNUMBER(RU_Clean!T100),ISNUMBER(RU_Clean!T99)),(RU_Clean!T100-RU_Clean!T99)/RU_Clean!T99*100,"")</f>
        <v>0.324675324675322</v>
      </c>
      <c r="U100" s="12">
        <f>IF(AND(ISNUMBER(RU_Clean!U100),ISNUMBER(RU_Clean!U99)),(RU_Clean!U100-RU_Clean!U99)/RU_Clean!U99*100,"")</f>
        <v>0.453661697990919</v>
      </c>
      <c r="V100" s="12">
        <f>IF(AND(ISNUMBER(RU_Clean!V100),ISNUMBER(RU_Clean!V99)),(RU_Clean!V100-RU_Clean!V99)/RU_Clean!V99*100,"")</f>
        <v>0.345065562456867</v>
      </c>
      <c r="W100" s="12">
        <f>IF(AND(ISNUMBER(RU_Clean!W100),ISNUMBER(RU_Clean!W99)),(RU_Clean!W100-RU_Clean!W99)/RU_Clean!W99*100,"")</f>
        <v>0.523560209424073</v>
      </c>
      <c r="X100" s="12">
        <f>IF(AND(ISNUMBER(RU_Clean!X100),ISNUMBER(RU_Clean!X99)),(RU_Clean!X100-RU_Clean!X99)/RU_Clean!X99*100,"")</f>
        <v>0.253164556962029</v>
      </c>
      <c r="Y100" s="12">
        <f>IF(AND(ISNUMBER(RU_Clean!Y100),ISNUMBER(RU_Clean!Y99)),(RU_Clean!Y100-RU_Clean!Y99)/RU_Clean!Y99*100,"")</f>
        <v>0.696378830083565</v>
      </c>
      <c r="Z100" s="12">
        <f>IF(AND(ISNUMBER(RU_Clean!Z100),ISNUMBER(RU_Clean!Z99)),(RU_Clean!Z100-RU_Clean!Z99)/RU_Clean!Z99*100,"")</f>
        <v>0.335120643431635</v>
      </c>
      <c r="AA100" s="12">
        <f>IF(AND(ISNUMBER(RU_Clean!AA100),ISNUMBER(RU_Clean!AA99)),(RU_Clean!AA100-RU_Clean!AA99)/RU_Clean!AA99*100,"")</f>
        <v>0.699745547073806</v>
      </c>
      <c r="AB100" s="12">
        <f>IF(AND(ISNUMBER(RU_Clean!AB100),ISNUMBER(RU_Clean!AB99)),(RU_Clean!AB100-RU_Clean!AB99)/RU_Clean!AB99*100,"")</f>
        <v>0.213675213675202</v>
      </c>
      <c r="AC100" s="12">
        <f>IF(AND(ISNUMBER(RU_Clean!AC100),ISNUMBER(RU_Clean!AC99)),(RU_Clean!AC100-RU_Clean!AC99)/RU_Clean!AC99*100,"")</f>
        <v>0.0673854447439315</v>
      </c>
      <c r="AD100" s="12">
        <f>IF(AND(ISNUMBER(RU_Clean!AD100),ISNUMBER(RU_Clean!AD99)),(RU_Clean!AD100-RU_Clean!AD99)/RU_Clean!AD99*100,"")</f>
        <v>0.504413619167725</v>
      </c>
      <c r="AE100" s="12">
        <f>IF(AND(ISNUMBER(RU_Clean!AE100),ISNUMBER(RU_Clean!AE99)),(RU_Clean!AE100-RU_Clean!AE99)/RU_Clean!AE99*100,"")</f>
        <v>0.127469725940082</v>
      </c>
      <c r="AF100" s="12">
        <f>IF(AND(ISNUMBER(RU_Clean!AF100),ISNUMBER(RU_Clean!AF99)),(RU_Clean!AF100-RU_Clean!AF99)/RU_Clean!AF99*100,"")</f>
        <v>0.33178500331785</v>
      </c>
      <c r="AG100" s="12">
        <f>IF(AND(ISNUMBER(RU_Clean!AG100),ISNUMBER(RU_Clean!AG99)),(RU_Clean!AG100-RU_Clean!AG99)/RU_Clean!AG99*100,"")</f>
        <v>0.315656565656566</v>
      </c>
      <c r="AH100" s="12">
        <f>IF(AND(ISNUMBER(RU_Clean!AH100),ISNUMBER(RU_Clean!AH99)),(RU_Clean!AH100-RU_Clean!AH99)/RU_Clean!AH99*100,"")</f>
        <v>0.662903309337612</v>
      </c>
    </row>
    <row r="101" spans="1:34">
      <c r="A101" s="6">
        <f>RU_Clean!A101</f>
        <v>2021</v>
      </c>
      <c r="B101" s="6">
        <f>RU_Clean!B101</f>
        <v>1</v>
      </c>
      <c r="C101" s="6" t="str">
        <f>RU_Clean!C101</f>
        <v>January</v>
      </c>
      <c r="D101" s="9">
        <f>RU_Clean!D101</f>
        <v>44197</v>
      </c>
      <c r="E101" s="6"/>
      <c r="F101" s="6"/>
      <c r="G101" s="12">
        <f>IF(AND(ISNUMBER(RU_Clean!G101),ISNUMBER(RU_Clean!G100)),(RU_Clean!G101-RU_Clean!G100)/RU_Clean!G100*100,"")</f>
        <v>-0.753424657534243</v>
      </c>
      <c r="H101" s="12">
        <f>IF(AND(ISNUMBER(RU_Clean!H101),ISNUMBER(RU_Clean!H100)),(RU_Clean!H101-RU_Clean!H100)/RU_Clean!H100*100,"")</f>
        <v>-0.471204188481678</v>
      </c>
      <c r="I101" s="12">
        <f>IF(AND(ISNUMBER(RU_Clean!I101),ISNUMBER(RU_Clean!I100)),(RU_Clean!I101-RU_Clean!I100)/RU_Clean!I100*100,"")</f>
        <v>0</v>
      </c>
      <c r="J101" s="12">
        <f>IF(AND(ISNUMBER(RU_Clean!J101),ISNUMBER(RU_Clean!J100)),(RU_Clean!J101-RU_Clean!J100)/RU_Clean!J100*100,"")</f>
        <v>0</v>
      </c>
      <c r="K101" s="12">
        <f>IF(AND(ISNUMBER(RU_Clean!K101),ISNUMBER(RU_Clean!K100)),(RU_Clean!K101-RU_Clean!K100)/RU_Clean!K100*100,"")</f>
        <v>2.93315143246931</v>
      </c>
      <c r="L101" s="12">
        <f>IF(AND(ISNUMBER(RU_Clean!L101),ISNUMBER(RU_Clean!L100)),(RU_Clean!L101-RU_Clean!L100)/RU_Clean!L100*100,"")</f>
        <v>1.2863913337847</v>
      </c>
      <c r="M101" s="12">
        <f>IF(AND(ISNUMBER(RU_Clean!M101),ISNUMBER(RU_Clean!M100)),(RU_Clean!M101-RU_Clean!M100)/RU_Clean!M100*100,"")</f>
        <v>-15.7483731019523</v>
      </c>
      <c r="N101" s="12">
        <f>IF(AND(ISNUMBER(RU_Clean!N101),ISNUMBER(RU_Clean!N100)),(RU_Clean!N101-RU_Clean!N100)/RU_Clean!N100*100,"")</f>
        <v>0.124843945068675</v>
      </c>
      <c r="O101" s="12">
        <f>IF(AND(ISNUMBER(RU_Clean!O101),ISNUMBER(RU_Clean!O100)),(RU_Clean!O101-RU_Clean!O100)/RU_Clean!O100*100,"")</f>
        <v>-0.607111882046837</v>
      </c>
      <c r="P101" s="12">
        <f>IF(AND(ISNUMBER(RU_Clean!P101),ISNUMBER(RU_Clean!P100)),(RU_Clean!P101-RU_Clean!P100)/RU_Clean!P100*100,"")</f>
        <v>0.613496932515337</v>
      </c>
      <c r="Q101" s="12">
        <f>IF(AND(ISNUMBER(RU_Clean!Q101),ISNUMBER(RU_Clean!Q100)),(RU_Clean!Q101-RU_Clean!Q100)/RU_Clean!Q100*100,"")</f>
        <v>1.74262734584452</v>
      </c>
      <c r="R101" s="12">
        <f>IF(AND(ISNUMBER(RU_Clean!R101),ISNUMBER(RU_Clean!R100)),(RU_Clean!R101-RU_Clean!R100)/RU_Clean!R100*100,"")</f>
        <v>0.485436893203873</v>
      </c>
      <c r="S101" s="12">
        <f>IF(AND(ISNUMBER(RU_Clean!S101),ISNUMBER(RU_Clean!S100)),(RU_Clean!S101-RU_Clean!S100)/RU_Clean!S100*100,"")</f>
        <v>-2.66021765417171</v>
      </c>
      <c r="T101" s="12">
        <f>IF(AND(ISNUMBER(RU_Clean!T101),ISNUMBER(RU_Clean!T100)),(RU_Clean!T101-RU_Clean!T100)/RU_Clean!T100*100,"")</f>
        <v>0.593311758360299</v>
      </c>
      <c r="U101" s="12">
        <f>IF(AND(ISNUMBER(RU_Clean!U101),ISNUMBER(RU_Clean!U100)),(RU_Clean!U101-RU_Clean!U100)/RU_Clean!U100*100,"")</f>
        <v>0.32258064516129</v>
      </c>
      <c r="V101" s="12">
        <f>IF(AND(ISNUMBER(RU_Clean!V101),ISNUMBER(RU_Clean!V100)),(RU_Clean!V101-RU_Clean!V100)/RU_Clean!V100*100,"")</f>
        <v>0.481430536451161</v>
      </c>
      <c r="W101" s="12">
        <f>IF(AND(ISNUMBER(RU_Clean!W101),ISNUMBER(RU_Clean!W100)),(RU_Clean!W101-RU_Clean!W100)/RU_Clean!W100*100,"")</f>
        <v>0.390624999999996</v>
      </c>
      <c r="X101" s="12">
        <f>IF(AND(ISNUMBER(RU_Clean!X101),ISNUMBER(RU_Clean!X100)),(RU_Clean!X101-RU_Clean!X100)/RU_Clean!X100*100,"")</f>
        <v>-0.441919191919203</v>
      </c>
      <c r="Y101" s="12">
        <f>IF(AND(ISNUMBER(RU_Clean!Y101),ISNUMBER(RU_Clean!Y100)),(RU_Clean!Y101-RU_Clean!Y100)/RU_Clean!Y100*100,"")</f>
        <v>2.28215767634856</v>
      </c>
      <c r="Z101" s="12">
        <f>IF(AND(ISNUMBER(RU_Clean!Z101),ISNUMBER(RU_Clean!Z100)),(RU_Clean!Z101-RU_Clean!Z100)/RU_Clean!Z100*100,"")</f>
        <v>0.200400801603214</v>
      </c>
      <c r="AA101" s="12">
        <f>IF(AND(ISNUMBER(RU_Clean!AA101),ISNUMBER(RU_Clean!AA100)),(RU_Clean!AA101-RU_Clean!AA100)/RU_Clean!AA100*100,"")</f>
        <v>0.631711939355654</v>
      </c>
      <c r="AB101" s="12">
        <f>IF(AND(ISNUMBER(RU_Clean!AB101),ISNUMBER(RU_Clean!AB100)),(RU_Clean!AB101-RU_Clean!AB100)/RU_Clean!AB100*100,"")</f>
        <v>0.852878464818775</v>
      </c>
      <c r="AC101" s="12">
        <f>IF(AND(ISNUMBER(RU_Clean!AC101),ISNUMBER(RU_Clean!AC100)),(RU_Clean!AC101-RU_Clean!AC100)/RU_Clean!AC100*100,"")</f>
        <v>0.740740740740737</v>
      </c>
      <c r="AD101" s="12">
        <f>IF(AND(ISNUMBER(RU_Clean!AD101),ISNUMBER(RU_Clean!AD100)),(RU_Clean!AD101-RU_Clean!AD100)/RU_Clean!AD100*100,"")</f>
        <v>-0.12547051442912</v>
      </c>
      <c r="AE101" s="12">
        <f>IF(AND(ISNUMBER(RU_Clean!AE101),ISNUMBER(RU_Clean!AE100)),(RU_Clean!AE101-RU_Clean!AE100)/RU_Clean!AE100*100,"")</f>
        <v>-0.190961171228506</v>
      </c>
      <c r="AF101" s="12">
        <f>IF(AND(ISNUMBER(RU_Clean!AF101),ISNUMBER(RU_Clean!AF100)),(RU_Clean!AF101-RU_Clean!AF100)/RU_Clean!AF100*100,"")</f>
        <v>0.462962962962974</v>
      </c>
      <c r="AG101" s="12">
        <f>IF(AND(ISNUMBER(RU_Clean!AG101),ISNUMBER(RU_Clean!AG100)),(RU_Clean!AG101-RU_Clean!AG100)/RU_Clean!AG100*100,"")</f>
        <v>-1.00692259282567</v>
      </c>
      <c r="AH101" s="12">
        <f>IF(AND(ISNUMBER(RU_Clean!AH101),ISNUMBER(RU_Clean!AH100)),(RU_Clean!AH101-RU_Clean!AH100)/RU_Clean!AH100*100,"")</f>
        <v>-1.45084117919433</v>
      </c>
    </row>
    <row r="102" spans="1:34">
      <c r="A102" s="6">
        <f>RU_Clean!A102</f>
        <v>2021</v>
      </c>
      <c r="B102" s="6">
        <f>RU_Clean!B102</f>
        <v>2</v>
      </c>
      <c r="C102" s="6" t="str">
        <f>RU_Clean!C102</f>
        <v>February</v>
      </c>
      <c r="D102" s="9">
        <f>RU_Clean!D102</f>
        <v>44228</v>
      </c>
      <c r="E102" s="6"/>
      <c r="F102" s="6"/>
      <c r="G102" s="12">
        <f>IF(AND(ISNUMBER(RU_Clean!G102),ISNUMBER(RU_Clean!G101)),(RU_Clean!G102-RU_Clean!G101)/RU_Clean!G101*100,"")</f>
        <v>-0.414078674948236</v>
      </c>
      <c r="H102" s="12">
        <f>IF(AND(ISNUMBER(RU_Clean!H102),ISNUMBER(RU_Clean!H101)),(RU_Clean!H102-RU_Clean!H101)/RU_Clean!H101*100,"")</f>
        <v>-1.89374013677012</v>
      </c>
      <c r="I102" s="12">
        <f>IF(AND(ISNUMBER(RU_Clean!I102),ISNUMBER(RU_Clean!I101)),(RU_Clean!I102-RU_Clean!I101)/RU_Clean!I101*100,"")</f>
        <v>-3.76497432972049</v>
      </c>
      <c r="J102" s="12">
        <f>IF(AND(ISNUMBER(RU_Clean!J102),ISNUMBER(RU_Clean!J101)),(RU_Clean!J102-RU_Clean!J101)/RU_Clean!J101*100,"")</f>
        <v>0.389357560025954</v>
      </c>
      <c r="K102" s="12">
        <f>IF(AND(ISNUMBER(RU_Clean!K102),ISNUMBER(RU_Clean!K101)),(RU_Clean!K102-RU_Clean!K101)/RU_Clean!K101*100,"")</f>
        <v>5.16898608349899</v>
      </c>
      <c r="L102" s="12">
        <f>IF(AND(ISNUMBER(RU_Clean!L102),ISNUMBER(RU_Clean!L101)),(RU_Clean!L102-RU_Clean!L101)/RU_Clean!L101*100,"")</f>
        <v>0.735294117647055</v>
      </c>
      <c r="M102" s="12">
        <f>IF(AND(ISNUMBER(RU_Clean!M102),ISNUMBER(RU_Clean!M101)),(RU_Clean!M102-RU_Clean!M101)/RU_Clean!M101*100,"")</f>
        <v>-17.610710607621</v>
      </c>
      <c r="N102" s="12">
        <f>IF(AND(ISNUMBER(RU_Clean!N102),ISNUMBER(RU_Clean!N101)),(RU_Clean!N102-RU_Clean!N101)/RU_Clean!N101*100,"")</f>
        <v>-0.997506234413962</v>
      </c>
      <c r="O102" s="12">
        <f>IF(AND(ISNUMBER(RU_Clean!O102),ISNUMBER(RU_Clean!O101)),(RU_Clean!O102-RU_Clean!O101)/RU_Clean!O101*100,"")</f>
        <v>-1.57068062827225</v>
      </c>
      <c r="P102" s="12">
        <f>IF(AND(ISNUMBER(RU_Clean!P102),ISNUMBER(RU_Clean!P101)),(RU_Clean!P102-RU_Clean!P101)/RU_Clean!P101*100,"")</f>
        <v>0.121951219512188</v>
      </c>
      <c r="Q102" s="12">
        <f>IF(AND(ISNUMBER(RU_Clean!Q102),ISNUMBER(RU_Clean!Q101)),(RU_Clean!Q102-RU_Clean!Q101)/RU_Clean!Q101*100,"")</f>
        <v>2.43741765480895</v>
      </c>
      <c r="R102" s="12">
        <f>IF(AND(ISNUMBER(RU_Clean!R102),ISNUMBER(RU_Clean!R101)),(RU_Clean!R102-RU_Clean!R101)/RU_Clean!R101*100,"")</f>
        <v>1.14734299516909</v>
      </c>
      <c r="S102" s="12">
        <f>IF(AND(ISNUMBER(RU_Clean!S102),ISNUMBER(RU_Clean!S101)),(RU_Clean!S102-RU_Clean!S101)/RU_Clean!S101*100,"")</f>
        <v>-2.54658385093167</v>
      </c>
      <c r="T102" s="12">
        <f>IF(AND(ISNUMBER(RU_Clean!T102),ISNUMBER(RU_Clean!T101)),(RU_Clean!T102-RU_Clean!T101)/RU_Clean!T101*100,"")</f>
        <v>0.965147453083116</v>
      </c>
      <c r="U102" s="12">
        <f>IF(AND(ISNUMBER(RU_Clean!U102),ISNUMBER(RU_Clean!U101)),(RU_Clean!U102-RU_Clean!U101)/RU_Clean!U101*100,"")</f>
        <v>1.09324758842443</v>
      </c>
      <c r="V102" s="12">
        <f>IF(AND(ISNUMBER(RU_Clean!V102),ISNUMBER(RU_Clean!V101)),(RU_Clean!V102-RU_Clean!V101)/RU_Clean!V101*100,"")</f>
        <v>0.889801505817941</v>
      </c>
      <c r="W102" s="12">
        <f>IF(AND(ISNUMBER(RU_Clean!W102),ISNUMBER(RU_Clean!W101)),(RU_Clean!W102-RU_Clean!W101)/RU_Clean!W101*100,"")</f>
        <v>1.03761348897537</v>
      </c>
      <c r="X102" s="12">
        <f>IF(AND(ISNUMBER(RU_Clean!X102),ISNUMBER(RU_Clean!X101)),(RU_Clean!X102-RU_Clean!X101)/RU_Clean!X101*100,"")</f>
        <v>1.33164235890934</v>
      </c>
      <c r="Y102" s="12">
        <f>IF(AND(ISNUMBER(RU_Clean!Y102),ISNUMBER(RU_Clean!Y101)),(RU_Clean!Y102-RU_Clean!Y101)/RU_Clean!Y101*100,"")</f>
        <v>3.04259634888438</v>
      </c>
      <c r="Z102" s="12">
        <f>IF(AND(ISNUMBER(RU_Clean!Z102),ISNUMBER(RU_Clean!Z101)),(RU_Clean!Z102-RU_Clean!Z101)/RU_Clean!Z101*100,"")</f>
        <v>0.600000000000004</v>
      </c>
      <c r="AA102" s="12">
        <f>IF(AND(ISNUMBER(RU_Clean!AA102),ISNUMBER(RU_Clean!AA101)),(RU_Clean!AA102-RU_Clean!AA101)/RU_Clean!AA101*100,"")</f>
        <v>1.25549278091651</v>
      </c>
      <c r="AB102" s="12">
        <f>IF(AND(ISNUMBER(RU_Clean!AB102),ISNUMBER(RU_Clean!AB101)),(RU_Clean!AB102-RU_Clean!AB101)/RU_Clean!AB101*100,"")</f>
        <v>2.25510923185341</v>
      </c>
      <c r="AC102" s="12">
        <f>IF(AND(ISNUMBER(RU_Clean!AC102),ISNUMBER(RU_Clean!AC101)),(RU_Clean!AC102-RU_Clean!AC101)/RU_Clean!AC101*100,"")</f>
        <v>1.27005347593583</v>
      </c>
      <c r="AD102" s="12">
        <f>IF(AND(ISNUMBER(RU_Clean!AD102),ISNUMBER(RU_Clean!AD101)),(RU_Clean!AD102-RU_Clean!AD101)/RU_Clean!AD101*100,"")</f>
        <v>0.188442211055284</v>
      </c>
      <c r="AE102" s="12">
        <f>IF(AND(ISNUMBER(RU_Clean!AE102),ISNUMBER(RU_Clean!AE101)),(RU_Clean!AE102-RU_Clean!AE101)/RU_Clean!AE101*100,"")</f>
        <v>-0.637755102040816</v>
      </c>
      <c r="AF102" s="12">
        <f>IF(AND(ISNUMBER(RU_Clean!AF102),ISNUMBER(RU_Clean!AF101)),(RU_Clean!AF102-RU_Clean!AF101)/RU_Clean!AF101*100,"")</f>
        <v>0.987491770901909</v>
      </c>
      <c r="AG102" s="12">
        <f>IF(AND(ISNUMBER(RU_Clean!AG102),ISNUMBER(RU_Clean!AG101)),(RU_Clean!AG102-RU_Clean!AG101)/RU_Clean!AG101*100,"")</f>
        <v>-0.445009535918638</v>
      </c>
      <c r="AH102" s="12">
        <f>IF(AND(ISNUMBER(RU_Clean!AH102),ISNUMBER(RU_Clean!AH101)),(RU_Clean!AH102-RU_Clean!AH101)/RU_Clean!AH101*100,"")</f>
        <v>-1.72800835291045</v>
      </c>
    </row>
    <row r="103" spans="1:34">
      <c r="A103" s="6">
        <f>RU_Clean!A103</f>
        <v>2021</v>
      </c>
      <c r="B103" s="6">
        <f>RU_Clean!B103</f>
        <v>3</v>
      </c>
      <c r="C103" s="6" t="str">
        <f>RU_Clean!C103</f>
        <v>March</v>
      </c>
      <c r="D103" s="9">
        <f>RU_Clean!D103</f>
        <v>44256</v>
      </c>
      <c r="E103" s="6"/>
      <c r="F103" s="6"/>
      <c r="G103" s="12">
        <f>IF(AND(ISNUMBER(RU_Clean!G103),ISNUMBER(RU_Clean!G102)),(RU_Clean!G103-RU_Clean!G102)/RU_Clean!G102*100,"")</f>
        <v>-0.13860013860015</v>
      </c>
      <c r="H103" s="12">
        <f>IF(AND(ISNUMBER(RU_Clean!H103),ISNUMBER(RU_Clean!H102)),(RU_Clean!H103-RU_Clean!H102)/RU_Clean!H102*100,"")</f>
        <v>3.05630026809651</v>
      </c>
      <c r="I103" s="12">
        <f>IF(AND(ISNUMBER(RU_Clean!I103),ISNUMBER(RU_Clean!I102)),(RU_Clean!I103-RU_Clean!I102)/RU_Clean!I102*100,"")</f>
        <v>-2.90456431535268</v>
      </c>
      <c r="J103" s="12">
        <f>IF(AND(ISNUMBER(RU_Clean!J103),ISNUMBER(RU_Clean!J102)),(RU_Clean!J103-RU_Clean!J102)/RU_Clean!J102*100,"")</f>
        <v>0.12928248222367</v>
      </c>
      <c r="K103" s="12">
        <f>IF(AND(ISNUMBER(RU_Clean!K103),ISNUMBER(RU_Clean!K102)),(RU_Clean!K103-RU_Clean!K102)/RU_Clean!K102*100,"")</f>
        <v>3.27662255828609</v>
      </c>
      <c r="L103" s="12">
        <f>IF(AND(ISNUMBER(RU_Clean!L103),ISNUMBER(RU_Clean!L102)),(RU_Clean!L103-RU_Clean!L102)/RU_Clean!L102*100,"")</f>
        <v>1.9907100199071</v>
      </c>
      <c r="M103" s="12">
        <f>IF(AND(ISNUMBER(RU_Clean!M103),ISNUMBER(RU_Clean!M102)),(RU_Clean!M103-RU_Clean!M102)/RU_Clean!M102*100,"")</f>
        <v>-6.5625</v>
      </c>
      <c r="N103" s="12">
        <f>IF(AND(ISNUMBER(RU_Clean!N103),ISNUMBER(RU_Clean!N102)),(RU_Clean!N103-RU_Clean!N102)/RU_Clean!N102*100,"")</f>
        <v>0.629722921914358</v>
      </c>
      <c r="O103" s="12">
        <f>IF(AND(ISNUMBER(RU_Clean!O103),ISNUMBER(RU_Clean!O102)),(RU_Clean!O103-RU_Clean!O102)/RU_Clean!O102*100,"")</f>
        <v>-0.17730496453901</v>
      </c>
      <c r="P103" s="12">
        <f>IF(AND(ISNUMBER(RU_Clean!P103),ISNUMBER(RU_Clean!P102)),(RU_Clean!P103-RU_Clean!P102)/RU_Clean!P102*100,"")</f>
        <v>-0.426309378806327</v>
      </c>
      <c r="Q103" s="12">
        <f>IF(AND(ISNUMBER(RU_Clean!Q103),ISNUMBER(RU_Clean!Q102)),(RU_Clean!Q103-RU_Clean!Q102)/RU_Clean!Q102*100,"")</f>
        <v>0.643086816720257</v>
      </c>
      <c r="R103" s="12">
        <f>IF(AND(ISNUMBER(RU_Clean!R103),ISNUMBER(RU_Clean!R102)),(RU_Clean!R103-RU_Clean!R102)/RU_Clean!R102*100,"")</f>
        <v>0.417910447761187</v>
      </c>
      <c r="S103" s="12">
        <f>IF(AND(ISNUMBER(RU_Clean!S103),ISNUMBER(RU_Clean!S102)),(RU_Clean!S103-RU_Clean!S102)/RU_Clean!S102*100,"")</f>
        <v>-0.1274697259401</v>
      </c>
      <c r="T103" s="12">
        <f>IF(AND(ISNUMBER(RU_Clean!T103),ISNUMBER(RU_Clean!T102)),(RU_Clean!T103-RU_Clean!T102)/RU_Clean!T102*100,"")</f>
        <v>-0.106213489113126</v>
      </c>
      <c r="U103" s="12">
        <f>IF(AND(ISNUMBER(RU_Clean!U103),ISNUMBER(RU_Clean!U102)),(RU_Clean!U103-RU_Clean!U102)/RU_Clean!U102*100,"")</f>
        <v>0.381679389312992</v>
      </c>
      <c r="V103" s="12">
        <f>IF(AND(ISNUMBER(RU_Clean!V103),ISNUMBER(RU_Clean!V102)),(RU_Clean!V103-RU_Clean!V102)/RU_Clean!V102*100,"")</f>
        <v>0.33921302578019</v>
      </c>
      <c r="W103" s="12">
        <f>IF(AND(ISNUMBER(RU_Clean!W103),ISNUMBER(RU_Clean!W102)),(RU_Clean!W103-RU_Clean!W102)/RU_Clean!W102*100,"")</f>
        <v>0.385109114249034</v>
      </c>
      <c r="X103" s="12">
        <f>IF(AND(ISNUMBER(RU_Clean!X103),ISNUMBER(RU_Clean!X102)),(RU_Clean!X103-RU_Clean!X102)/RU_Clean!X102*100,"")</f>
        <v>0.0625782227784695</v>
      </c>
      <c r="Y103" s="12">
        <f>IF(AND(ISNUMBER(RU_Clean!Y103),ISNUMBER(RU_Clean!Y102)),(RU_Clean!Y103-RU_Clean!Y102)/RU_Clean!Y102*100,"")</f>
        <v>2.03412073490813</v>
      </c>
      <c r="Z103" s="12">
        <f>IF(AND(ISNUMBER(RU_Clean!Z103),ISNUMBER(RU_Clean!Z102)),(RU_Clean!Z103-RU_Clean!Z102)/RU_Clean!Z102*100,"")</f>
        <v>0.198807157057643</v>
      </c>
      <c r="AA103" s="12">
        <f>IF(AND(ISNUMBER(RU_Clean!AA103),ISNUMBER(RU_Clean!AA102)),(RU_Clean!AA103-RU_Clean!AA102)/RU_Clean!AA102*100,"")</f>
        <v>0.247985120892732</v>
      </c>
      <c r="AB103" s="12">
        <f>IF(AND(ISNUMBER(RU_Clean!AB103),ISNUMBER(RU_Clean!AB102)),(RU_Clean!AB103-RU_Clean!AB102)/RU_Clean!AB102*100,"")</f>
        <v>0.758097863542381</v>
      </c>
      <c r="AC103" s="12">
        <f>IF(AND(ISNUMBER(RU_Clean!AC103),ISNUMBER(RU_Clean!AC102)),(RU_Clean!AC103-RU_Clean!AC102)/RU_Clean!AC102*100,"")</f>
        <v>0.726072607260722</v>
      </c>
      <c r="AD103" s="12">
        <f>IF(AND(ISNUMBER(RU_Clean!AD103),ISNUMBER(RU_Clean!AD102)),(RU_Clean!AD103-RU_Clean!AD102)/RU_Clean!AD102*100,"")</f>
        <v>0.438871473354225</v>
      </c>
      <c r="AE103" s="12">
        <f>IF(AND(ISNUMBER(RU_Clean!AE103),ISNUMBER(RU_Clean!AE102)),(RU_Clean!AE103-RU_Clean!AE102)/RU_Clean!AE102*100,"")</f>
        <v>-1.28369704749679</v>
      </c>
      <c r="AF103" s="12">
        <f>IF(AND(ISNUMBER(RU_Clean!AF103),ISNUMBER(RU_Clean!AF102)),(RU_Clean!AF103-RU_Clean!AF102)/RU_Clean!AF102*100,"")</f>
        <v>0.260756192959586</v>
      </c>
      <c r="AG103" s="12">
        <f>IF(AND(ISNUMBER(RU_Clean!AG103),ISNUMBER(RU_Clean!AG102)),(RU_Clean!AG103-RU_Clean!AG102)/RU_Clean!AG102*100,"")</f>
        <v>0.12771392081738</v>
      </c>
      <c r="AH103" s="12">
        <f>IF(AND(ISNUMBER(RU_Clean!AH103),ISNUMBER(RU_Clean!AH102)),(RU_Clean!AH103-RU_Clean!AH102)/RU_Clean!AH102*100,"")</f>
        <v>0.0159371015724462</v>
      </c>
    </row>
    <row r="104" spans="1:34">
      <c r="A104" s="6">
        <f>RU_Clean!A104</f>
        <v>2021</v>
      </c>
      <c r="B104" s="6">
        <f>RU_Clean!B104</f>
        <v>4</v>
      </c>
      <c r="C104" s="6" t="str">
        <f>RU_Clean!C104</f>
        <v>April</v>
      </c>
      <c r="D104" s="9">
        <f>RU_Clean!D104</f>
        <v>44287</v>
      </c>
      <c r="E104" s="6"/>
      <c r="F104" s="6"/>
      <c r="G104" s="12">
        <f>IF(AND(ISNUMBER(RU_Clean!G104),ISNUMBER(RU_Clean!G103)),(RU_Clean!G104-RU_Clean!G103)/RU_Clean!G103*100,"")</f>
        <v>0.138792505204731</v>
      </c>
      <c r="H104" s="12">
        <f>IF(AND(ISNUMBER(RU_Clean!H104),ISNUMBER(RU_Clean!H103)),(RU_Clean!H104-RU_Clean!H103)/RU_Clean!H103*100,"")</f>
        <v>3.01768990634756</v>
      </c>
      <c r="I104" s="12">
        <f>IF(AND(ISNUMBER(RU_Clean!I104),ISNUMBER(RU_Clean!I103)),(RU_Clean!I104-RU_Clean!I103)/RU_Clean!I103*100,"")</f>
        <v>0.488400488400478</v>
      </c>
      <c r="J104" s="12">
        <f>IF(AND(ISNUMBER(RU_Clean!J104),ISNUMBER(RU_Clean!J103)),(RU_Clean!J104-RU_Clean!J103)/RU_Clean!J103*100,"")</f>
        <v>0.322788896061975</v>
      </c>
      <c r="K104" s="12">
        <f>IF(AND(ISNUMBER(RU_Clean!K104),ISNUMBER(RU_Clean!K103)),(RU_Clean!K104-RU_Clean!K103)/RU_Clean!K103*100,"")</f>
        <v>3.78279438682123</v>
      </c>
      <c r="L104" s="12">
        <f>IF(AND(ISNUMBER(RU_Clean!L104),ISNUMBER(RU_Clean!L103)),(RU_Clean!L104-RU_Clean!L103)/RU_Clean!L103*100,"")</f>
        <v>6.96161353285623</v>
      </c>
      <c r="M104" s="12">
        <f>IF(AND(ISNUMBER(RU_Clean!M104),ISNUMBER(RU_Clean!M103)),(RU_Clean!M104-RU_Clean!M103)/RU_Clean!M103*100,"")</f>
        <v>-3.61204013377927</v>
      </c>
      <c r="N104" s="12">
        <f>IF(AND(ISNUMBER(RU_Clean!N104),ISNUMBER(RU_Clean!N103)),(RU_Clean!N104-RU_Clean!N103)/RU_Clean!N103*100,"")</f>
        <v>1.18898623279097</v>
      </c>
      <c r="O104" s="12">
        <f>IF(AND(ISNUMBER(RU_Clean!O104),ISNUMBER(RU_Clean!O103)),(RU_Clean!O104-RU_Clean!O103)/RU_Clean!O103*100,"")</f>
        <v>0.44404973357016</v>
      </c>
      <c r="P104" s="12">
        <f>IF(AND(ISNUMBER(RU_Clean!P104),ISNUMBER(RU_Clean!P103)),(RU_Clean!P104-RU_Clean!P103)/RU_Clean!P103*100,"")</f>
        <v>0.244648318042817</v>
      </c>
      <c r="Q104" s="12">
        <f>IF(AND(ISNUMBER(RU_Clean!Q104),ISNUMBER(RU_Clean!Q103)),(RU_Clean!Q104-RU_Clean!Q103)/RU_Clean!Q103*100,"")</f>
        <v>0.702875399361019</v>
      </c>
      <c r="R104" s="12">
        <f>IF(AND(ISNUMBER(RU_Clean!R104),ISNUMBER(RU_Clean!R103)),(RU_Clean!R104-RU_Clean!R103)/RU_Clean!R103*100,"")</f>
        <v>0.416171224732472</v>
      </c>
      <c r="S104" s="12">
        <f>IF(AND(ISNUMBER(RU_Clean!S104),ISNUMBER(RU_Clean!S103)),(RU_Clean!S104-RU_Clean!S103)/RU_Clean!S103*100,"")</f>
        <v>0.829610721123173</v>
      </c>
      <c r="T104" s="12">
        <f>IF(AND(ISNUMBER(RU_Clean!T104),ISNUMBER(RU_Clean!T103)),(RU_Clean!T104-RU_Clean!T103)/RU_Clean!T103*100,"")</f>
        <v>0.372142477405644</v>
      </c>
      <c r="U104" s="12">
        <f>IF(AND(ISNUMBER(RU_Clean!U104),ISNUMBER(RU_Clean!U103)),(RU_Clean!U104-RU_Clean!U103)/RU_Clean!U103*100,"")</f>
        <v>0.633713561470215</v>
      </c>
      <c r="V104" s="12">
        <f>IF(AND(ISNUMBER(RU_Clean!V104),ISNUMBER(RU_Clean!V103)),(RU_Clean!V104-RU_Clean!V103)/RU_Clean!V103*100,"")</f>
        <v>0.40567951318458</v>
      </c>
      <c r="W104" s="12">
        <f>IF(AND(ISNUMBER(RU_Clean!W104),ISNUMBER(RU_Clean!W103)),(RU_Clean!W104-RU_Clean!W103)/RU_Clean!W103*100,"")</f>
        <v>0.575447570332484</v>
      </c>
      <c r="X104" s="12">
        <f>IF(AND(ISNUMBER(RU_Clean!X104),ISNUMBER(RU_Clean!X103)),(RU_Clean!X104-RU_Clean!X103)/RU_Clean!X103*100,"")</f>
        <v>0.938086303939962</v>
      </c>
      <c r="Y104" s="12">
        <f>IF(AND(ISNUMBER(RU_Clean!Y104),ISNUMBER(RU_Clean!Y103)),(RU_Clean!Y104-RU_Clean!Y103)/RU_Clean!Y103*100,"")</f>
        <v>0.0643086816720221</v>
      </c>
      <c r="Z104" s="12">
        <f>IF(AND(ISNUMBER(RU_Clean!Z104),ISNUMBER(RU_Clean!Z103)),(RU_Clean!Z104-RU_Clean!Z103)/RU_Clean!Z103*100,"")</f>
        <v>0.396825396825412</v>
      </c>
      <c r="AA104" s="12">
        <f>IF(AND(ISNUMBER(RU_Clean!AA104),ISNUMBER(RU_Clean!AA103)),(RU_Clean!AA104-RU_Clean!AA103)/RU_Clean!AA103*100,"")</f>
        <v>0.371057513914671</v>
      </c>
      <c r="AB104" s="12">
        <f>IF(AND(ISNUMBER(RU_Clean!AB104),ISNUMBER(RU_Clean!AB103)),(RU_Clean!AB104-RU_Clean!AB103)/RU_Clean!AB103*100,"")</f>
        <v>0.273597811217514</v>
      </c>
      <c r="AC104" s="12">
        <f>IF(AND(ISNUMBER(RU_Clean!AC104),ISNUMBER(RU_Clean!AC103)),(RU_Clean!AC104-RU_Clean!AC103)/RU_Clean!AC103*100,"")</f>
        <v>0.393184796854518</v>
      </c>
      <c r="AD104" s="12">
        <f>IF(AND(ISNUMBER(RU_Clean!AD104),ISNUMBER(RU_Clean!AD103)),(RU_Clean!AD104-RU_Clean!AD103)/RU_Clean!AD103*100,"")</f>
        <v>0.0624219725343463</v>
      </c>
      <c r="AE104" s="12">
        <f>IF(AND(ISNUMBER(RU_Clean!AE104),ISNUMBER(RU_Clean!AE103)),(RU_Clean!AE104-RU_Clean!AE103)/RU_Clean!AE103*100,"")</f>
        <v>1.04031209362808</v>
      </c>
      <c r="AF104" s="12">
        <f>IF(AND(ISNUMBER(RU_Clean!AF104),ISNUMBER(RU_Clean!AF103)),(RU_Clean!AF104-RU_Clean!AF103)/RU_Clean!AF103*100,"")</f>
        <v>0.390117035110529</v>
      </c>
      <c r="AG104" s="12">
        <f>IF(AND(ISNUMBER(RU_Clean!AG104),ISNUMBER(RU_Clean!AG103)),(RU_Clean!AG104-RU_Clean!AG103)/RU_Clean!AG103*100,"")</f>
        <v>0.637755102040816</v>
      </c>
      <c r="AH104" s="12">
        <f>IF(AND(ISNUMBER(RU_Clean!AH104),ISNUMBER(RU_Clean!AH103)),(RU_Clean!AH104-RU_Clean!AH103)/RU_Clean!AH103*100,"")</f>
        <v>1.24289584107931</v>
      </c>
    </row>
    <row r="105" spans="1:34">
      <c r="A105" s="6">
        <f>RU_Clean!A105</f>
        <v>2021</v>
      </c>
      <c r="B105" s="6">
        <f>RU_Clean!B105</f>
        <v>5</v>
      </c>
      <c r="C105" s="6" t="str">
        <f>RU_Clean!C105</f>
        <v>May</v>
      </c>
      <c r="D105" s="9">
        <f>RU_Clean!D105</f>
        <v>44317</v>
      </c>
      <c r="E105" s="6"/>
      <c r="F105" s="6"/>
      <c r="G105" s="12">
        <f>IF(AND(ISNUMBER(RU_Clean!G105),ISNUMBER(RU_Clean!G104)),(RU_Clean!G105-RU_Clean!G104)/RU_Clean!G104*100,"")</f>
        <v>1.38600138600139</v>
      </c>
      <c r="H105" s="12">
        <f>IF(AND(ISNUMBER(RU_Clean!H105),ISNUMBER(RU_Clean!H104)),(RU_Clean!H105-RU_Clean!H104)/RU_Clean!H104*100,"")</f>
        <v>1.26262626262626</v>
      </c>
      <c r="I105" s="12">
        <f>IF(AND(ISNUMBER(RU_Clean!I105),ISNUMBER(RU_Clean!I104)),(RU_Clean!I105-RU_Clean!I104)/RU_Clean!I104*100,"")</f>
        <v>3.46294046172541</v>
      </c>
      <c r="J105" s="12">
        <f>IF(AND(ISNUMBER(RU_Clean!J105),ISNUMBER(RU_Clean!J104)),(RU_Clean!J105-RU_Clean!J104)/RU_Clean!J104*100,"")</f>
        <v>0.450450450450443</v>
      </c>
      <c r="K105" s="12">
        <f>IF(AND(ISNUMBER(RU_Clean!K105),ISNUMBER(RU_Clean!K104)),(RU_Clean!K105-RU_Clean!K104)/RU_Clean!K104*100,"")</f>
        <v>5.05584950029394</v>
      </c>
      <c r="L105" s="12">
        <f>IF(AND(ISNUMBER(RU_Clean!L105),ISNUMBER(RU_Clean!L104)),(RU_Clean!L105-RU_Clean!L104)/RU_Clean!L104*100,"")</f>
        <v>1.64233576642335</v>
      </c>
      <c r="M105" s="12">
        <f>IF(AND(ISNUMBER(RU_Clean!M105),ISNUMBER(RU_Clean!M104)),(RU_Clean!M105-RU_Clean!M104)/RU_Clean!M104*100,"")</f>
        <v>2.63705759888967</v>
      </c>
      <c r="N105" s="12">
        <f>IF(AND(ISNUMBER(RU_Clean!N105),ISNUMBER(RU_Clean!N104)),(RU_Clean!N105-RU_Clean!N104)/RU_Clean!N104*100,"")</f>
        <v>2.28818800247373</v>
      </c>
      <c r="O105" s="12">
        <f>IF(AND(ISNUMBER(RU_Clean!O105),ISNUMBER(RU_Clean!O104)),(RU_Clean!O105-RU_Clean!O104)/RU_Clean!O104*100,"")</f>
        <v>1.50309460654288</v>
      </c>
      <c r="P105" s="12">
        <f>IF(AND(ISNUMBER(RU_Clean!P105),ISNUMBER(RU_Clean!P104)),(RU_Clean!P105-RU_Clean!P104)/RU_Clean!P104*100,"")</f>
        <v>2.62355094569859</v>
      </c>
      <c r="Q105" s="12">
        <f>IF(AND(ISNUMBER(RU_Clean!Q105),ISNUMBER(RU_Clean!Q104)),(RU_Clean!Q105-RU_Clean!Q104)/RU_Clean!Q104*100,"")</f>
        <v>1.0786802030457</v>
      </c>
      <c r="R105" s="12">
        <f>IF(AND(ISNUMBER(RU_Clean!R105),ISNUMBER(RU_Clean!R104)),(RU_Clean!R105-RU_Clean!R104)/RU_Clean!R104*100,"")</f>
        <v>0.88809946714032</v>
      </c>
      <c r="S105" s="12">
        <f>IF(AND(ISNUMBER(RU_Clean!S105),ISNUMBER(RU_Clean!S104)),(RU_Clean!S105-RU_Clean!S104)/RU_Clean!S104*100,"")</f>
        <v>1.70886075949366</v>
      </c>
      <c r="T105" s="12">
        <f>IF(AND(ISNUMBER(RU_Clean!T105),ISNUMBER(RU_Clean!T104)),(RU_Clean!T105-RU_Clean!T104)/RU_Clean!T104*100,"")</f>
        <v>1.64194915254237</v>
      </c>
      <c r="U105" s="12">
        <f>IF(AND(ISNUMBER(RU_Clean!U105),ISNUMBER(RU_Clean!U104)),(RU_Clean!U105-RU_Clean!U104)/RU_Clean!U104*100,"")</f>
        <v>1.88916876574307</v>
      </c>
      <c r="V105" s="12">
        <f>IF(AND(ISNUMBER(RU_Clean!V105),ISNUMBER(RU_Clean!V104)),(RU_Clean!V105-RU_Clean!V104)/RU_Clean!V104*100,"")</f>
        <v>2.42424242424242</v>
      </c>
      <c r="W105" s="12">
        <f>IF(AND(ISNUMBER(RU_Clean!W105),ISNUMBER(RU_Clean!W104)),(RU_Clean!W105-RU_Clean!W104)/RU_Clean!W104*100,"")</f>
        <v>1.97075651621106</v>
      </c>
      <c r="X105" s="12">
        <f>IF(AND(ISNUMBER(RU_Clean!X105),ISNUMBER(RU_Clean!X104)),(RU_Clean!X105-RU_Clean!X104)/RU_Clean!X104*100,"")</f>
        <v>0.12391573729863</v>
      </c>
      <c r="Y105" s="12">
        <f>IF(AND(ISNUMBER(RU_Clean!Y105),ISNUMBER(RU_Clean!Y104)),(RU_Clean!Y105-RU_Clean!Y104)/RU_Clean!Y104*100,"")</f>
        <v>2.44215938303343</v>
      </c>
      <c r="Z105" s="12">
        <f>IF(AND(ISNUMBER(RU_Clean!Z105),ISNUMBER(RU_Clean!Z104)),(RU_Clean!Z105-RU_Clean!Z104)/RU_Clean!Z104*100,"")</f>
        <v>1.91040843214755</v>
      </c>
      <c r="AA105" s="12">
        <f>IF(AND(ISNUMBER(RU_Clean!AA105),ISNUMBER(RU_Clean!AA104)),(RU_Clean!AA105-RU_Clean!AA104)/RU_Clean!AA104*100,"")</f>
        <v>2.15650030807147</v>
      </c>
      <c r="AB105" s="12">
        <f>IF(AND(ISNUMBER(RU_Clean!AB105),ISNUMBER(RU_Clean!AB104)),(RU_Clean!AB105-RU_Clean!AB104)/RU_Clean!AB104*100,"")</f>
        <v>1.56889495225103</v>
      </c>
      <c r="AC105" s="12">
        <f>IF(AND(ISNUMBER(RU_Clean!AC105),ISNUMBER(RU_Clean!AC104)),(RU_Clean!AC105-RU_Clean!AC104)/RU_Clean!AC104*100,"")</f>
        <v>1.69712793733683</v>
      </c>
      <c r="AD105" s="12">
        <f>IF(AND(ISNUMBER(RU_Clean!AD105),ISNUMBER(RU_Clean!AD104)),(RU_Clean!AD105-RU_Clean!AD104)/RU_Clean!AD104*100,"")</f>
        <v>0.561447286338102</v>
      </c>
      <c r="AE105" s="12">
        <f>IF(AND(ISNUMBER(RU_Clean!AE105),ISNUMBER(RU_Clean!AE104)),(RU_Clean!AE105-RU_Clean!AE104)/RU_Clean!AE104*100,"")</f>
        <v>2.05920205920205</v>
      </c>
      <c r="AF105" s="12">
        <f>IF(AND(ISNUMBER(RU_Clean!AF105),ISNUMBER(RU_Clean!AF104)),(RU_Clean!AF105-RU_Clean!AF104)/RU_Clean!AF104*100,"")</f>
        <v>1.55440414507772</v>
      </c>
      <c r="AG105" s="12">
        <f>IF(AND(ISNUMBER(RU_Clean!AG105),ISNUMBER(RU_Clean!AG104)),(RU_Clean!AG105-RU_Clean!AG104)/RU_Clean!AG104*100,"")</f>
        <v>1.64765525982256</v>
      </c>
      <c r="AH105" s="12">
        <f>IF(AND(ISNUMBER(RU_Clean!AH105),ISNUMBER(RU_Clean!AH104)),(RU_Clean!AH105-RU_Clean!AH104)/RU_Clean!AH104*100,"")</f>
        <v>2.04081632653063</v>
      </c>
    </row>
    <row r="106" spans="1:34">
      <c r="A106" s="6">
        <f>RU_Clean!A106</f>
        <v>2021</v>
      </c>
      <c r="B106" s="6">
        <f>RU_Clean!B106</f>
        <v>6</v>
      </c>
      <c r="C106" s="6" t="str">
        <f>RU_Clean!C106</f>
        <v>June</v>
      </c>
      <c r="D106" s="9">
        <f>RU_Clean!D106</f>
        <v>44348</v>
      </c>
      <c r="E106" s="6"/>
      <c r="F106" s="6"/>
      <c r="G106" s="12">
        <f>IF(AND(ISNUMBER(RU_Clean!G106),ISNUMBER(RU_Clean!G105)),(RU_Clean!G106-RU_Clean!G105)/RU_Clean!G105*100,"")</f>
        <v>0.273410799726574</v>
      </c>
      <c r="H106" s="12">
        <f>IF(AND(ISNUMBER(RU_Clean!H106),ISNUMBER(RU_Clean!H105)),(RU_Clean!H106-RU_Clean!H105)/RU_Clean!H105*100,"")</f>
        <v>0.748129675810474</v>
      </c>
      <c r="I106" s="12">
        <f>IF(AND(ISNUMBER(RU_Clean!I106),ISNUMBER(RU_Clean!I105)),(RU_Clean!I106-RU_Clean!I105)/RU_Clean!I105*100,"")</f>
        <v>6.10687022900762</v>
      </c>
      <c r="J106" s="12">
        <f>IF(AND(ISNUMBER(RU_Clean!J106),ISNUMBER(RU_Clean!J105)),(RU_Clean!J106-RU_Clean!J105)/RU_Clean!J105*100,"")</f>
        <v>0.0640614990390739</v>
      </c>
      <c r="K106" s="12">
        <f>IF(AND(ISNUMBER(RU_Clean!K106),ISNUMBER(RU_Clean!K105)),(RU_Clean!K106-RU_Clean!K105)/RU_Clean!K105*100,"")</f>
        <v>2.79798545047566</v>
      </c>
      <c r="L106" s="12">
        <f>IF(AND(ISNUMBER(RU_Clean!L106),ISNUMBER(RU_Clean!L105)),(RU_Clean!L106-RU_Clean!L105)/RU_Clean!L105*100,"")</f>
        <v>-1.49611011370437</v>
      </c>
      <c r="M106" s="12">
        <f>IF(AND(ISNUMBER(RU_Clean!M106),ISNUMBER(RU_Clean!M105)),(RU_Clean!M106-RU_Clean!M105)/RU_Clean!M105*100,"")</f>
        <v>5.0709939148073</v>
      </c>
      <c r="N106" s="12">
        <f>IF(AND(ISNUMBER(RU_Clean!N106),ISNUMBER(RU_Clean!N105)),(RU_Clean!N106-RU_Clean!N105)/RU_Clean!N105*100,"")</f>
        <v>0.362756952841593</v>
      </c>
      <c r="O106" s="12">
        <f>IF(AND(ISNUMBER(RU_Clean!O106),ISNUMBER(RU_Clean!O105)),(RU_Clean!O106-RU_Clean!O105)/RU_Clean!O105*100,"")</f>
        <v>0.261324041811844</v>
      </c>
      <c r="P106" s="12">
        <f>IF(AND(ISNUMBER(RU_Clean!P106),ISNUMBER(RU_Clean!P105)),(RU_Clean!P106-RU_Clean!P105)/RU_Clean!P105*100,"")</f>
        <v>0.178359096313919</v>
      </c>
      <c r="Q106" s="12">
        <f>IF(AND(ISNUMBER(RU_Clean!Q106),ISNUMBER(RU_Clean!Q105)),(RU_Clean!Q106-RU_Clean!Q105)/RU_Clean!Q105*100,"")</f>
        <v>0.439422473320771</v>
      </c>
      <c r="R106" s="12">
        <f>IF(AND(ISNUMBER(RU_Clean!R106),ISNUMBER(RU_Clean!R105)),(RU_Clean!R106-RU_Clean!R105)/RU_Clean!R105*100,"")</f>
        <v>1.17370892018779</v>
      </c>
      <c r="S106" s="12">
        <f>IF(AND(ISNUMBER(RU_Clean!S106),ISNUMBER(RU_Clean!S105)),(RU_Clean!S106-RU_Clean!S105)/RU_Clean!S105*100,"")</f>
        <v>1.18232731798382</v>
      </c>
      <c r="T106" s="12">
        <f>IF(AND(ISNUMBER(RU_Clean!T106),ISNUMBER(RU_Clean!T105)),(RU_Clean!T106-RU_Clean!T105)/RU_Clean!T105*100,"")</f>
        <v>-0.573215216258465</v>
      </c>
      <c r="U106" s="12">
        <f>IF(AND(ISNUMBER(RU_Clean!U106),ISNUMBER(RU_Clean!U105)),(RU_Clean!U106-RU_Clean!U105)/RU_Clean!U105*100,"")</f>
        <v>0.247218788627922</v>
      </c>
      <c r="V106" s="12">
        <f>IF(AND(ISNUMBER(RU_Clean!V106),ISNUMBER(RU_Clean!V105)),(RU_Clean!V106-RU_Clean!V105)/RU_Clean!V105*100,"")</f>
        <v>-0.197238658777109</v>
      </c>
      <c r="W106" s="12">
        <f>IF(AND(ISNUMBER(RU_Clean!W106),ISNUMBER(RU_Clean!W105)),(RU_Clean!W106-RU_Clean!W105)/RU_Clean!W105*100,"")</f>
        <v>0.187032418952608</v>
      </c>
      <c r="X106" s="12">
        <f>IF(AND(ISNUMBER(RU_Clean!X106),ISNUMBER(RU_Clean!X105)),(RU_Clean!X106-RU_Clean!X105)/RU_Clean!X105*100,"")</f>
        <v>-0.680693069306927</v>
      </c>
      <c r="Y106" s="12">
        <f>IF(AND(ISNUMBER(RU_Clean!Y106),ISNUMBER(RU_Clean!Y105)),(RU_Clean!Y106-RU_Clean!Y105)/RU_Clean!Y105*100,"")</f>
        <v>0.250941028858222</v>
      </c>
      <c r="Z106" s="12">
        <f>IF(AND(ISNUMBER(RU_Clean!Z106),ISNUMBER(RU_Clean!Z105)),(RU_Clean!Z106-RU_Clean!Z105)/RU_Clean!Z105*100,"")</f>
        <v>0.064641241111844</v>
      </c>
      <c r="AA106" s="12">
        <f>IF(AND(ISNUMBER(RU_Clean!AA106),ISNUMBER(RU_Clean!AA105)),(RU_Clean!AA106-RU_Clean!AA105)/RU_Clean!AA105*100,"")</f>
        <v>0.301568154402895</v>
      </c>
      <c r="AB106" s="12">
        <f>IF(AND(ISNUMBER(RU_Clean!AB106),ISNUMBER(RU_Clean!AB105)),(RU_Clean!AB106-RU_Clean!AB105)/RU_Clean!AB105*100,"")</f>
        <v>1.20886501007386</v>
      </c>
      <c r="AC106" s="12">
        <f>IF(AND(ISNUMBER(RU_Clean!AC106),ISNUMBER(RU_Clean!AC105)),(RU_Clean!AC106-RU_Clean!AC105)/RU_Clean!AC105*100,"")</f>
        <v>-0.577663671373559</v>
      </c>
      <c r="AD106" s="12">
        <f>IF(AND(ISNUMBER(RU_Clean!AD106),ISNUMBER(RU_Clean!AD105)),(RU_Clean!AD106-RU_Clean!AD105)/RU_Clean!AD105*100,"")</f>
        <v>0.310173697270472</v>
      </c>
      <c r="AE106" s="12">
        <f>IF(AND(ISNUMBER(RU_Clean!AE106),ISNUMBER(RU_Clean!AE105)),(RU_Clean!AE106-RU_Clean!AE105)/RU_Clean!AE105*100,"")</f>
        <v>0.12610340479194</v>
      </c>
      <c r="AF106" s="12">
        <f>IF(AND(ISNUMBER(RU_Clean!AF106),ISNUMBER(RU_Clean!AF105)),(RU_Clean!AF106-RU_Clean!AF105)/RU_Clean!AF105*100,"")</f>
        <v>0.510204081632642</v>
      </c>
      <c r="AG106" s="12">
        <f>IF(AND(ISNUMBER(RU_Clean!AG106),ISNUMBER(RU_Clean!AG105)),(RU_Clean!AG106-RU_Clean!AG105)/RU_Clean!AG105*100,"")</f>
        <v>0.561097256857859</v>
      </c>
      <c r="AH106" s="12">
        <f>IF(AND(ISNUMBER(RU_Clean!AH106),ISNUMBER(RU_Clean!AH105)),(RU_Clean!AH106-RU_Clean!AH105)/RU_Clean!AH105*100,"")</f>
        <v>1.35218508997428</v>
      </c>
    </row>
    <row r="107" spans="1:34">
      <c r="A107" s="6">
        <f>RU_Clean!A107</f>
        <v>2021</v>
      </c>
      <c r="B107" s="6">
        <f>RU_Clean!B107</f>
        <v>7</v>
      </c>
      <c r="C107" s="6" t="str">
        <f>RU_Clean!C107</f>
        <v>July</v>
      </c>
      <c r="D107" s="9">
        <f>RU_Clean!D107</f>
        <v>44378</v>
      </c>
      <c r="E107" s="6"/>
      <c r="F107" s="6"/>
      <c r="G107" s="12">
        <f>IF(AND(ISNUMBER(RU_Clean!G107),ISNUMBER(RU_Clean!G106)),(RU_Clean!G107-RU_Clean!G106)/RU_Clean!G106*100,"")</f>
        <v>-0.204498977505101</v>
      </c>
      <c r="H107" s="12">
        <f>IF(AND(ISNUMBER(RU_Clean!H107),ISNUMBER(RU_Clean!H106)),(RU_Clean!H107-RU_Clean!H106)/RU_Clean!H106*100,"")</f>
        <v>2.37623762376238</v>
      </c>
      <c r="I107" s="12">
        <f>IF(AND(ISNUMBER(RU_Clean!I107),ISNUMBER(RU_Clean!I106)),(RU_Clean!I107-RU_Clean!I106)/RU_Clean!I106*100,"")</f>
        <v>0.830105146651909</v>
      </c>
      <c r="J107" s="12">
        <f>IF(AND(ISNUMBER(RU_Clean!J107),ISNUMBER(RU_Clean!J106)),(RU_Clean!J107-RU_Clean!J106)/RU_Clean!J106*100,"")</f>
        <v>0.832266325224079</v>
      </c>
      <c r="K107" s="12">
        <f>IF(AND(ISNUMBER(RU_Clean!K107),ISNUMBER(RU_Clean!K106)),(RU_Clean!K107-RU_Clean!K106)/RU_Clean!K106*100,"")</f>
        <v>-0.870985302123024</v>
      </c>
      <c r="L107" s="12">
        <f>IF(AND(ISNUMBER(RU_Clean!L107),ISNUMBER(RU_Clean!L106)),(RU_Clean!L107-RU_Clean!L106)/RU_Clean!L106*100,"")</f>
        <v>-0.425273390036445</v>
      </c>
      <c r="M107" s="12">
        <f>IF(AND(ISNUMBER(RU_Clean!M107),ISNUMBER(RU_Clean!M106)),(RU_Clean!M107-RU_Clean!M106)/RU_Clean!M106*100,"")</f>
        <v>5.66280566280565</v>
      </c>
      <c r="N107" s="12">
        <f>IF(AND(ISNUMBER(RU_Clean!N107),ISNUMBER(RU_Clean!N106)),(RU_Clean!N107-RU_Clean!N106)/RU_Clean!N106*100,"")</f>
        <v>-1.20481927710843</v>
      </c>
      <c r="O107" s="12">
        <f>IF(AND(ISNUMBER(RU_Clean!O107),ISNUMBER(RU_Clean!O106)),(RU_Clean!O107-RU_Clean!O106)/RU_Clean!O106*100,"")</f>
        <v>-0.521285838401385</v>
      </c>
      <c r="P107" s="12">
        <f>IF(AND(ISNUMBER(RU_Clean!P107),ISNUMBER(RU_Clean!P106)),(RU_Clean!P107-RU_Clean!P106)/RU_Clean!P106*100,"")</f>
        <v>-0.118694362017797</v>
      </c>
      <c r="Q107" s="12">
        <f>IF(AND(ISNUMBER(RU_Clean!Q107),ISNUMBER(RU_Clean!Q106)),(RU_Clean!Q107-RU_Clean!Q106)/RU_Clean!Q106*100,"")</f>
        <v>0.562500000000004</v>
      </c>
      <c r="R107" s="12">
        <f>IF(AND(ISNUMBER(RU_Clean!R107),ISNUMBER(RU_Clean!R106)),(RU_Clean!R107-RU_Clean!R106)/RU_Clean!R106*100,"")</f>
        <v>-0.116009280742469</v>
      </c>
      <c r="S107" s="12">
        <f>IF(AND(ISNUMBER(RU_Clean!S107),ISNUMBER(RU_Clean!S106)),(RU_Clean!S107-RU_Clean!S106)/RU_Clean!S106*100,"")</f>
        <v>0.861008610086105</v>
      </c>
      <c r="T107" s="12">
        <f>IF(AND(ISNUMBER(RU_Clean!T107),ISNUMBER(RU_Clean!T106)),(RU_Clean!T107-RU_Clean!T106)/RU_Clean!T106*100,"")</f>
        <v>0.209643605870009</v>
      </c>
      <c r="U107" s="12">
        <f>IF(AND(ISNUMBER(RU_Clean!U107),ISNUMBER(RU_Clean!U106)),(RU_Clean!U107-RU_Clean!U106)/RU_Clean!U106*100,"")</f>
        <v>0.369913686806426</v>
      </c>
      <c r="V107" s="12">
        <f>IF(AND(ISNUMBER(RU_Clean!V107),ISNUMBER(RU_Clean!V106)),(RU_Clean!V107-RU_Clean!V106)/RU_Clean!V106*100,"")</f>
        <v>0.856389986824758</v>
      </c>
      <c r="W107" s="12">
        <f>IF(AND(ISNUMBER(RU_Clean!W107),ISNUMBER(RU_Clean!W106)),(RU_Clean!W107-RU_Clean!W106)/RU_Clean!W106*100,"")</f>
        <v>0.435594275046681</v>
      </c>
      <c r="X107" s="12">
        <f>IF(AND(ISNUMBER(RU_Clean!X107),ISNUMBER(RU_Clean!X106)),(RU_Clean!X107-RU_Clean!X106)/RU_Clean!X106*100,"")</f>
        <v>0.623052959501558</v>
      </c>
      <c r="Y107" s="12">
        <f>IF(AND(ISNUMBER(RU_Clean!Y107),ISNUMBER(RU_Clean!Y106)),(RU_Clean!Y107-RU_Clean!Y106)/RU_Clean!Y106*100,"")</f>
        <v>0.563204005006244</v>
      </c>
      <c r="Z107" s="12">
        <f>IF(AND(ISNUMBER(RU_Clean!Z107),ISNUMBER(RU_Clean!Z106)),(RU_Clean!Z107-RU_Clean!Z106)/RU_Clean!Z106*100,"")</f>
        <v>0.645994832041344</v>
      </c>
      <c r="AA107" s="12">
        <f>IF(AND(ISNUMBER(RU_Clean!AA107),ISNUMBER(RU_Clean!AA106)),(RU_Clean!AA107-RU_Clean!AA106)/RU_Clean!AA106*100,"")</f>
        <v>0.420926037282014</v>
      </c>
      <c r="AB107" s="12">
        <f>IF(AND(ISNUMBER(RU_Clean!AB107),ISNUMBER(RU_Clean!AB106)),(RU_Clean!AB107-RU_Clean!AB106)/RU_Clean!AB106*100,"")</f>
        <v>1.59256801592568</v>
      </c>
      <c r="AC107" s="12">
        <f>IF(AND(ISNUMBER(RU_Clean!AC107),ISNUMBER(RU_Clean!AC106)),(RU_Clean!AC107-RU_Clean!AC106)/RU_Clean!AC106*100,"")</f>
        <v>0.258231116849584</v>
      </c>
      <c r="AD107" s="12">
        <f>IF(AND(ISNUMBER(RU_Clean!AD107),ISNUMBER(RU_Clean!AD106)),(RU_Clean!AD107-RU_Clean!AD106)/RU_Clean!AD106*100,"")</f>
        <v>0.927643784786642</v>
      </c>
      <c r="AE107" s="12">
        <f>IF(AND(ISNUMBER(RU_Clean!AE107),ISNUMBER(RU_Clean!AE106)),(RU_Clean!AE107-RU_Clean!AE106)/RU_Clean!AE106*100,"")</f>
        <v>0.818639798488654</v>
      </c>
      <c r="AF107" s="12">
        <f>IF(AND(ISNUMBER(RU_Clean!AF107),ISNUMBER(RU_Clean!AF106)),(RU_Clean!AF107-RU_Clean!AF106)/RU_Clean!AF106*100,"")</f>
        <v>0.88832487309645</v>
      </c>
      <c r="AG107" s="12">
        <f>IF(AND(ISNUMBER(RU_Clean!AG107),ISNUMBER(RU_Clean!AG106)),(RU_Clean!AG107-RU_Clean!AG106)/RU_Clean!AG106*100,"")</f>
        <v>0.743955362678232</v>
      </c>
      <c r="AH107" s="12">
        <f>IF(AND(ISNUMBER(RU_Clean!AH107),ISNUMBER(RU_Clean!AH106)),(RU_Clean!AH107-RU_Clean!AH106)/RU_Clean!AH106*100,"")</f>
        <v>0.593516968497959</v>
      </c>
    </row>
    <row r="108" spans="1:34">
      <c r="A108" s="6">
        <f>RU_Clean!A108</f>
        <v>2021</v>
      </c>
      <c r="B108" s="6">
        <f>RU_Clean!B108</f>
        <v>8</v>
      </c>
      <c r="C108" s="6" t="str">
        <f>RU_Clean!C108</f>
        <v>August</v>
      </c>
      <c r="D108" s="9">
        <f>RU_Clean!D108</f>
        <v>44409</v>
      </c>
      <c r="E108" s="6"/>
      <c r="F108" s="6"/>
      <c r="G108" s="12">
        <f>IF(AND(ISNUMBER(RU_Clean!G108),ISNUMBER(RU_Clean!G107)),(RU_Clean!G108-RU_Clean!G107)/RU_Clean!G107*100,"")</f>
        <v>0.136612021857916</v>
      </c>
      <c r="H108" s="12">
        <f>IF(AND(ISNUMBER(RU_Clean!H108),ISNUMBER(RU_Clean!H107)),(RU_Clean!H108-RU_Clean!H107)/RU_Clean!H107*100,"")</f>
        <v>-1.35396518375242</v>
      </c>
      <c r="I108" s="12">
        <f>IF(AND(ISNUMBER(RU_Clean!I108),ISNUMBER(RU_Clean!I107)),(RU_Clean!I108-RU_Clean!I107)/RU_Clean!I107*100,"")</f>
        <v>-5.15916575192095</v>
      </c>
      <c r="J108" s="12">
        <f>IF(AND(ISNUMBER(RU_Clean!J108),ISNUMBER(RU_Clean!J107)),(RU_Clean!J108-RU_Clean!J107)/RU_Clean!J107*100,"")</f>
        <v>0.571428571428575</v>
      </c>
      <c r="K108" s="12">
        <f>IF(AND(ISNUMBER(RU_Clean!K108),ISNUMBER(RU_Clean!K107)),(RU_Clean!K108-RU_Clean!K107)/RU_Clean!K107*100,"")</f>
        <v>3.23997803404723</v>
      </c>
      <c r="L108" s="12">
        <f>IF(AND(ISNUMBER(RU_Clean!L108),ISNUMBER(RU_Clean!L107)),(RU_Clean!L108-RU_Clean!L107)/RU_Clean!L107*100,"")</f>
        <v>-4.33190970103721</v>
      </c>
      <c r="M108" s="12">
        <f>IF(AND(ISNUMBER(RU_Clean!M108),ISNUMBER(RU_Clean!M107)),(RU_Clean!M108-RU_Clean!M107)/RU_Clean!M107*100,"")</f>
        <v>-1.21802679658953</v>
      </c>
      <c r="N108" s="12">
        <f>IF(AND(ISNUMBER(RU_Clean!N108),ISNUMBER(RU_Clean!N107)),(RU_Clean!N108-RU_Clean!N107)/RU_Clean!N107*100,"")</f>
        <v>0.0609756097560941</v>
      </c>
      <c r="O108" s="12">
        <f>IF(AND(ISNUMBER(RU_Clean!O108),ISNUMBER(RU_Clean!O107)),(RU_Clean!O108-RU_Clean!O107)/RU_Clean!O107*100,"")</f>
        <v>4.54148471615721</v>
      </c>
      <c r="P108" s="12">
        <f>IF(AND(ISNUMBER(RU_Clean!P108),ISNUMBER(RU_Clean!P107)),(RU_Clean!P108-RU_Clean!P107)/RU_Clean!P107*100,"")</f>
        <v>0.29708853238265</v>
      </c>
      <c r="Q108" s="12">
        <f>IF(AND(ISNUMBER(RU_Clean!Q108),ISNUMBER(RU_Clean!Q107)),(RU_Clean!Q108-RU_Clean!Q107)/RU_Clean!Q107*100,"")</f>
        <v>1.11870727159725</v>
      </c>
      <c r="R108" s="12">
        <f>IF(AND(ISNUMBER(RU_Clean!R108),ISNUMBER(RU_Clean!R107)),(RU_Clean!R108-RU_Clean!R107)/RU_Clean!R107*100,"")</f>
        <v>0.987224157955875</v>
      </c>
      <c r="S108" s="12">
        <f>IF(AND(ISNUMBER(RU_Clean!S108),ISNUMBER(RU_Clean!S107)),(RU_Clean!S108-RU_Clean!S107)/RU_Clean!S107*100,"")</f>
        <v>0</v>
      </c>
      <c r="T108" s="12">
        <f>IF(AND(ISNUMBER(RU_Clean!T108),ISNUMBER(RU_Clean!T107)),(RU_Clean!T108-RU_Clean!T107)/RU_Clean!T107*100,"")</f>
        <v>0.470711297071133</v>
      </c>
      <c r="U108" s="12">
        <f>IF(AND(ISNUMBER(RU_Clean!U108),ISNUMBER(RU_Clean!U107)),(RU_Clean!U108-RU_Clean!U107)/RU_Clean!U107*100,"")</f>
        <v>1.04422604422604</v>
      </c>
      <c r="V108" s="12">
        <f>IF(AND(ISNUMBER(RU_Clean!V108),ISNUMBER(RU_Clean!V107)),(RU_Clean!V108-RU_Clean!V107)/RU_Clean!V107*100,"")</f>
        <v>1.4369693011104</v>
      </c>
      <c r="W108" s="12">
        <f>IF(AND(ISNUMBER(RU_Clean!W108),ISNUMBER(RU_Clean!W107)),(RU_Clean!W108-RU_Clean!W107)/RU_Clean!W107*100,"")</f>
        <v>1.11524163568772</v>
      </c>
      <c r="X108" s="12">
        <f>IF(AND(ISNUMBER(RU_Clean!X108),ISNUMBER(RU_Clean!X107)),(RU_Clean!X108-RU_Clean!X107)/RU_Clean!X107*100,"")</f>
        <v>0.371517027863774</v>
      </c>
      <c r="Y108" s="12">
        <f>IF(AND(ISNUMBER(RU_Clean!Y108),ISNUMBER(RU_Clean!Y107)),(RU_Clean!Y108-RU_Clean!Y107)/RU_Clean!Y107*100,"")</f>
        <v>1.18232731798382</v>
      </c>
      <c r="Z108" s="12">
        <f>IF(AND(ISNUMBER(RU_Clean!Z108),ISNUMBER(RU_Clean!Z107)),(RU_Clean!Z108-RU_Clean!Z107)/RU_Clean!Z107*100,"")</f>
        <v>1.09114249037226</v>
      </c>
      <c r="AA108" s="12">
        <f>IF(AND(ISNUMBER(RU_Clean!AA108),ISNUMBER(RU_Clean!AA107)),(RU_Clean!AA108-RU_Clean!AA107)/RU_Clean!AA107*100,"")</f>
        <v>0.838323353293417</v>
      </c>
      <c r="AB108" s="12">
        <f>IF(AND(ISNUMBER(RU_Clean!AB108),ISNUMBER(RU_Clean!AB107)),(RU_Clean!AB108-RU_Clean!AB107)/RU_Clean!AB107*100,"")</f>
        <v>0.58785107772698</v>
      </c>
      <c r="AC108" s="12">
        <f>IF(AND(ISNUMBER(RU_Clean!AC108),ISNUMBER(RU_Clean!AC107)),(RU_Clean!AC108-RU_Clean!AC107)/RU_Clean!AC107*100,"")</f>
        <v>1.48100450740501</v>
      </c>
      <c r="AD108" s="12">
        <f>IF(AND(ISNUMBER(RU_Clean!AD108),ISNUMBER(RU_Clean!AD107)),(RU_Clean!AD108-RU_Clean!AD107)/RU_Clean!AD107*100,"")</f>
        <v>0.367647058823543</v>
      </c>
      <c r="AE108" s="12">
        <f>IF(AND(ISNUMBER(RU_Clean!AE108),ISNUMBER(RU_Clean!AE107)),(RU_Clean!AE108-RU_Clean!AE107)/RU_Clean!AE107*100,"")</f>
        <v>-0.0624609618988097</v>
      </c>
      <c r="AF108" s="12">
        <f>IF(AND(ISNUMBER(RU_Clean!AF108),ISNUMBER(RU_Clean!AF107)),(RU_Clean!AF108-RU_Clean!AF107)/RU_Clean!AF107*100,"")</f>
        <v>0.628930817610063</v>
      </c>
      <c r="AG108" s="12">
        <f>IF(AND(ISNUMBER(RU_Clean!AG108),ISNUMBER(RU_Clean!AG107)),(RU_Clean!AG108-RU_Clean!AG107)/RU_Clean!AG107*100,"")</f>
        <v>0.430769230769224</v>
      </c>
      <c r="AH108" s="12">
        <f>IF(AND(ISNUMBER(RU_Clean!AH108),ISNUMBER(RU_Clean!AH107)),(RU_Clean!AH108-RU_Clean!AH107)/RU_Clean!AH107*100,"")</f>
        <v>-0.252143217347453</v>
      </c>
    </row>
    <row r="109" spans="1:34">
      <c r="A109" s="6">
        <f>RU_Clean!A109</f>
        <v>2021</v>
      </c>
      <c r="B109" s="6">
        <f>RU_Clean!B109</f>
        <v>9</v>
      </c>
      <c r="C109" s="6" t="str">
        <f>RU_Clean!C109</f>
        <v>September</v>
      </c>
      <c r="D109" s="9">
        <f>RU_Clean!D109</f>
        <v>44440</v>
      </c>
      <c r="E109" s="6"/>
      <c r="F109" s="6"/>
      <c r="G109" s="12">
        <f>IF(AND(ISNUMBER(RU_Clean!G109),ISNUMBER(RU_Clean!G108)),(RU_Clean!G109-RU_Clean!G108)/RU_Clean!G108*100,"")</f>
        <v>0</v>
      </c>
      <c r="H109" s="12">
        <f>IF(AND(ISNUMBER(RU_Clean!H109),ISNUMBER(RU_Clean!H108)),(RU_Clean!H109-RU_Clean!H108)/RU_Clean!H108*100,"")</f>
        <v>0</v>
      </c>
      <c r="I109" s="12">
        <f>IF(AND(ISNUMBER(RU_Clean!I109),ISNUMBER(RU_Clean!I108)),(RU_Clean!I109-RU_Clean!I108)/RU_Clean!I108*100,"")</f>
        <v>0</v>
      </c>
      <c r="J109" s="12">
        <f>IF(AND(ISNUMBER(RU_Clean!J109),ISNUMBER(RU_Clean!J108)),(RU_Clean!J109-RU_Clean!J108)/RU_Clean!J108*100,"")</f>
        <v>0</v>
      </c>
      <c r="K109" s="12">
        <f>IF(AND(ISNUMBER(RU_Clean!K109),ISNUMBER(RU_Clean!K108)),(RU_Clean!K109-RU_Clean!K108)/RU_Clean!K108*100,"")</f>
        <v>0</v>
      </c>
      <c r="L109" s="12">
        <f>IF(AND(ISNUMBER(RU_Clean!L109),ISNUMBER(RU_Clean!L108)),(RU_Clean!L109-RU_Clean!L108)/RU_Clean!L108*100,"")</f>
        <v>-0.0637755102040961</v>
      </c>
      <c r="M109" s="12">
        <f>IF(AND(ISNUMBER(RU_Clean!M109),ISNUMBER(RU_Clean!M108)),(RU_Clean!M109-RU_Clean!M108)/RU_Clean!M108*100,"")</f>
        <v>0.061652281134416</v>
      </c>
      <c r="N109" s="12">
        <f>IF(AND(ISNUMBER(RU_Clean!N109),ISNUMBER(RU_Clean!N108)),(RU_Clean!N109-RU_Clean!N108)/RU_Clean!N108*100,"")</f>
        <v>0</v>
      </c>
      <c r="O109" s="12">
        <f>IF(AND(ISNUMBER(RU_Clean!O109),ISNUMBER(RU_Clean!O108)),(RU_Clean!O109-RU_Clean!O108)/RU_Clean!O108*100,"")</f>
        <v>0</v>
      </c>
      <c r="P109" s="12">
        <f>IF(AND(ISNUMBER(RU_Clean!P109),ISNUMBER(RU_Clean!P108)),(RU_Clean!P109-RU_Clean!P108)/RU_Clean!P108*100,"")</f>
        <v>0</v>
      </c>
      <c r="Q109" s="12">
        <f>IF(AND(ISNUMBER(RU_Clean!Q109),ISNUMBER(RU_Clean!Q108)),(RU_Clean!Q109-RU_Clean!Q108)/RU_Clean!Q108*100,"")</f>
        <v>0</v>
      </c>
      <c r="R109" s="12">
        <f>IF(AND(ISNUMBER(RU_Clean!R109),ISNUMBER(RU_Clean!R108)),(RU_Clean!R109-RU_Clean!R108)/RU_Clean!R108*100,"")</f>
        <v>0</v>
      </c>
      <c r="S109" s="12">
        <f>IF(AND(ISNUMBER(RU_Clean!S109),ISNUMBER(RU_Clean!S108)),(RU_Clean!S109-RU_Clean!S108)/RU_Clean!S108*100,"")</f>
        <v>0</v>
      </c>
      <c r="T109" s="12">
        <f>IF(AND(ISNUMBER(RU_Clean!T109),ISNUMBER(RU_Clean!T108)),(RU_Clean!T109-RU_Clean!T108)/RU_Clean!T108*100,"")</f>
        <v>0</v>
      </c>
      <c r="U109" s="12">
        <f>IF(AND(ISNUMBER(RU_Clean!U109),ISNUMBER(RU_Clean!U108)),(RU_Clean!U109-RU_Clean!U108)/RU_Clean!U108*100,"")</f>
        <v>0.0607902735562275</v>
      </c>
      <c r="V109" s="12">
        <f>IF(AND(ISNUMBER(RU_Clean!V109),ISNUMBER(RU_Clean!V108)),(RU_Clean!V109-RU_Clean!V108)/RU_Clean!V108*100,"")</f>
        <v>0</v>
      </c>
      <c r="W109" s="12">
        <f>IF(AND(ISNUMBER(RU_Clean!W109),ISNUMBER(RU_Clean!W108)),(RU_Clean!W109-RU_Clean!W108)/RU_Clean!W108*100,"")</f>
        <v>0.0612745098039355</v>
      </c>
      <c r="X109" s="12">
        <f>IF(AND(ISNUMBER(RU_Clean!X109),ISNUMBER(RU_Clean!X108)),(RU_Clean!X109-RU_Clean!X108)/RU_Clean!X108*100,"")</f>
        <v>0</v>
      </c>
      <c r="Y109" s="12">
        <f>IF(AND(ISNUMBER(RU_Clean!Y109),ISNUMBER(RU_Clean!Y108)),(RU_Clean!Y109-RU_Clean!Y108)/RU_Clean!Y108*100,"")</f>
        <v>0</v>
      </c>
      <c r="Z109" s="12">
        <f>IF(AND(ISNUMBER(RU_Clean!Z109),ISNUMBER(RU_Clean!Z108)),(RU_Clean!Z109-RU_Clean!Z108)/RU_Clean!Z108*100,"")</f>
        <v>0</v>
      </c>
      <c r="AA109" s="12">
        <f>IF(AND(ISNUMBER(RU_Clean!AA109),ISNUMBER(RU_Clean!AA108)),(RU_Clean!AA109-RU_Clean!AA108)/RU_Clean!AA108*100,"")</f>
        <v>0</v>
      </c>
      <c r="AB109" s="12">
        <f>IF(AND(ISNUMBER(RU_Clean!AB109),ISNUMBER(RU_Clean!AB108)),(RU_Clean!AB109-RU_Clean!AB108)/RU_Clean!AB108*100,"")</f>
        <v>0</v>
      </c>
      <c r="AC109" s="12">
        <f>IF(AND(ISNUMBER(RU_Clean!AC109),ISNUMBER(RU_Clean!AC108)),(RU_Clean!AC109-RU_Clean!AC108)/RU_Clean!AC108*100,"")</f>
        <v>0.0634517766497426</v>
      </c>
      <c r="AD109" s="12">
        <f>IF(AND(ISNUMBER(RU_Clean!AD109),ISNUMBER(RU_Clean!AD108)),(RU_Clean!AD109-RU_Clean!AD108)/RU_Clean!AD108*100,"")</f>
        <v>-0.0610500610500749</v>
      </c>
      <c r="AE109" s="12">
        <f>IF(AND(ISNUMBER(RU_Clean!AE109),ISNUMBER(RU_Clean!AE108)),(RU_Clean!AE109-RU_Clean!AE108)/RU_Clean!AE108*100,"")</f>
        <v>0</v>
      </c>
      <c r="AF109" s="12">
        <f>IF(AND(ISNUMBER(RU_Clean!AF109),ISNUMBER(RU_Clean!AF108)),(RU_Clean!AF109-RU_Clean!AF108)/RU_Clean!AF108*100,"")</f>
        <v>0</v>
      </c>
      <c r="AG109" s="12">
        <f>IF(AND(ISNUMBER(RU_Clean!AG109),ISNUMBER(RU_Clean!AG108)),(RU_Clean!AG109-RU_Clean!AG108)/RU_Clean!AG108*100,"")</f>
        <v>0</v>
      </c>
      <c r="AH109" s="12">
        <f>IF(AND(ISNUMBER(RU_Clean!AH109),ISNUMBER(RU_Clean!AH108)),(RU_Clean!AH109-RU_Clean!AH108)/RU_Clean!AH108*100,"")</f>
        <v>0</v>
      </c>
    </row>
    <row r="110" spans="1:34">
      <c r="A110" s="6">
        <f>RU_Clean!A110</f>
        <v>2021</v>
      </c>
      <c r="B110" s="6">
        <f>RU_Clean!B110</f>
        <v>10</v>
      </c>
      <c r="C110" s="6" t="str">
        <f>RU_Clean!C110</f>
        <v>October</v>
      </c>
      <c r="D110" s="9">
        <f>RU_Clean!D110</f>
        <v>44470</v>
      </c>
      <c r="E110" s="6"/>
      <c r="F110" s="6"/>
      <c r="G110" s="12">
        <f>IF(AND(ISNUMBER(RU_Clean!G110),ISNUMBER(RU_Clean!G109)),(RU_Clean!G110-RU_Clean!G109)/RU_Clean!G109*100,"")</f>
        <v>0.54570259208732</v>
      </c>
      <c r="H110" s="12">
        <f>IF(AND(ISNUMBER(RU_Clean!H110),ISNUMBER(RU_Clean!H109)),(RU_Clean!H110-RU_Clean!H109)/RU_Clean!H109*100,"")</f>
        <v>0.294117647058821</v>
      </c>
      <c r="I110" s="12">
        <f>IF(AND(ISNUMBER(RU_Clean!I110),ISNUMBER(RU_Clean!I109)),(RU_Clean!I110-RU_Clean!I109)/RU_Clean!I109*100,"")</f>
        <v>-0.925925925925939</v>
      </c>
      <c r="J110" s="12">
        <f>IF(AND(ISNUMBER(RU_Clean!J110),ISNUMBER(RU_Clean!J109)),(RU_Clean!J110-RU_Clean!J109)/RU_Clean!J109*100,"")</f>
        <v>0.189393939393929</v>
      </c>
      <c r="K110" s="12">
        <f>IF(AND(ISNUMBER(RU_Clean!K110),ISNUMBER(RU_Clean!K109)),(RU_Clean!K110-RU_Clean!K109)/RU_Clean!K109*100,"")</f>
        <v>1.38297872340425</v>
      </c>
      <c r="L110" s="12">
        <f>IF(AND(ISNUMBER(RU_Clean!L110),ISNUMBER(RU_Clean!L109)),(RU_Clean!L110-RU_Clean!L109)/RU_Clean!L109*100,"")</f>
        <v>-0.638162093171666</v>
      </c>
      <c r="M110" s="12">
        <f>IF(AND(ISNUMBER(RU_Clean!M110),ISNUMBER(RU_Clean!M109)),(RU_Clean!M110-RU_Clean!M109)/RU_Clean!M109*100,"")</f>
        <v>14.1712877387554</v>
      </c>
      <c r="N110" s="12">
        <f>IF(AND(ISNUMBER(RU_Clean!N110),ISNUMBER(RU_Clean!N109)),(RU_Clean!N110-RU_Clean!N109)/RU_Clean!N109*100,"")</f>
        <v>0.670322973796462</v>
      </c>
      <c r="O110" s="12">
        <f>IF(AND(ISNUMBER(RU_Clean!O110),ISNUMBER(RU_Clean!O109)),(RU_Clean!O110-RU_Clean!O109)/RU_Clean!O109*100,"")</f>
        <v>1.83792815371763</v>
      </c>
      <c r="P110" s="12">
        <f>IF(AND(ISNUMBER(RU_Clean!P110),ISNUMBER(RU_Clean!P109)),(RU_Clean!P110-RU_Clean!P109)/RU_Clean!P109*100,"")</f>
        <v>0.296208530805687</v>
      </c>
      <c r="Q110" s="12">
        <f>IF(AND(ISNUMBER(RU_Clean!Q110),ISNUMBER(RU_Clean!Q109)),(RU_Clean!Q110-RU_Clean!Q109)/RU_Clean!Q109*100,"")</f>
        <v>0.307314074984634</v>
      </c>
      <c r="R110" s="12">
        <f>IF(AND(ISNUMBER(RU_Clean!R110),ISNUMBER(RU_Clean!R109)),(RU_Clean!R110-RU_Clean!R109)/RU_Clean!R109*100,"")</f>
        <v>0.460034502587684</v>
      </c>
      <c r="S110" s="12">
        <f>IF(AND(ISNUMBER(RU_Clean!S110),ISNUMBER(RU_Clean!S109)),(RU_Clean!S110-RU_Clean!S109)/RU_Clean!S109*100,"")</f>
        <v>2.2560975609756</v>
      </c>
      <c r="T110" s="12">
        <f>IF(AND(ISNUMBER(RU_Clean!T110),ISNUMBER(RU_Clean!T109)),(RU_Clean!T110-RU_Clean!T109)/RU_Clean!T109*100,"")</f>
        <v>0.312337324310252</v>
      </c>
      <c r="U110" s="12">
        <f>IF(AND(ISNUMBER(RU_Clean!U110),ISNUMBER(RU_Clean!U109)),(RU_Clean!U110-RU_Clean!U109)/RU_Clean!U109*100,"")</f>
        <v>0.668286755771564</v>
      </c>
      <c r="V110" s="12">
        <f>IF(AND(ISNUMBER(RU_Clean!V110),ISNUMBER(RU_Clean!V109)),(RU_Clean!V110-RU_Clean!V109)/RU_Clean!V109*100,"")</f>
        <v>0.643915003219575</v>
      </c>
      <c r="W110" s="12">
        <f>IF(AND(ISNUMBER(RU_Clean!W110),ISNUMBER(RU_Clean!W109)),(RU_Clean!W110-RU_Clean!W109)/RU_Clean!W109*100,"")</f>
        <v>0.612369871402327</v>
      </c>
      <c r="X110" s="12">
        <f>IF(AND(ISNUMBER(RU_Clean!X110),ISNUMBER(RU_Clean!X109)),(RU_Clean!X110-RU_Clean!X109)/RU_Clean!X109*100,"")</f>
        <v>0.925354719309069</v>
      </c>
      <c r="Y110" s="12">
        <f>IF(AND(ISNUMBER(RU_Clean!Y110),ISNUMBER(RU_Clean!Y109)),(RU_Clean!Y110-RU_Clean!Y109)/RU_Clean!Y109*100,"")</f>
        <v>0.984009840098398</v>
      </c>
      <c r="Z110" s="12">
        <f>IF(AND(ISNUMBER(RU_Clean!Z110),ISNUMBER(RU_Clean!Z109)),(RU_Clean!Z110-RU_Clean!Z109)/RU_Clean!Z109*100,"")</f>
        <v>0.571428571428575</v>
      </c>
      <c r="AA110" s="12">
        <f>IF(AND(ISNUMBER(RU_Clean!AA110),ISNUMBER(RU_Clean!AA109)),(RU_Clean!AA110-RU_Clean!AA109)/RU_Clean!AA109*100,"")</f>
        <v>0.415676959619946</v>
      </c>
      <c r="AB110" s="12">
        <f>IF(AND(ISNUMBER(RU_Clean!AB110),ISNUMBER(RU_Clean!AB109)),(RU_Clean!AB110-RU_Clean!AB109)/RU_Clean!AB109*100,"")</f>
        <v>1.1038961038961</v>
      </c>
      <c r="AC110" s="12">
        <f>IF(AND(ISNUMBER(RU_Clean!AC110),ISNUMBER(RU_Clean!AC109)),(RU_Clean!AC110-RU_Clean!AC109)/RU_Clean!AC109*100,"")</f>
        <v>0.570703868103999</v>
      </c>
      <c r="AD110" s="12">
        <f>IF(AND(ISNUMBER(RU_Clean!AD110),ISNUMBER(RU_Clean!AD109)),(RU_Clean!AD110-RU_Clean!AD109)/RU_Clean!AD109*100,"")</f>
        <v>0.122174709835075</v>
      </c>
      <c r="AE110" s="12">
        <f>IF(AND(ISNUMBER(RU_Clean!AE110),ISNUMBER(RU_Clean!AE109)),(RU_Clean!AE110-RU_Clean!AE109)/RU_Clean!AE109*100,"")</f>
        <v>0.500000000000007</v>
      </c>
      <c r="AF110" s="12">
        <f>IF(AND(ISNUMBER(RU_Clean!AF110),ISNUMBER(RU_Clean!AF109)),(RU_Clean!AF110-RU_Clean!AF109)/RU_Clean!AF109*100,"")</f>
        <v>0.625</v>
      </c>
      <c r="AG110" s="12">
        <f>IF(AND(ISNUMBER(RU_Clean!AG110),ISNUMBER(RU_Clean!AG109)),(RU_Clean!AG110-RU_Clean!AG109)/RU_Clean!AG109*100,"")</f>
        <v>1.4093137254902</v>
      </c>
      <c r="AH110" s="12">
        <f>IF(AND(ISNUMBER(RU_Clean!AH110),ISNUMBER(RU_Clean!AH109)),(RU_Clean!AH110-RU_Clean!AH109)/RU_Clean!AH109*100,"")</f>
        <v>1.50657229524773</v>
      </c>
    </row>
    <row r="111" spans="1:34">
      <c r="A111" s="6">
        <f>RU_Clean!A111</f>
        <v>2021</v>
      </c>
      <c r="B111" s="6">
        <f>RU_Clean!B111</f>
        <v>11</v>
      </c>
      <c r="C111" s="6" t="str">
        <f>RU_Clean!C111</f>
        <v>November</v>
      </c>
      <c r="D111" s="9">
        <f>RU_Clean!D111</f>
        <v>44501</v>
      </c>
      <c r="E111" s="6"/>
      <c r="F111" s="6"/>
      <c r="G111" s="12">
        <f>IF(AND(ISNUMBER(RU_Clean!G111),ISNUMBER(RU_Clean!G110)),(RU_Clean!G111-RU_Clean!G110)/RU_Clean!G110*100,"")</f>
        <v>0.542740841248292</v>
      </c>
      <c r="H111" s="12">
        <f>IF(AND(ISNUMBER(RU_Clean!H111),ISNUMBER(RU_Clean!H110)),(RU_Clean!H111-RU_Clean!H110)/RU_Clean!H110*100,"")</f>
        <v>-1.46627565982405</v>
      </c>
      <c r="I111" s="12">
        <f>IF(AND(ISNUMBER(RU_Clean!I111),ISNUMBER(RU_Clean!I110)),(RU_Clean!I111-RU_Clean!I110)/RU_Clean!I110*100,"")</f>
        <v>1.05140186915889</v>
      </c>
      <c r="J111" s="12">
        <f>IF(AND(ISNUMBER(RU_Clean!J111),ISNUMBER(RU_Clean!J110)),(RU_Clean!J111-RU_Clean!J110)/RU_Clean!J110*100,"")</f>
        <v>0.378071833648408</v>
      </c>
      <c r="K111" s="12">
        <f>IF(AND(ISNUMBER(RU_Clean!K111),ISNUMBER(RU_Clean!K110)),(RU_Clean!K111-RU_Clean!K110)/RU_Clean!K110*100,"")</f>
        <v>-0.262329485834208</v>
      </c>
      <c r="L111" s="12">
        <f>IF(AND(ISNUMBER(RU_Clean!L111),ISNUMBER(RU_Clean!L110)),(RU_Clean!L111-RU_Clean!L110)/RU_Clean!L110*100,"")</f>
        <v>0.513808606294163</v>
      </c>
      <c r="M111" s="12">
        <f>IF(AND(ISNUMBER(RU_Clean!M111),ISNUMBER(RU_Clean!M110)),(RU_Clean!M111-RU_Clean!M110)/RU_Clean!M110*100,"")</f>
        <v>7.50134916351861</v>
      </c>
      <c r="N111" s="12">
        <f>IF(AND(ISNUMBER(RU_Clean!N111),ISNUMBER(RU_Clean!N110)),(RU_Clean!N111-RU_Clean!N110)/RU_Clean!N110*100,"")</f>
        <v>0.0605326876513455</v>
      </c>
      <c r="O111" s="12">
        <f>IF(AND(ISNUMBER(RU_Clean!O111),ISNUMBER(RU_Clean!O110)),(RU_Clean!O111-RU_Clean!O110)/RU_Clean!O110*100,"")</f>
        <v>0.410172272354389</v>
      </c>
      <c r="P111" s="12">
        <f>IF(AND(ISNUMBER(RU_Clean!P111),ISNUMBER(RU_Clean!P110)),(RU_Clean!P111-RU_Clean!P110)/RU_Clean!P110*100,"")</f>
        <v>0.177200236266972</v>
      </c>
      <c r="Q111" s="12">
        <f>IF(AND(ISNUMBER(RU_Clean!Q111),ISNUMBER(RU_Clean!Q110)),(RU_Clean!Q111-RU_Clean!Q110)/RU_Clean!Q110*100,"")</f>
        <v>0.306372549019608</v>
      </c>
      <c r="R111" s="12">
        <f>IF(AND(ISNUMBER(RU_Clean!R111),ISNUMBER(RU_Clean!R110)),(RU_Clean!R111-RU_Clean!R110)/RU_Clean!R110*100,"")</f>
        <v>0.45792787635948</v>
      </c>
      <c r="S111" s="12">
        <f>IF(AND(ISNUMBER(RU_Clean!S111),ISNUMBER(RU_Clean!S110)),(RU_Clean!S111-RU_Clean!S110)/RU_Clean!S110*100,"")</f>
        <v>1.19260584376863</v>
      </c>
      <c r="T111" s="12">
        <f>IF(AND(ISNUMBER(RU_Clean!T111),ISNUMBER(RU_Clean!T110)),(RU_Clean!T111-RU_Clean!T110)/RU_Clean!T110*100,"")</f>
        <v>0.103788271925281</v>
      </c>
      <c r="U111" s="12">
        <f>IF(AND(ISNUMBER(RU_Clean!U111),ISNUMBER(RU_Clean!U110)),(RU_Clean!U111-RU_Clean!U110)/RU_Clean!U110*100,"")</f>
        <v>0.905250452625226</v>
      </c>
      <c r="V111" s="12">
        <f>IF(AND(ISNUMBER(RU_Clean!V111),ISNUMBER(RU_Clean!V110)),(RU_Clean!V111-RU_Clean!V110)/RU_Clean!V110*100,"")</f>
        <v>0.703774792066535</v>
      </c>
      <c r="W111" s="12">
        <f>IF(AND(ISNUMBER(RU_Clean!W111),ISNUMBER(RU_Clean!W110)),(RU_Clean!W111-RU_Clean!W110)/RU_Clean!W110*100,"")</f>
        <v>0.912964090079123</v>
      </c>
      <c r="X111" s="12">
        <f>IF(AND(ISNUMBER(RU_Clean!X111),ISNUMBER(RU_Clean!X110)),(RU_Clean!X111-RU_Clean!X110)/RU_Clean!X110*100,"")</f>
        <v>0.366748166259165</v>
      </c>
      <c r="Y111" s="12">
        <f>IF(AND(ISNUMBER(RU_Clean!Y111),ISNUMBER(RU_Clean!Y110)),(RU_Clean!Y111-RU_Clean!Y110)/RU_Clean!Y110*100,"")</f>
        <v>-0.182704019488418</v>
      </c>
      <c r="Z111" s="12">
        <f>IF(AND(ISNUMBER(RU_Clean!Z111),ISNUMBER(RU_Clean!Z110)),(RU_Clean!Z111-RU_Clean!Z110)/RU_Clean!Z110*100,"")</f>
        <v>0.568181818181822</v>
      </c>
      <c r="AA111" s="12">
        <f>IF(AND(ISNUMBER(RU_Clean!AA111),ISNUMBER(RU_Clean!AA110)),(RU_Clean!AA111-RU_Clean!AA110)/RU_Clean!AA110*100,"")</f>
        <v>0.473092844470734</v>
      </c>
      <c r="AB111" s="12">
        <f>IF(AND(ISNUMBER(RU_Clean!AB111),ISNUMBER(RU_Clean!AB110)),(RU_Clean!AB111-RU_Clean!AB110)/RU_Clean!AB110*100,"")</f>
        <v>-0.57803468208091</v>
      </c>
      <c r="AC111" s="12">
        <f>IF(AND(ISNUMBER(RU_Clean!AC111),ISNUMBER(RU_Clean!AC110)),(RU_Clean!AC111-RU_Clean!AC110)/RU_Clean!AC110*100,"")</f>
        <v>0.756620428751587</v>
      </c>
      <c r="AD111" s="12">
        <f>IF(AND(ISNUMBER(RU_Clean!AD111),ISNUMBER(RU_Clean!AD110)),(RU_Clean!AD111-RU_Clean!AD110)/RU_Clean!AD110*100,"")</f>
        <v>0.244051250762664</v>
      </c>
      <c r="AE111" s="12">
        <f>IF(AND(ISNUMBER(RU_Clean!AE111),ISNUMBER(RU_Clean!AE110)),(RU_Clean!AE111-RU_Clean!AE110)/RU_Clean!AE110*100,"")</f>
        <v>0.87064676616914</v>
      </c>
      <c r="AF111" s="12">
        <f>IF(AND(ISNUMBER(RU_Clean!AF111),ISNUMBER(RU_Clean!AF110)),(RU_Clean!AF111-RU_Clean!AF110)/RU_Clean!AF110*100,"")</f>
        <v>0.248447204968948</v>
      </c>
      <c r="AG111" s="12">
        <f>IF(AND(ISNUMBER(RU_Clean!AG111),ISNUMBER(RU_Clean!AG110)),(RU_Clean!AG111-RU_Clean!AG110)/RU_Clean!AG110*100,"")</f>
        <v>0.7250755287009</v>
      </c>
      <c r="AH111" s="12">
        <f>IF(AND(ISNUMBER(RU_Clean!AH111),ISNUMBER(RU_Clean!AH110)),(RU_Clean!AH111-RU_Clean!AH110)/RU_Clean!AH110*100,"")</f>
        <v>0.826775575256484</v>
      </c>
    </row>
    <row r="112" spans="1:34">
      <c r="A112" s="6">
        <f>RU_Clean!A112</f>
        <v>2021</v>
      </c>
      <c r="B112" s="6">
        <f>RU_Clean!B112</f>
        <v>12</v>
      </c>
      <c r="C112" s="6" t="str">
        <f>RU_Clean!C112</f>
        <v>December</v>
      </c>
      <c r="D112" s="9">
        <f>RU_Clean!D112</f>
        <v>44531</v>
      </c>
      <c r="E112" s="6"/>
      <c r="F112" s="6"/>
      <c r="G112" s="12">
        <f>IF(AND(ISNUMBER(RU_Clean!G112),ISNUMBER(RU_Clean!G111)),(RU_Clean!G112-RU_Clean!G111)/RU_Clean!G111*100,"")</f>
        <v>0.337381916329285</v>
      </c>
      <c r="H112" s="12">
        <f>IF(AND(ISNUMBER(RU_Clean!H112),ISNUMBER(RU_Clean!H111)),(RU_Clean!H112-RU_Clean!H111)/RU_Clean!H111*100,"")</f>
        <v>-1.38888888888888</v>
      </c>
      <c r="I112" s="12">
        <f>IF(AND(ISNUMBER(RU_Clean!I112),ISNUMBER(RU_Clean!I111)),(RU_Clean!I112-RU_Clean!I111)/RU_Clean!I111*100,"")</f>
        <v>2.83236994219654</v>
      </c>
      <c r="J112" s="12">
        <f>IF(AND(ISNUMBER(RU_Clean!J112),ISNUMBER(RU_Clean!J111)),(RU_Clean!J112-RU_Clean!J111)/RU_Clean!J111*100,"")</f>
        <v>0.376647834274949</v>
      </c>
      <c r="K112" s="12">
        <f>IF(AND(ISNUMBER(RU_Clean!K112),ISNUMBER(RU_Clean!K111)),(RU_Clean!K112-RU_Clean!K111)/RU_Clean!K111*100,"")</f>
        <v>-1.31509731720147</v>
      </c>
      <c r="L112" s="12">
        <f>IF(AND(ISNUMBER(RU_Clean!L112),ISNUMBER(RU_Clean!L111)),(RU_Clean!L112-RU_Clean!L111)/RU_Clean!L111*100,"")</f>
        <v>-1.02236421725239</v>
      </c>
      <c r="M112" s="12">
        <f>IF(AND(ISNUMBER(RU_Clean!M112),ISNUMBER(RU_Clean!M111)),(RU_Clean!M112-RU_Clean!M111)/RU_Clean!M111*100,"")</f>
        <v>-5.47188755020079</v>
      </c>
      <c r="N112" s="12">
        <f>IF(AND(ISNUMBER(RU_Clean!N112),ISNUMBER(RU_Clean!N111)),(RU_Clean!N112-RU_Clean!N111)/RU_Clean!N111*100,"")</f>
        <v>-0.544464609800366</v>
      </c>
      <c r="O112" s="12">
        <f>IF(AND(ISNUMBER(RU_Clean!O112),ISNUMBER(RU_Clean!O111)),(RU_Clean!O112-RU_Clean!O111)/RU_Clean!O111*100,"")</f>
        <v>-1.14379084967321</v>
      </c>
      <c r="P112" s="12">
        <f>IF(AND(ISNUMBER(RU_Clean!P112),ISNUMBER(RU_Clean!P111)),(RU_Clean!P112-RU_Clean!P111)/RU_Clean!P111*100,"")</f>
        <v>0.530660377358494</v>
      </c>
      <c r="Q112" s="12">
        <f>IF(AND(ISNUMBER(RU_Clean!Q112),ISNUMBER(RU_Clean!Q111)),(RU_Clean!Q112-RU_Clean!Q111)/RU_Clean!Q111*100,"")</f>
        <v>0.30543677458766</v>
      </c>
      <c r="R112" s="12">
        <f>IF(AND(ISNUMBER(RU_Clean!R112),ISNUMBER(RU_Clean!R111)),(RU_Clean!R112-RU_Clean!R111)/RU_Clean!R111*100,"")</f>
        <v>0.56980056980057</v>
      </c>
      <c r="S112" s="12">
        <f>IF(AND(ISNUMBER(RU_Clean!S112),ISNUMBER(RU_Clean!S111)),(RU_Clean!S112-RU_Clean!S111)/RU_Clean!S111*100,"")</f>
        <v>-0.883912787271656</v>
      </c>
      <c r="T112" s="12">
        <f>IF(AND(ISNUMBER(RU_Clean!T112),ISNUMBER(RU_Clean!T111)),(RU_Clean!T112-RU_Clean!T111)/RU_Clean!T111*100,"")</f>
        <v>-0.259201658890617</v>
      </c>
      <c r="U112" s="12">
        <f>IF(AND(ISNUMBER(RU_Clean!U112),ISNUMBER(RU_Clean!U111)),(RU_Clean!U112-RU_Clean!U111)/RU_Clean!U111*100,"")</f>
        <v>0.777511961722495</v>
      </c>
      <c r="V112" s="12">
        <f>IF(AND(ISNUMBER(RU_Clean!V112),ISNUMBER(RU_Clean!V111)),(RU_Clean!V112-RU_Clean!V111)/RU_Clean!V111*100,"")</f>
        <v>0.825921219822099</v>
      </c>
      <c r="W112" s="12">
        <f>IF(AND(ISNUMBER(RU_Clean!W112),ISNUMBER(RU_Clean!W111)),(RU_Clean!W112-RU_Clean!W111)/RU_Clean!W111*100,"")</f>
        <v>0.723763570566941</v>
      </c>
      <c r="X112" s="12">
        <f>IF(AND(ISNUMBER(RU_Clean!X112),ISNUMBER(RU_Clean!X111)),(RU_Clean!X112-RU_Clean!X111)/RU_Clean!X111*100,"")</f>
        <v>-0.4872107186358</v>
      </c>
      <c r="Y112" s="12">
        <f>IF(AND(ISNUMBER(RU_Clean!Y112),ISNUMBER(RU_Clean!Y111)),(RU_Clean!Y112-RU_Clean!Y111)/RU_Clean!Y111*100,"")</f>
        <v>0.122025625381323</v>
      </c>
      <c r="Z112" s="12">
        <f>IF(AND(ISNUMBER(RU_Clean!Z112),ISNUMBER(RU_Clean!Z111)),(RU_Clean!Z112-RU_Clean!Z111)/RU_Clean!Z111*100,"")</f>
        <v>0.564971751412415</v>
      </c>
      <c r="AA112" s="12">
        <f>IF(AND(ISNUMBER(RU_Clean!AA112),ISNUMBER(RU_Clean!AA111)),(RU_Clean!AA112-RU_Clean!AA111)/RU_Clean!AA111*100,"")</f>
        <v>0.412007062978216</v>
      </c>
      <c r="AB112" s="12">
        <f>IF(AND(ISNUMBER(RU_Clean!AB112),ISNUMBER(RU_Clean!AB111)),(RU_Clean!AB112-RU_Clean!AB111)/RU_Clean!AB111*100,"")</f>
        <v>0.581395348837195</v>
      </c>
      <c r="AC112" s="12">
        <f>IF(AND(ISNUMBER(RU_Clean!AC112),ISNUMBER(RU_Clean!AC111)),(RU_Clean!AC112-RU_Clean!AC111)/RU_Clean!AC111*100,"")</f>
        <v>0.500625782227774</v>
      </c>
      <c r="AD112" s="12">
        <f>IF(AND(ISNUMBER(RU_Clean!AD112),ISNUMBER(RU_Clean!AD111)),(RU_Clean!AD112-RU_Clean!AD111)/RU_Clean!AD111*100,"")</f>
        <v>0.0608642726719381</v>
      </c>
      <c r="AE112" s="12">
        <f>IF(AND(ISNUMBER(RU_Clean!AE112),ISNUMBER(RU_Clean!AE111)),(RU_Clean!AE112-RU_Clean!AE111)/RU_Clean!AE111*100,"")</f>
        <v>0.246609124537611</v>
      </c>
      <c r="AF112" s="12">
        <f>IF(AND(ISNUMBER(RU_Clean!AF112),ISNUMBER(RU_Clean!AF111)),(RU_Clean!AF112-RU_Clean!AF111)/RU_Clean!AF111*100,"")</f>
        <v>0.371747211895907</v>
      </c>
      <c r="AG112" s="12">
        <f>IF(AND(ISNUMBER(RU_Clean!AG112),ISNUMBER(RU_Clean!AG111)),(RU_Clean!AG112-RU_Clean!AG111)/RU_Clean!AG111*100,"")</f>
        <v>-0.299940011997601</v>
      </c>
      <c r="AH112" s="12">
        <f>IF(AND(ISNUMBER(RU_Clean!AH112),ISNUMBER(RU_Clean!AH111)),(RU_Clean!AH112-RU_Clean!AH111)/RU_Clean!AH111*100,"")</f>
        <v>-0.577949021932415</v>
      </c>
    </row>
    <row r="113" spans="1:34">
      <c r="A113" s="6">
        <f>RU_Clean!A113</f>
        <v>2022</v>
      </c>
      <c r="B113" s="6">
        <f>RU_Clean!B113</f>
        <v>1</v>
      </c>
      <c r="C113" s="6" t="str">
        <f>RU_Clean!C113</f>
        <v>January</v>
      </c>
      <c r="D113" s="9">
        <f>RU_Clean!D113</f>
        <v>44562</v>
      </c>
      <c r="E113" s="6"/>
      <c r="F113" s="6"/>
      <c r="G113" s="12">
        <f>IF(AND(ISNUMBER(RU_Clean!G113),ISNUMBER(RU_Clean!G112)),(RU_Clean!G113-RU_Clean!G112)/RU_Clean!G112*100,"")</f>
        <v>0.53799596503027</v>
      </c>
      <c r="H113" s="12">
        <f>IF(AND(ISNUMBER(RU_Clean!H113),ISNUMBER(RU_Clean!H112)),(RU_Clean!H113-RU_Clean!H112)/RU_Clean!H112*100,"")</f>
        <v>-0.0503018108652026</v>
      </c>
      <c r="I113" s="12">
        <f>IF(AND(ISNUMBER(RU_Clean!I113),ISNUMBER(RU_Clean!I112)),(RU_Clean!I113-RU_Clean!I112)/RU_Clean!I112*100,"")</f>
        <v>0.505902192242836</v>
      </c>
      <c r="J113" s="12">
        <f>IF(AND(ISNUMBER(RU_Clean!J113),ISNUMBER(RU_Clean!J112)),(RU_Clean!J113-RU_Clean!J112)/RU_Clean!J112*100,"")</f>
        <v>0.375234521575981</v>
      </c>
      <c r="K113" s="12">
        <f>IF(AND(ISNUMBER(RU_Clean!K113),ISNUMBER(RU_Clean!K112)),(RU_Clean!K113-RU_Clean!K112)/RU_Clean!K112*100,"")</f>
        <v>-1.54584221748401</v>
      </c>
      <c r="L113" s="12">
        <f>IF(AND(ISNUMBER(RU_Clean!L113),ISNUMBER(RU_Clean!L112)),(RU_Clean!L113-RU_Clean!L112)/RU_Clean!L112*100,"")</f>
        <v>-0.774693350548752</v>
      </c>
      <c r="M113" s="12">
        <f>IF(AND(ISNUMBER(RU_Clean!M113),ISNUMBER(RU_Clean!M112)),(RU_Clean!M113-RU_Clean!M112)/RU_Clean!M112*100,"")</f>
        <v>-7.43494423791821</v>
      </c>
      <c r="N113" s="12">
        <f>IF(AND(ISNUMBER(RU_Clean!N113),ISNUMBER(RU_Clean!N112)),(RU_Clean!N113-RU_Clean!N112)/RU_Clean!N112*100,"")</f>
        <v>-0.304136253041362</v>
      </c>
      <c r="O113" s="12">
        <f>IF(AND(ISNUMBER(RU_Clean!O113),ISNUMBER(RU_Clean!O112)),(RU_Clean!O113-RU_Clean!O112)/RU_Clean!O112*100,"")</f>
        <v>-0.826446280991736</v>
      </c>
      <c r="P113" s="12">
        <f>IF(AND(ISNUMBER(RU_Clean!P113),ISNUMBER(RU_Clean!P112)),(RU_Clean!P113-RU_Clean!P112)/RU_Clean!P112*100,"")</f>
        <v>0.938416422287387</v>
      </c>
      <c r="Q113" s="12">
        <f>IF(AND(ISNUMBER(RU_Clean!Q113),ISNUMBER(RU_Clean!Q112)),(RU_Clean!Q113-RU_Clean!Q112)/RU_Clean!Q112*100,"")</f>
        <v>0.0609013398294901</v>
      </c>
      <c r="R113" s="12">
        <f>IF(AND(ISNUMBER(RU_Clean!R113),ISNUMBER(RU_Clean!R112)),(RU_Clean!R113-RU_Clean!R112)/RU_Clean!R112*100,"")</f>
        <v>0.453257790368278</v>
      </c>
      <c r="S113" s="12">
        <f>IF(AND(ISNUMBER(RU_Clean!S113),ISNUMBER(RU_Clean!S112)),(RU_Clean!S113-RU_Clean!S112)/RU_Clean!S112*100,"")</f>
        <v>-1.07015457788346</v>
      </c>
      <c r="T113" s="12">
        <f>IF(AND(ISNUMBER(RU_Clean!T113),ISNUMBER(RU_Clean!T112)),(RU_Clean!T113-RU_Clean!T112)/RU_Clean!T112*100,"")</f>
        <v>-0.103950103950113</v>
      </c>
      <c r="U113" s="12">
        <f>IF(AND(ISNUMBER(RU_Clean!U113),ISNUMBER(RU_Clean!U112)),(RU_Clean!U113-RU_Clean!U112)/RU_Clean!U112*100,"")</f>
        <v>0.830860534124632</v>
      </c>
      <c r="V113" s="12">
        <f>IF(AND(ISNUMBER(RU_Clean!V113),ISNUMBER(RU_Clean!V112)),(RU_Clean!V113-RU_Clean!V112)/RU_Clean!V112*100,"")</f>
        <v>1.26023944549464</v>
      </c>
      <c r="W113" s="12">
        <f>IF(AND(ISNUMBER(RU_Clean!W113),ISNUMBER(RU_Clean!W112)),(RU_Clean!W113-RU_Clean!W112)/RU_Clean!W112*100,"")</f>
        <v>0.898203592814371</v>
      </c>
      <c r="X113" s="12">
        <f>IF(AND(ISNUMBER(RU_Clean!X113),ISNUMBER(RU_Clean!X112)),(RU_Clean!X113-RU_Clean!X112)/RU_Clean!X112*100,"")</f>
        <v>0.673194614443081</v>
      </c>
      <c r="Y113" s="12">
        <f>IF(AND(ISNUMBER(RU_Clean!Y113),ISNUMBER(RU_Clean!Y112)),(RU_Clean!Y113-RU_Clean!Y112)/RU_Clean!Y112*100,"")</f>
        <v>0.0609384521633116</v>
      </c>
      <c r="Z113" s="12">
        <f>IF(AND(ISNUMBER(RU_Clean!Z113),ISNUMBER(RU_Clean!Z112)),(RU_Clean!Z113-RU_Clean!Z112)/RU_Clean!Z112*100,"")</f>
        <v>0.561797752808992</v>
      </c>
      <c r="AA113" s="12">
        <f>IF(AND(ISNUMBER(RU_Clean!AA113),ISNUMBER(RU_Clean!AA112)),(RU_Clean!AA113-RU_Clean!AA112)/RU_Clean!AA112*100,"")</f>
        <v>0.468933177022281</v>
      </c>
      <c r="AB113" s="12">
        <f>IF(AND(ISNUMBER(RU_Clean!AB113),ISNUMBER(RU_Clean!AB112)),(RU_Clean!AB113-RU_Clean!AB112)/RU_Clean!AB112*100,"")</f>
        <v>0.513808606294163</v>
      </c>
      <c r="AC113" s="12">
        <f>IF(AND(ISNUMBER(RU_Clean!AC113),ISNUMBER(RU_Clean!AC112)),(RU_Clean!AC113-RU_Clean!AC112)/RU_Clean!AC112*100,"")</f>
        <v>0.373599003735986</v>
      </c>
      <c r="AD113" s="12">
        <f>IF(AND(ISNUMBER(RU_Clean!AD113),ISNUMBER(RU_Clean!AD112)),(RU_Clean!AD113-RU_Clean!AD112)/RU_Clean!AD112*100,"")</f>
        <v>0.182481751824807</v>
      </c>
      <c r="AE113" s="12">
        <f>IF(AND(ISNUMBER(RU_Clean!AE113),ISNUMBER(RU_Clean!AE112)),(RU_Clean!AE113-RU_Clean!AE112)/RU_Clean!AE112*100,"")</f>
        <v>0.246002460024604</v>
      </c>
      <c r="AF113" s="12">
        <f>IF(AND(ISNUMBER(RU_Clean!AF113),ISNUMBER(RU_Clean!AF112)),(RU_Clean!AF113-RU_Clean!AF112)/RU_Clean!AF112*100,"")</f>
        <v>0.432098765432092</v>
      </c>
      <c r="AG113" s="12">
        <f>IF(AND(ISNUMBER(RU_Clean!AG113),ISNUMBER(RU_Clean!AG112)),(RU_Clean!AG113-RU_Clean!AG112)/RU_Clean!AG112*100,"")</f>
        <v>-0.300842358604091</v>
      </c>
      <c r="AH113" s="12">
        <f>IF(AND(ISNUMBER(RU_Clean!AH113),ISNUMBER(RU_Clean!AH112)),(RU_Clean!AH113-RU_Clean!AH112)/RU_Clean!AH112*100,"")</f>
        <v>-0.740299100710493</v>
      </c>
    </row>
    <row r="114" spans="1:34">
      <c r="A114" s="6">
        <f>RU_Clean!A114</f>
        <v>2022</v>
      </c>
      <c r="B114" s="6">
        <f>RU_Clean!B114</f>
        <v>2</v>
      </c>
      <c r="C114" s="6" t="str">
        <f>RU_Clean!C114</f>
        <v>February</v>
      </c>
      <c r="D114" s="9">
        <f>RU_Clean!D114</f>
        <v>44593</v>
      </c>
      <c r="E114" s="6"/>
      <c r="F114" s="6"/>
      <c r="G114" s="12">
        <f>IF(AND(ISNUMBER(RU_Clean!G114),ISNUMBER(RU_Clean!G113)),(RU_Clean!G114-RU_Clean!G113)/RU_Clean!G113*100,"")</f>
        <v>0.334448160535117</v>
      </c>
      <c r="H114" s="12">
        <f>IF(AND(ISNUMBER(RU_Clean!H114),ISNUMBER(RU_Clean!H113)),(RU_Clean!H114-RU_Clean!H113)/RU_Clean!H113*100,"")</f>
        <v>0.956215400100657</v>
      </c>
      <c r="I114" s="12">
        <f>IF(AND(ISNUMBER(RU_Clean!I114),ISNUMBER(RU_Clean!I113)),(RU_Clean!I114-RU_Clean!I113)/RU_Clean!I113*100,"")</f>
        <v>-1.67785234899329</v>
      </c>
      <c r="J114" s="12">
        <f>IF(AND(ISNUMBER(RU_Clean!J114),ISNUMBER(RU_Clean!J113)),(RU_Clean!J114-RU_Clean!J113)/RU_Clean!J113*100,"")</f>
        <v>0.124610591900304</v>
      </c>
      <c r="K114" s="12">
        <f>IF(AND(ISNUMBER(RU_Clean!K114),ISNUMBER(RU_Clean!K113)),(RU_Clean!K114-RU_Clean!K113)/RU_Clean!K113*100,"")</f>
        <v>0.108283703302662</v>
      </c>
      <c r="L114" s="12">
        <f>IF(AND(ISNUMBER(RU_Clean!L114),ISNUMBER(RU_Clean!L113)),(RU_Clean!L114-RU_Clean!L113)/RU_Clean!L113*100,"")</f>
        <v>0</v>
      </c>
      <c r="M114" s="12">
        <f>IF(AND(ISNUMBER(RU_Clean!M114),ISNUMBER(RU_Clean!M113)),(RU_Clean!M114-RU_Clean!M113)/RU_Clean!M113*100,"")</f>
        <v>-2.63912794033277</v>
      </c>
      <c r="N114" s="12">
        <f>IF(AND(ISNUMBER(RU_Clean!N114),ISNUMBER(RU_Clean!N113)),(RU_Clean!N114-RU_Clean!N113)/RU_Clean!N113*100,"")</f>
        <v>-0.12202562538134</v>
      </c>
      <c r="O114" s="12">
        <f>IF(AND(ISNUMBER(RU_Clean!O114),ISNUMBER(RU_Clean!O113)),(RU_Clean!O114-RU_Clean!O113)/RU_Clean!O113*100,"")</f>
        <v>-0.916666666666662</v>
      </c>
      <c r="P114" s="12">
        <f>IF(AND(ISNUMBER(RU_Clean!P114),ISNUMBER(RU_Clean!P113)),(RU_Clean!P114-RU_Clean!P113)/RU_Clean!P113*100,"")</f>
        <v>1.27832655432889</v>
      </c>
      <c r="Q114" s="12">
        <f>IF(AND(ISNUMBER(RU_Clean!Q114),ISNUMBER(RU_Clean!Q113)),(RU_Clean!Q114-RU_Clean!Q113)/RU_Clean!Q113*100,"")</f>
        <v>0.243457090687752</v>
      </c>
      <c r="R114" s="12">
        <f>IF(AND(ISNUMBER(RU_Clean!R114),ISNUMBER(RU_Clean!R113)),(RU_Clean!R114-RU_Clean!R113)/RU_Clean!R113*100,"")</f>
        <v>0.394811054709525</v>
      </c>
      <c r="S114" s="12">
        <f>IF(AND(ISNUMBER(RU_Clean!S114),ISNUMBER(RU_Clean!S113)),(RU_Clean!S114-RU_Clean!S113)/RU_Clean!S113*100,"")</f>
        <v>-0.120192307692318</v>
      </c>
      <c r="T114" s="12">
        <f>IF(AND(ISNUMBER(RU_Clean!T114),ISNUMBER(RU_Clean!T113)),(RU_Clean!T114-RU_Clean!T113)/RU_Clean!T113*100,"")</f>
        <v>0.312174817898035</v>
      </c>
      <c r="U114" s="12">
        <f>IF(AND(ISNUMBER(RU_Clean!U114),ISNUMBER(RU_Clean!U113)),(RU_Clean!U114-RU_Clean!U113)/RU_Clean!U113*100,"")</f>
        <v>0.529723366686289</v>
      </c>
      <c r="V114" s="12">
        <f>IF(AND(ISNUMBER(RU_Clean!V114),ISNUMBER(RU_Clean!V113)),(RU_Clean!V114-RU_Clean!V113)/RU_Clean!V113*100,"")</f>
        <v>1.05787181082764</v>
      </c>
      <c r="W114" s="12">
        <f>IF(AND(ISNUMBER(RU_Clean!W114),ISNUMBER(RU_Clean!W113)),(RU_Clean!W114-RU_Clean!W113)/RU_Clean!W113*100,"")</f>
        <v>0.65281899109792</v>
      </c>
      <c r="X114" s="12">
        <f>IF(AND(ISNUMBER(RU_Clean!X114),ISNUMBER(RU_Clean!X113)),(RU_Clean!X114-RU_Clean!X113)/RU_Clean!X113*100,"")</f>
        <v>0.60790273556231</v>
      </c>
      <c r="Y114" s="12">
        <f>IF(AND(ISNUMBER(RU_Clean!Y114),ISNUMBER(RU_Clean!Y113)),(RU_Clean!Y114-RU_Clean!Y113)/RU_Clean!Y113*100,"")</f>
        <v>0.913520097442144</v>
      </c>
      <c r="Z114" s="12">
        <f>IF(AND(ISNUMBER(RU_Clean!Z114),ISNUMBER(RU_Clean!Z113)),(RU_Clean!Z114-RU_Clean!Z113)/RU_Clean!Z113*100,"")</f>
        <v>0.434512725015529</v>
      </c>
      <c r="AA114" s="12">
        <f>IF(AND(ISNUMBER(RU_Clean!AA114),ISNUMBER(RU_Clean!AA113)),(RU_Clean!AA114-RU_Clean!AA113)/RU_Clean!AA113*100,"")</f>
        <v>0.466744457409558</v>
      </c>
      <c r="AB114" s="12">
        <f>IF(AND(ISNUMBER(RU_Clean!AB114),ISNUMBER(RU_Clean!AB113)),(RU_Clean!AB114-RU_Clean!AB113)/RU_Clean!AB113*100,"")</f>
        <v>0.255591054313103</v>
      </c>
      <c r="AC114" s="12">
        <f>IF(AND(ISNUMBER(RU_Clean!AC114),ISNUMBER(RU_Clean!AC113)),(RU_Clean!AC114-RU_Clean!AC113)/RU_Clean!AC113*100,"")</f>
        <v>0.558312655086852</v>
      </c>
      <c r="AD114" s="12">
        <f>IF(AND(ISNUMBER(RU_Clean!AD114),ISNUMBER(RU_Clean!AD113)),(RU_Clean!AD114-RU_Clean!AD113)/RU_Clean!AD113*100,"")</f>
        <v>0.42501517911355</v>
      </c>
      <c r="AE114" s="12">
        <f>IF(AND(ISNUMBER(RU_Clean!AE114),ISNUMBER(RU_Clean!AE113)),(RU_Clean!AE114-RU_Clean!AE113)/RU_Clean!AE113*100,"")</f>
        <v>0.858895705521476</v>
      </c>
      <c r="AF114" s="12">
        <f>IF(AND(ISNUMBER(RU_Clean!AF114),ISNUMBER(RU_Clean!AF113)),(RU_Clean!AF114-RU_Clean!AF113)/RU_Clean!AF113*100,"")</f>
        <v>0.491702519975422</v>
      </c>
      <c r="AG114" s="12">
        <f>IF(AND(ISNUMBER(RU_Clean!AG114),ISNUMBER(RU_Clean!AG113)),(RU_Clean!AG114-RU_Clean!AG113)/RU_Clean!AG113*100,"")</f>
        <v>0.241400120700064</v>
      </c>
      <c r="AH114" s="12">
        <f>IF(AND(ISNUMBER(RU_Clean!AH114),ISNUMBER(RU_Clean!AH113)),(RU_Clean!AH114-RU_Clean!AH113)/RU_Clean!AH113*100,"")</f>
        <v>-0.140154169586532</v>
      </c>
    </row>
    <row r="115" spans="1:34">
      <c r="A115" s="6">
        <f>RU_Clean!A115</f>
        <v>2022</v>
      </c>
      <c r="B115" s="6">
        <f>RU_Clean!B115</f>
        <v>3</v>
      </c>
      <c r="C115" s="6" t="str">
        <f>RU_Clean!C115</f>
        <v>March</v>
      </c>
      <c r="D115" s="9">
        <f>RU_Clean!D115</f>
        <v>44621</v>
      </c>
      <c r="E115" s="6"/>
      <c r="F115" s="6"/>
      <c r="G115" s="12">
        <f>IF(AND(ISNUMBER(RU_Clean!G115),ISNUMBER(RU_Clean!G114)),(RU_Clean!G115-RU_Clean!G114)/RU_Clean!G114*100,"")</f>
        <v>0.866666666666674</v>
      </c>
      <c r="H115" s="12">
        <f>IF(AND(ISNUMBER(RU_Clean!H115),ISNUMBER(RU_Clean!H114)),(RU_Clean!H115-RU_Clean!H114)/RU_Clean!H114*100,"")</f>
        <v>5.03489531405782</v>
      </c>
      <c r="I115" s="12">
        <f>IF(AND(ISNUMBER(RU_Clean!I115),ISNUMBER(RU_Clean!I114)),(RU_Clean!I115-RU_Clean!I114)/RU_Clean!I114*100,"")</f>
        <v>-4.55062571103527</v>
      </c>
      <c r="J115" s="12">
        <f>IF(AND(ISNUMBER(RU_Clean!J115),ISNUMBER(RU_Clean!J114)),(RU_Clean!J115-RU_Clean!J114)/RU_Clean!J114*100,"")</f>
        <v>0.933416303671438</v>
      </c>
      <c r="K115" s="12">
        <f>IF(AND(ISNUMBER(RU_Clean!K115),ISNUMBER(RU_Clean!K114)),(RU_Clean!K115-RU_Clean!K114)/RU_Clean!K114*100,"")</f>
        <v>5.24607896160086</v>
      </c>
      <c r="L115" s="12">
        <f>IF(AND(ISNUMBER(RU_Clean!L115),ISNUMBER(RU_Clean!L114)),(RU_Clean!L115-RU_Clean!L114)/RU_Clean!L114*100,"")</f>
        <v>2.53741054001302</v>
      </c>
      <c r="M115" s="12">
        <f>IF(AND(ISNUMBER(RU_Clean!M115),ISNUMBER(RU_Clean!M114)),(RU_Clean!M115-RU_Clean!M114)/RU_Clean!M114*100,"")</f>
        <v>-1.64997053624041</v>
      </c>
      <c r="N115" s="12">
        <f>IF(AND(ISNUMBER(RU_Clean!N115),ISNUMBER(RU_Clean!N114)),(RU_Clean!N115-RU_Clean!N114)/RU_Clean!N114*100,"")</f>
        <v>0.122174709835075</v>
      </c>
      <c r="O115" s="12">
        <f>IF(AND(ISNUMBER(RU_Clean!O115),ISNUMBER(RU_Clean!O114)),(RU_Clean!O115-RU_Clean!O114)/RU_Clean!O114*100,"")</f>
        <v>-0.0841042893187624</v>
      </c>
      <c r="P115" s="12">
        <f>IF(AND(ISNUMBER(RU_Clean!P115),ISNUMBER(RU_Clean!P114)),(RU_Clean!P115-RU_Clean!P114)/RU_Clean!P114*100,"")</f>
        <v>1.77854274239816</v>
      </c>
      <c r="Q115" s="12">
        <f>IF(AND(ISNUMBER(RU_Clean!Q115),ISNUMBER(RU_Clean!Q114)),(RU_Clean!Q115-RU_Clean!Q114)/RU_Clean!Q114*100,"")</f>
        <v>0.364298724954477</v>
      </c>
      <c r="R115" s="12">
        <f>IF(AND(ISNUMBER(RU_Clean!R115),ISNUMBER(RU_Clean!R114)),(RU_Clean!R115-RU_Clean!R114)/RU_Clean!R114*100,"")</f>
        <v>0.730337078651692</v>
      </c>
      <c r="S115" s="12">
        <f>IF(AND(ISNUMBER(RU_Clean!S115),ISNUMBER(RU_Clean!S114)),(RU_Clean!S115-RU_Clean!S114)/RU_Clean!S114*100,"")</f>
        <v>1.32370637785801</v>
      </c>
      <c r="T115" s="12">
        <f>IF(AND(ISNUMBER(RU_Clean!T115),ISNUMBER(RU_Clean!T114)),(RU_Clean!T115-RU_Clean!T114)/RU_Clean!T114*100,"")</f>
        <v>0.4668049792531</v>
      </c>
      <c r="U115" s="12">
        <f>IF(AND(ISNUMBER(RU_Clean!U115),ISNUMBER(RU_Clean!U114)),(RU_Clean!U115-RU_Clean!U114)/RU_Clean!U114*100,"")</f>
        <v>0.761124121779849</v>
      </c>
      <c r="V115" s="12">
        <f>IF(AND(ISNUMBER(RU_Clean!V115),ISNUMBER(RU_Clean!V114)),(RU_Clean!V115-RU_Clean!V114)/RU_Clean!V114*100,"")</f>
        <v>1.35467980295566</v>
      </c>
      <c r="W115" s="12">
        <f>IF(AND(ISNUMBER(RU_Clean!W115),ISNUMBER(RU_Clean!W114)),(RU_Clean!W115-RU_Clean!W114)/RU_Clean!W114*100,"")</f>
        <v>0.884433962264151</v>
      </c>
      <c r="X115" s="12">
        <f>IF(AND(ISNUMBER(RU_Clean!X115),ISNUMBER(RU_Clean!X114)),(RU_Clean!X115-RU_Clean!X114)/RU_Clean!X114*100,"")</f>
        <v>-0.120845921450144</v>
      </c>
      <c r="Y115" s="12">
        <f>IF(AND(ISNUMBER(RU_Clean!Y115),ISNUMBER(RU_Clean!Y114)),(RU_Clean!Y115-RU_Clean!Y114)/RU_Clean!Y114*100,"")</f>
        <v>0.905250452625226</v>
      </c>
      <c r="Z115" s="12">
        <f>IF(AND(ISNUMBER(RU_Clean!Z115),ISNUMBER(RU_Clean!Z114)),(RU_Clean!Z115-RU_Clean!Z114)/RU_Clean!Z114*100,"")</f>
        <v>0.618046971569839</v>
      </c>
      <c r="AA115" s="12">
        <f>IF(AND(ISNUMBER(RU_Clean!AA115),ISNUMBER(RU_Clean!AA114)),(RU_Clean!AA115-RU_Clean!AA114)/RU_Clean!AA114*100,"")</f>
        <v>0.464576074332179</v>
      </c>
      <c r="AB115" s="12">
        <f>IF(AND(ISNUMBER(RU_Clean!AB115),ISNUMBER(RU_Clean!AB114)),(RU_Clean!AB115-RU_Clean!AB114)/RU_Clean!AB114*100,"")</f>
        <v>0.637348629700446</v>
      </c>
      <c r="AC115" s="12">
        <f>IF(AND(ISNUMBER(RU_Clean!AC115),ISNUMBER(RU_Clean!AC114)),(RU_Clean!AC115-RU_Clean!AC114)/RU_Clean!AC114*100,"")</f>
        <v>0.740283775447265</v>
      </c>
      <c r="AD115" s="12">
        <f>IF(AND(ISNUMBER(RU_Clean!AD115),ISNUMBER(RU_Clean!AD114)),(RU_Clean!AD115-RU_Clean!AD114)/RU_Clean!AD114*100,"")</f>
        <v>0.362756952841593</v>
      </c>
      <c r="AE115" s="12">
        <f>IF(AND(ISNUMBER(RU_Clean!AE115),ISNUMBER(RU_Clean!AE114)),(RU_Clean!AE115-RU_Clean!AE114)/RU_Clean!AE114*100,"")</f>
        <v>1.70316301703162</v>
      </c>
      <c r="AF115" s="12">
        <f>IF(AND(ISNUMBER(RU_Clean!AF115),ISNUMBER(RU_Clean!AF114)),(RU_Clean!AF115-RU_Clean!AF114)/RU_Clean!AF114*100,"")</f>
        <v>0.672782874617734</v>
      </c>
      <c r="AG115" s="12">
        <f>IF(AND(ISNUMBER(RU_Clean!AG115),ISNUMBER(RU_Clean!AG114)),(RU_Clean!AG115-RU_Clean!AG114)/RU_Clean!AG114*100,"")</f>
        <v>0.963275135460562</v>
      </c>
      <c r="AH115" s="12">
        <f>IF(AND(ISNUMBER(RU_Clean!AH115),ISNUMBER(RU_Clean!AH114)),(RU_Clean!AH115-RU_Clean!AH114)/RU_Clean!AH114*100,"")</f>
        <v>1.04260651629072</v>
      </c>
    </row>
    <row r="116" spans="1:34">
      <c r="A116" s="6">
        <f>RU_Clean!A116</f>
        <v>2022</v>
      </c>
      <c r="B116" s="6">
        <f>RU_Clean!B116</f>
        <v>4</v>
      </c>
      <c r="C116" s="6" t="str">
        <f>RU_Clean!C116</f>
        <v>April</v>
      </c>
      <c r="D116" s="9">
        <f>RU_Clean!D116</f>
        <v>44652</v>
      </c>
      <c r="E116" s="6"/>
      <c r="F116" s="6"/>
      <c r="G116" s="12">
        <f>IF(AND(ISNUMBER(RU_Clean!G116),ISNUMBER(RU_Clean!G115)),(RU_Clean!G116-RU_Clean!G115)/RU_Clean!G115*100,"")</f>
        <v>1.05750165234633</v>
      </c>
      <c r="H116" s="12">
        <f>IF(AND(ISNUMBER(RU_Clean!H116),ISNUMBER(RU_Clean!H115)),(RU_Clean!H116-RU_Clean!H115)/RU_Clean!H115*100,"")</f>
        <v>0.522069292833423</v>
      </c>
      <c r="I116" s="12">
        <f>IF(AND(ISNUMBER(RU_Clean!I116),ISNUMBER(RU_Clean!I115)),(RU_Clean!I116-RU_Clean!I115)/RU_Clean!I115*100,"")</f>
        <v>-1.96662693682957</v>
      </c>
      <c r="J116" s="12">
        <f>IF(AND(ISNUMBER(RU_Clean!J116),ISNUMBER(RU_Clean!J115)),(RU_Clean!J116-RU_Clean!J115)/RU_Clean!J115*100,"")</f>
        <v>1.04808877928484</v>
      </c>
      <c r="K116" s="12">
        <f>IF(AND(ISNUMBER(RU_Clean!K116),ISNUMBER(RU_Clean!K115)),(RU_Clean!K116-RU_Clean!K115)/RU_Clean!K115*100,"")</f>
        <v>2.51798561151079</v>
      </c>
      <c r="L116" s="12">
        <f>IF(AND(ISNUMBER(RU_Clean!L116),ISNUMBER(RU_Clean!L115)),(RU_Clean!L116-RU_Clean!L115)/RU_Clean!L115*100,"")</f>
        <v>9.51776649746193</v>
      </c>
      <c r="M116" s="12">
        <f>IF(AND(ISNUMBER(RU_Clean!M116),ISNUMBER(RU_Clean!M115)),(RU_Clean!M116-RU_Clean!M115)/RU_Clean!M115*100,"")</f>
        <v>-0.419412822049141</v>
      </c>
      <c r="N116" s="12">
        <f>IF(AND(ISNUMBER(RU_Clean!N116),ISNUMBER(RU_Clean!N115)),(RU_Clean!N116-RU_Clean!N115)/RU_Clean!N115*100,"")</f>
        <v>0.48810250152531</v>
      </c>
      <c r="O116" s="12">
        <f>IF(AND(ISNUMBER(RU_Clean!O116),ISNUMBER(RU_Clean!O115)),(RU_Clean!O116-RU_Clean!O115)/RU_Clean!O115*100,"")</f>
        <v>0.168350168350171</v>
      </c>
      <c r="P116" s="12">
        <f>IF(AND(ISNUMBER(RU_Clean!P116),ISNUMBER(RU_Clean!P115)),(RU_Clean!P116-RU_Clean!P115)/RU_Clean!P115*100,"")</f>
        <v>2.19842164599775</v>
      </c>
      <c r="Q116" s="12">
        <f>IF(AND(ISNUMBER(RU_Clean!Q116),ISNUMBER(RU_Clean!Q115)),(RU_Clean!Q116-RU_Clean!Q115)/RU_Clean!Q115*100,"")</f>
        <v>0.544464609800349</v>
      </c>
      <c r="R116" s="12">
        <f>IF(AND(ISNUMBER(RU_Clean!R116),ISNUMBER(RU_Clean!R115)),(RU_Clean!R116-RU_Clean!R115)/RU_Clean!R115*100,"")</f>
        <v>0.89235917456776</v>
      </c>
      <c r="S116" s="12">
        <f>IF(AND(ISNUMBER(RU_Clean!S116),ISNUMBER(RU_Clean!S115)),(RU_Clean!S116-RU_Clean!S115)/RU_Clean!S115*100,"")</f>
        <v>1.42517814726841</v>
      </c>
      <c r="T116" s="12">
        <f>IF(AND(ISNUMBER(RU_Clean!T116),ISNUMBER(RU_Clean!T115)),(RU_Clean!T116-RU_Clean!T115)/RU_Clean!T115*100,"")</f>
        <v>0.10325245224575</v>
      </c>
      <c r="U116" s="12">
        <f>IF(AND(ISNUMBER(RU_Clean!U116),ISNUMBER(RU_Clean!U115)),(RU_Clean!U116-RU_Clean!U115)/RU_Clean!U115*100,"")</f>
        <v>1.04590354445091</v>
      </c>
      <c r="V116" s="12">
        <f>IF(AND(ISNUMBER(RU_Clean!V116),ISNUMBER(RU_Clean!V115)),(RU_Clean!V116-RU_Clean!V115)/RU_Clean!V115*100,"")</f>
        <v>1.1543134872418</v>
      </c>
      <c r="W116" s="12">
        <f>IF(AND(ISNUMBER(RU_Clean!W116),ISNUMBER(RU_Clean!W115)),(RU_Clean!W116-RU_Clean!W115)/RU_Clean!W115*100,"")</f>
        <v>0.993571011104627</v>
      </c>
      <c r="X116" s="12">
        <f>IF(AND(ISNUMBER(RU_Clean!X116),ISNUMBER(RU_Clean!X115)),(RU_Clean!X116-RU_Clean!X115)/RU_Clean!X115*100,"")</f>
        <v>1.02843315184512</v>
      </c>
      <c r="Y116" s="12">
        <f>IF(AND(ISNUMBER(RU_Clean!Y116),ISNUMBER(RU_Clean!Y115)),(RU_Clean!Y116-RU_Clean!Y115)/RU_Clean!Y115*100,"")</f>
        <v>2.99043062200957</v>
      </c>
      <c r="Z116" s="12">
        <f>IF(AND(ISNUMBER(RU_Clean!Z116),ISNUMBER(RU_Clean!Z115)),(RU_Clean!Z116-RU_Clean!Z115)/RU_Clean!Z115*100,"")</f>
        <v>0.73710073710073</v>
      </c>
      <c r="AA116" s="12">
        <f>IF(AND(ISNUMBER(RU_Clean!AA116),ISNUMBER(RU_Clean!AA115)),(RU_Clean!AA116-RU_Clean!AA115)/RU_Clean!AA115*100,"")</f>
        <v>0.578034682080925</v>
      </c>
      <c r="AB116" s="12">
        <f>IF(AND(ISNUMBER(RU_Clean!AB116),ISNUMBER(RU_Clean!AB115)),(RU_Clean!AB116-RU_Clean!AB115)/RU_Clean!AB115*100,"")</f>
        <v>2.97656744775173</v>
      </c>
      <c r="AC116" s="12">
        <f>IF(AND(ISNUMBER(RU_Clean!AC116),ISNUMBER(RU_Clean!AC115)),(RU_Clean!AC116-RU_Clean!AC115)/RU_Clean!AC115*100,"")</f>
        <v>0.673606858542556</v>
      </c>
      <c r="AD116" s="12">
        <f>IF(AND(ISNUMBER(RU_Clean!AD116),ISNUMBER(RU_Clean!AD115)),(RU_Clean!AD116-RU_Clean!AD115)/RU_Clean!AD115*100,"")</f>
        <v>0.542168674698799</v>
      </c>
      <c r="AE116" s="12">
        <f>IF(AND(ISNUMBER(RU_Clean!AE116),ISNUMBER(RU_Clean!AE115)),(RU_Clean!AE116-RU_Clean!AE115)/RU_Clean!AE115*100,"")</f>
        <v>0.956937799043076</v>
      </c>
      <c r="AF116" s="12">
        <f>IF(AND(ISNUMBER(RU_Clean!AF116),ISNUMBER(RU_Clean!AF115)),(RU_Clean!AF116-RU_Clean!AF115)/RU_Clean!AF115*100,"")</f>
        <v>1.33657351154315</v>
      </c>
      <c r="AG116" s="12">
        <f>IF(AND(ISNUMBER(RU_Clean!AG116),ISNUMBER(RU_Clean!AG115)),(RU_Clean!AG116-RU_Clean!AG115)/RU_Clean!AG115*100,"")</f>
        <v>1.43112701252236</v>
      </c>
      <c r="AH116" s="12">
        <f>IF(AND(ISNUMBER(RU_Clean!AH116),ISNUMBER(RU_Clean!AH115)),(RU_Clean!AH116-RU_Clean!AH115)/RU_Clean!AH115*100,"")</f>
        <v>1.37414426034329</v>
      </c>
    </row>
    <row r="117" spans="1:34">
      <c r="A117" s="6">
        <f>RU_Clean!A117</f>
        <v>2022</v>
      </c>
      <c r="B117" s="6">
        <f>RU_Clean!B117</f>
        <v>5</v>
      </c>
      <c r="C117" s="6" t="str">
        <f>RU_Clean!C117</f>
        <v>May</v>
      </c>
      <c r="D117" s="9">
        <f>RU_Clean!D117</f>
        <v>44682</v>
      </c>
      <c r="E117" s="6"/>
      <c r="F117" s="6"/>
      <c r="G117" s="12">
        <f>IF(AND(ISNUMBER(RU_Clean!G117),ISNUMBER(RU_Clean!G116)),(RU_Clean!G117-RU_Clean!G116)/RU_Clean!G116*100,"")</f>
        <v>0.784826684107252</v>
      </c>
      <c r="H117" s="12">
        <f>IF(AND(ISNUMBER(RU_Clean!H117),ISNUMBER(RU_Clean!H116)),(RU_Clean!H117-RU_Clean!H116)/RU_Clean!H116*100,"")</f>
        <v>2.4551463644948</v>
      </c>
      <c r="I117" s="12">
        <f>IF(AND(ISNUMBER(RU_Clean!I117),ISNUMBER(RU_Clean!I116)),(RU_Clean!I117-RU_Clean!I116)/RU_Clean!I116*100,"")</f>
        <v>-1.27659574468085</v>
      </c>
      <c r="J117" s="12">
        <f>IF(AND(ISNUMBER(RU_Clean!J117),ISNUMBER(RU_Clean!J116)),(RU_Clean!J117-RU_Clean!J116)/RU_Clean!J116*100,"")</f>
        <v>0.61012812690665</v>
      </c>
      <c r="K117" s="12">
        <f>IF(AND(ISNUMBER(RU_Clean!K117),ISNUMBER(RU_Clean!K116)),(RU_Clean!K117-RU_Clean!K116)/RU_Clean!K116*100,"")</f>
        <v>1.45363408521304</v>
      </c>
      <c r="L117" s="12">
        <f>IF(AND(ISNUMBER(RU_Clean!L117),ISNUMBER(RU_Clean!L116)),(RU_Clean!L117-RU_Clean!L116)/RU_Clean!L116*100,"")</f>
        <v>-0.926998841251445</v>
      </c>
      <c r="M117" s="12">
        <f>IF(AND(ISNUMBER(RU_Clean!M117),ISNUMBER(RU_Clean!M116)),(RU_Clean!M117-RU_Clean!M116)/RU_Clean!M116*100,"")</f>
        <v>5.2346570397112</v>
      </c>
      <c r="N117" s="12">
        <f>IF(AND(ISNUMBER(RU_Clean!N117),ISNUMBER(RU_Clean!N116)),(RU_Clean!N117-RU_Clean!N116)/RU_Clean!N116*100,"")</f>
        <v>0</v>
      </c>
      <c r="O117" s="12">
        <f>IF(AND(ISNUMBER(RU_Clean!O117),ISNUMBER(RU_Clean!O116)),(RU_Clean!O117-RU_Clean!O116)/RU_Clean!O116*100,"")</f>
        <v>0.58823529411765</v>
      </c>
      <c r="P117" s="12">
        <f>IF(AND(ISNUMBER(RU_Clean!P117),ISNUMBER(RU_Clean!P116)),(RU_Clean!P117-RU_Clean!P116)/RU_Clean!P116*100,"")</f>
        <v>1.98565912851627</v>
      </c>
      <c r="Q117" s="12">
        <f>IF(AND(ISNUMBER(RU_Clean!Q117),ISNUMBER(RU_Clean!Q116)),(RU_Clean!Q117-RU_Clean!Q116)/RU_Clean!Q116*100,"")</f>
        <v>0.541516245487368</v>
      </c>
      <c r="R117" s="12">
        <f>IF(AND(ISNUMBER(RU_Clean!R117),ISNUMBER(RU_Clean!R116)),(RU_Clean!R117-RU_Clean!R116)/RU_Clean!R116*100,"")</f>
        <v>0.884466556108344</v>
      </c>
      <c r="S117" s="12">
        <f>IF(AND(ISNUMBER(RU_Clean!S117),ISNUMBER(RU_Clean!S116)),(RU_Clean!S117-RU_Clean!S116)/RU_Clean!S116*100,"")</f>
        <v>1.46370023419204</v>
      </c>
      <c r="T117" s="12">
        <f>IF(AND(ISNUMBER(RU_Clean!T117),ISNUMBER(RU_Clean!T116)),(RU_Clean!T117-RU_Clean!T116)/RU_Clean!T116*100,"")</f>
        <v>0.103145951521397</v>
      </c>
      <c r="U117" s="12">
        <f>IF(AND(ISNUMBER(RU_Clean!U117),ISNUMBER(RU_Clean!U116)),(RU_Clean!U117-RU_Clean!U116)/RU_Clean!U116*100,"")</f>
        <v>0.977573317998843</v>
      </c>
      <c r="V117" s="12">
        <f>IF(AND(ISNUMBER(RU_Clean!V117),ISNUMBER(RU_Clean!V116)),(RU_Clean!V117-RU_Clean!V116)/RU_Clean!V116*100,"")</f>
        <v>1.14114114114114</v>
      </c>
      <c r="W117" s="12">
        <f>IF(AND(ISNUMBER(RU_Clean!W117),ISNUMBER(RU_Clean!W116)),(RU_Clean!W117-RU_Clean!W116)/RU_Clean!W116*100,"")</f>
        <v>1.04166666666666</v>
      </c>
      <c r="X117" s="12">
        <f>IF(AND(ISNUMBER(RU_Clean!X117),ISNUMBER(RU_Clean!X116)),(RU_Clean!X117-RU_Clean!X116)/RU_Clean!X116*100,"")</f>
        <v>0.29940119760479</v>
      </c>
      <c r="Y117" s="12">
        <f>IF(AND(ISNUMBER(RU_Clean!Y117),ISNUMBER(RU_Clean!Y116)),(RU_Clean!Y117-RU_Clean!Y116)/RU_Clean!Y116*100,"")</f>
        <v>1.39372822299652</v>
      </c>
      <c r="Z117" s="12">
        <f>IF(AND(ISNUMBER(RU_Clean!Z117),ISNUMBER(RU_Clean!Z116)),(RU_Clean!Z117-RU_Clean!Z116)/RU_Clean!Z116*100,"")</f>
        <v>0.731707317073164</v>
      </c>
      <c r="AA117" s="12">
        <f>IF(AND(ISNUMBER(RU_Clean!AA117),ISNUMBER(RU_Clean!AA116)),(RU_Clean!AA117-RU_Clean!AA116)/RU_Clean!AA116*100,"")</f>
        <v>0.459770114942535</v>
      </c>
      <c r="AB117" s="12">
        <f>IF(AND(ISNUMBER(RU_Clean!AB117),ISNUMBER(RU_Clean!AB116)),(RU_Clean!AB117-RU_Clean!AB116)/RU_Clean!AB116*100,"")</f>
        <v>0.246002460024604</v>
      </c>
      <c r="AC117" s="12">
        <f>IF(AND(ISNUMBER(RU_Clean!AC117),ISNUMBER(RU_Clean!AC116)),(RU_Clean!AC117-RU_Clean!AC116)/RU_Clean!AC116*100,"")</f>
        <v>0.425790754257901</v>
      </c>
      <c r="AD117" s="12">
        <f>IF(AND(ISNUMBER(RU_Clean!AD117),ISNUMBER(RU_Clean!AD116)),(RU_Clean!AD117-RU_Clean!AD116)/RU_Clean!AD116*100,"")</f>
        <v>0.599161174355902</v>
      </c>
      <c r="AE117" s="12">
        <f>IF(AND(ISNUMBER(RU_Clean!AE117),ISNUMBER(RU_Clean!AE116)),(RU_Clean!AE117-RU_Clean!AE116)/RU_Clean!AE116*100,"")</f>
        <v>-0.236966824644553</v>
      </c>
      <c r="AF117" s="12">
        <f>IF(AND(ISNUMBER(RU_Clean!AF117),ISNUMBER(RU_Clean!AF116)),(RU_Clean!AF117-RU_Clean!AF116)/RU_Clean!AF116*100,"")</f>
        <v>0.419664268585125</v>
      </c>
      <c r="AG117" s="12">
        <f>IF(AND(ISNUMBER(RU_Clean!AG117),ISNUMBER(RU_Clean!AG116)),(RU_Clean!AG117-RU_Clean!AG116)/RU_Clean!AG116*100,"")</f>
        <v>0.940623162845382</v>
      </c>
      <c r="AH117" s="12">
        <f>IF(AND(ISNUMBER(RU_Clean!AH117),ISNUMBER(RU_Clean!AH116)),(RU_Clean!AH117-RU_Clean!AH116)/RU_Clean!AH116*100,"")</f>
        <v>1.08147785661855</v>
      </c>
    </row>
    <row r="118" spans="1:34">
      <c r="A118" s="6">
        <f>RU_Clean!A118</f>
        <v>2022</v>
      </c>
      <c r="B118" s="6">
        <f>RU_Clean!B118</f>
        <v>6</v>
      </c>
      <c r="C118" s="6" t="str">
        <f>RU_Clean!C118</f>
        <v>June</v>
      </c>
      <c r="D118" s="9">
        <f>RU_Clean!D118</f>
        <v>44713</v>
      </c>
      <c r="E118" s="6"/>
      <c r="F118" s="6"/>
      <c r="G118" s="12">
        <f>IF(AND(ISNUMBER(RU_Clean!G118),ISNUMBER(RU_Clean!G117)),(RU_Clean!G118-RU_Clean!G117)/RU_Clean!G117*100,"")</f>
        <v>0.584036340038939</v>
      </c>
      <c r="H118" s="12">
        <f>IF(AND(ISNUMBER(RU_Clean!H118),ISNUMBER(RU_Clean!H117)),(RU_Clean!H118-RU_Clean!H117)/RU_Clean!H117*100,"")</f>
        <v>1.10599078341014</v>
      </c>
      <c r="I118" s="12">
        <f>IF(AND(ISNUMBER(RU_Clean!I118),ISNUMBER(RU_Clean!I117)),(RU_Clean!I118-RU_Clean!I117)/RU_Clean!I117*100,"")</f>
        <v>5.17241379310345</v>
      </c>
      <c r="J118" s="12">
        <f>IF(AND(ISNUMBER(RU_Clean!J118),ISNUMBER(RU_Clean!J117)),(RU_Clean!J118-RU_Clean!J117)/RU_Clean!J117*100,"")</f>
        <v>0.545785324439057</v>
      </c>
      <c r="K118" s="12">
        <f>IF(AND(ISNUMBER(RU_Clean!K118),ISNUMBER(RU_Clean!K117)),(RU_Clean!K118-RU_Clean!K117)/RU_Clean!K117*100,"")</f>
        <v>-0.741106719367589</v>
      </c>
      <c r="L118" s="12">
        <f>IF(AND(ISNUMBER(RU_Clean!L118),ISNUMBER(RU_Clean!L117)),(RU_Clean!L118-RU_Clean!L117)/RU_Clean!L117*100,"")</f>
        <v>-0.760233918128662</v>
      </c>
      <c r="M118" s="12">
        <f>IF(AND(ISNUMBER(RU_Clean!M118),ISNUMBER(RU_Clean!M117)),(RU_Clean!M118-RU_Clean!M117)/RU_Clean!M117*100,"")</f>
        <v>4.23098913664952</v>
      </c>
      <c r="N118" s="12">
        <f>IF(AND(ISNUMBER(RU_Clean!N118),ISNUMBER(RU_Clean!N117)),(RU_Clean!N118-RU_Clean!N117)/RU_Clean!N117*100,"")</f>
        <v>-0.242865816636295</v>
      </c>
      <c r="O118" s="12">
        <f>IF(AND(ISNUMBER(RU_Clean!O118),ISNUMBER(RU_Clean!O117)),(RU_Clean!O118-RU_Clean!O117)/RU_Clean!O117*100,"")</f>
        <v>0.167084377610696</v>
      </c>
      <c r="P118" s="12">
        <f>IF(AND(ISNUMBER(RU_Clean!P118),ISNUMBER(RU_Clean!P117)),(RU_Clean!P118-RU_Clean!P117)/RU_Clean!P117*100,"")</f>
        <v>1.18983234180638</v>
      </c>
      <c r="Q118" s="12">
        <f>IF(AND(ISNUMBER(RU_Clean!Q118),ISNUMBER(RU_Clean!Q117)),(RU_Clean!Q118-RU_Clean!Q117)/RU_Clean!Q117*100,"")</f>
        <v>0.478755236385405</v>
      </c>
      <c r="R118" s="12">
        <f>IF(AND(ISNUMBER(RU_Clean!R118),ISNUMBER(RU_Clean!R117)),(RU_Clean!R118-RU_Clean!R117)/RU_Clean!R117*100,"")</f>
        <v>0.767123287671236</v>
      </c>
      <c r="S118" s="12">
        <f>IF(AND(ISNUMBER(RU_Clean!S118),ISNUMBER(RU_Clean!S117)),(RU_Clean!S118-RU_Clean!S117)/RU_Clean!S117*100,"")</f>
        <v>0.923254472013845</v>
      </c>
      <c r="T118" s="12">
        <f>IF(AND(ISNUMBER(RU_Clean!T118),ISNUMBER(RU_Clean!T117)),(RU_Clean!T118-RU_Clean!T117)/RU_Clean!T117*100,"")</f>
        <v>0.103039670273064</v>
      </c>
      <c r="U118" s="12">
        <f>IF(AND(ISNUMBER(RU_Clean!U118),ISNUMBER(RU_Clean!U117)),(RU_Clean!U118-RU_Clean!U117)/RU_Clean!U117*100,"")</f>
        <v>0.854214123006834</v>
      </c>
      <c r="V118" s="12">
        <f>IF(AND(ISNUMBER(RU_Clean!V118),ISNUMBER(RU_Clean!V117)),(RU_Clean!V118-RU_Clean!V117)/RU_Clean!V117*100,"")</f>
        <v>0.890736342042755</v>
      </c>
      <c r="W118" s="12">
        <f>IF(AND(ISNUMBER(RU_Clean!W118),ISNUMBER(RU_Clean!W117)),(RU_Clean!W118-RU_Clean!W117)/RU_Clean!W117*100,"")</f>
        <v>0.80183276059565</v>
      </c>
      <c r="X118" s="12">
        <f>IF(AND(ISNUMBER(RU_Clean!X118),ISNUMBER(RU_Clean!X117)),(RU_Clean!X118-RU_Clean!X117)/RU_Clean!X117*100,"")</f>
        <v>-0.417910447761187</v>
      </c>
      <c r="Y118" s="12">
        <f>IF(AND(ISNUMBER(RU_Clean!Y118),ISNUMBER(RU_Clean!Y117)),(RU_Clean!Y118-RU_Clean!Y117)/RU_Clean!Y117*100,"")</f>
        <v>0.80183276059565</v>
      </c>
      <c r="Z118" s="12">
        <f>IF(AND(ISNUMBER(RU_Clean!Z118),ISNUMBER(RU_Clean!Z117)),(RU_Clean!Z118-RU_Clean!Z117)/RU_Clean!Z117*100,"")</f>
        <v>0.726392251815991</v>
      </c>
      <c r="AA118" s="12">
        <f>IF(AND(ISNUMBER(RU_Clean!AA118),ISNUMBER(RU_Clean!AA117)),(RU_Clean!AA118-RU_Clean!AA117)/RU_Clean!AA117*100,"")</f>
        <v>0.343249427917617</v>
      </c>
      <c r="AB118" s="12">
        <f>IF(AND(ISNUMBER(RU_Clean!AB118),ISNUMBER(RU_Clean!AB117)),(RU_Clean!AB118-RU_Clean!AB117)/RU_Clean!AB117*100,"")</f>
        <v>-1.16564417177914</v>
      </c>
      <c r="AC118" s="12">
        <f>IF(AND(ISNUMBER(RU_Clean!AC118),ISNUMBER(RU_Clean!AC117)),(RU_Clean!AC118-RU_Clean!AC117)/RU_Clean!AC117*100,"")</f>
        <v>0.423985463355552</v>
      </c>
      <c r="AD118" s="12">
        <f>IF(AND(ISNUMBER(RU_Clean!AD118),ISNUMBER(RU_Clean!AD117)),(RU_Clean!AD118-RU_Clean!AD117)/RU_Clean!AD117*100,"")</f>
        <v>0.655151876116733</v>
      </c>
      <c r="AE118" s="12">
        <f>IF(AND(ISNUMBER(RU_Clean!AE118),ISNUMBER(RU_Clean!AE117)),(RU_Clean!AE118-RU_Clean!AE117)/RU_Clean!AE117*100,"")</f>
        <v>0.593824228028504</v>
      </c>
      <c r="AF118" s="12">
        <f>IF(AND(ISNUMBER(RU_Clean!AF118),ISNUMBER(RU_Clean!AF117)),(RU_Clean!AF118-RU_Clean!AF117)/RU_Clean!AF117*100,"")</f>
        <v>0</v>
      </c>
      <c r="AG118" s="12">
        <f>IF(AND(ISNUMBER(RU_Clean!AG118),ISNUMBER(RU_Clean!AG117)),(RU_Clean!AG118-RU_Clean!AG117)/RU_Clean!AG117*100,"")</f>
        <v>0.524170064065233</v>
      </c>
      <c r="AH118" s="12">
        <f>IF(AND(ISNUMBER(RU_Clean!AH118),ISNUMBER(RU_Clean!AH117)),(RU_Clean!AH118-RU_Clean!AH117)/RU_Clean!AH117*100,"")</f>
        <v>1.03601859024011</v>
      </c>
    </row>
    <row r="119" spans="1:34">
      <c r="A119" s="6">
        <f>RU_Clean!A119</f>
        <v>2022</v>
      </c>
      <c r="B119" s="6">
        <f>RU_Clean!B119</f>
        <v>7</v>
      </c>
      <c r="C119" s="6" t="str">
        <f>RU_Clean!C119</f>
        <v>July</v>
      </c>
      <c r="D119" s="9">
        <f>RU_Clean!D119</f>
        <v>44743</v>
      </c>
      <c r="E119" s="6"/>
      <c r="F119" s="6"/>
      <c r="G119" s="12">
        <f>IF(AND(ISNUMBER(RU_Clean!G119),ISNUMBER(RU_Clean!G118)),(RU_Clean!G119-RU_Clean!G118)/RU_Clean!G118*100,"")</f>
        <v>0.967741935483871</v>
      </c>
      <c r="H119" s="12">
        <f>IF(AND(ISNUMBER(RU_Clean!H119),ISNUMBER(RU_Clean!H118)),(RU_Clean!H119-RU_Clean!H118)/RU_Clean!H118*100,"")</f>
        <v>-2.91704649042844</v>
      </c>
      <c r="I119" s="12">
        <f>IF(AND(ISNUMBER(RU_Clean!I119),ISNUMBER(RU_Clean!I118)),(RU_Clean!I119-RU_Clean!I118)/RU_Clean!I118*100,"")</f>
        <v>2.57611241217797</v>
      </c>
      <c r="J119" s="12">
        <f>IF(AND(ISNUMBER(RU_Clean!J119),ISNUMBER(RU_Clean!J118)),(RU_Clean!J119-RU_Clean!J118)/RU_Clean!J118*100,"")</f>
        <v>0.482509047044622</v>
      </c>
      <c r="K119" s="12">
        <f>IF(AND(ISNUMBER(RU_Clean!K119),ISNUMBER(RU_Clean!K118)),(RU_Clean!K119-RU_Clean!K118)/RU_Clean!K118*100,"")</f>
        <v>-2.53857640617222</v>
      </c>
      <c r="L119" s="12">
        <f>IF(AND(ISNUMBER(RU_Clean!L119),ISNUMBER(RU_Clean!L118)),(RU_Clean!L119-RU_Clean!L118)/RU_Clean!L118*100,"")</f>
        <v>2.65173836181497</v>
      </c>
      <c r="M119" s="12">
        <f>IF(AND(ISNUMBER(RU_Clean!M119),ISNUMBER(RU_Clean!M118)),(RU_Clean!M119-RU_Clean!M118)/RU_Clean!M118*100,"")</f>
        <v>-0.109709270433361</v>
      </c>
      <c r="N119" s="12">
        <f>IF(AND(ISNUMBER(RU_Clean!N119),ISNUMBER(RU_Clean!N118)),(RU_Clean!N119-RU_Clean!N118)/RU_Clean!N118*100,"")</f>
        <v>0</v>
      </c>
      <c r="O119" s="12">
        <f>IF(AND(ISNUMBER(RU_Clean!O119),ISNUMBER(RU_Clean!O118)),(RU_Clean!O119-RU_Clean!O118)/RU_Clean!O118*100,"")</f>
        <v>0.0834028356964089</v>
      </c>
      <c r="P119" s="12">
        <f>IF(AND(ISNUMBER(RU_Clean!P119),ISNUMBER(RU_Clean!P118)),(RU_Clean!P119-RU_Clean!P118)/RU_Clean!P118*100,"")</f>
        <v>1.54997327632283</v>
      </c>
      <c r="Q119" s="12">
        <f>IF(AND(ISNUMBER(RU_Clean!Q119),ISNUMBER(RU_Clean!Q118)),(RU_Clean!Q119-RU_Clean!Q118)/RU_Clean!Q118*100,"")</f>
        <v>0.297796307325789</v>
      </c>
      <c r="R119" s="12">
        <f>IF(AND(ISNUMBER(RU_Clean!R119),ISNUMBER(RU_Clean!R118)),(RU_Clean!R119-RU_Clean!R118)/RU_Clean!R118*100,"")</f>
        <v>0.706905927134303</v>
      </c>
      <c r="S119" s="12">
        <f>IF(AND(ISNUMBER(RU_Clean!S119),ISNUMBER(RU_Clean!S118)),(RU_Clean!S119-RU_Clean!S118)/RU_Clean!S118*100,"")</f>
        <v>0.0571755288736388</v>
      </c>
      <c r="T119" s="12">
        <f>IF(AND(ISNUMBER(RU_Clean!T119),ISNUMBER(RU_Clean!T118)),(RU_Clean!T119-RU_Clean!T118)/RU_Clean!T118*100,"")</f>
        <v>0.154400411734423</v>
      </c>
      <c r="U119" s="12">
        <f>IF(AND(ISNUMBER(RU_Clean!U119),ISNUMBER(RU_Clean!U118)),(RU_Clean!U119-RU_Clean!U118)/RU_Clean!U118*100,"")</f>
        <v>0.677583286278948</v>
      </c>
      <c r="V119" s="12">
        <f>IF(AND(ISNUMBER(RU_Clean!V119),ISNUMBER(RU_Clean!V118)),(RU_Clean!V119-RU_Clean!V118)/RU_Clean!V118*100,"")</f>
        <v>0.824014125956448</v>
      </c>
      <c r="W119" s="12">
        <f>IF(AND(ISNUMBER(RU_Clean!W119),ISNUMBER(RU_Clean!W118)),(RU_Clean!W119-RU_Clean!W118)/RU_Clean!W118*100,"")</f>
        <v>0.73863636363637</v>
      </c>
      <c r="X119" s="12">
        <f>IF(AND(ISNUMBER(RU_Clean!X119),ISNUMBER(RU_Clean!X118)),(RU_Clean!X119-RU_Clean!X118)/RU_Clean!X118*100,"")</f>
        <v>0.599520383693046</v>
      </c>
      <c r="Y119" s="12">
        <f>IF(AND(ISNUMBER(RU_Clean!Y119),ISNUMBER(RU_Clean!Y118)),(RU_Clean!Y119-RU_Clean!Y118)/RU_Clean!Y118*100,"")</f>
        <v>2.04545454545454</v>
      </c>
      <c r="Z119" s="12">
        <f>IF(AND(ISNUMBER(RU_Clean!Z119),ISNUMBER(RU_Clean!Z118)),(RU_Clean!Z119-RU_Clean!Z118)/RU_Clean!Z118*100,"")</f>
        <v>0.600961538461538</v>
      </c>
      <c r="AA119" s="12">
        <f>IF(AND(ISNUMBER(RU_Clean!AA119),ISNUMBER(RU_Clean!AA118)),(RU_Clean!AA119-RU_Clean!AA118)/RU_Clean!AA118*100,"")</f>
        <v>0.399087799315843</v>
      </c>
      <c r="AB119" s="12">
        <f>IF(AND(ISNUMBER(RU_Clean!AB119),ISNUMBER(RU_Clean!AB118)),(RU_Clean!AB119-RU_Clean!AB118)/RU_Clean!AB118*100,"")</f>
        <v>0.310366232153942</v>
      </c>
      <c r="AC119" s="12">
        <f>IF(AND(ISNUMBER(RU_Clean!AC119),ISNUMBER(RU_Clean!AC118)),(RU_Clean!AC119-RU_Clean!AC118)/RU_Clean!AC118*100,"")</f>
        <v>0.301568154402895</v>
      </c>
      <c r="AD119" s="12">
        <f>IF(AND(ISNUMBER(RU_Clean!AD119),ISNUMBER(RU_Clean!AD118)),(RU_Clean!AD119-RU_Clean!AD118)/RU_Clean!AD118*100,"")</f>
        <v>1.42011834319527</v>
      </c>
      <c r="AE119" s="12">
        <f>IF(AND(ISNUMBER(RU_Clean!AE119),ISNUMBER(RU_Clean!AE118)),(RU_Clean!AE119-RU_Clean!AE118)/RU_Clean!AE118*100,"")</f>
        <v>0.177095631641076</v>
      </c>
      <c r="AF119" s="12">
        <f>IF(AND(ISNUMBER(RU_Clean!AF119),ISNUMBER(RU_Clean!AF118)),(RU_Clean!AF119-RU_Clean!AF118)/RU_Clean!AF118*100,"")</f>
        <v>0.537313432835824</v>
      </c>
      <c r="AG119" s="12">
        <f>IF(AND(ISNUMBER(RU_Clean!AG119),ISNUMBER(RU_Clean!AG118)),(RU_Clean!AG119-RU_Clean!AG118)/RU_Clean!AG118*100,"")</f>
        <v>0.463499420625731</v>
      </c>
      <c r="AH119" s="12">
        <f>IF(AND(ISNUMBER(RU_Clean!AH119),ISNUMBER(RU_Clean!AH118)),(RU_Clean!AH119-RU_Clean!AH118)/RU_Clean!AH118*100,"")</f>
        <v>0.206037374221379</v>
      </c>
    </row>
    <row r="120" spans="1:34">
      <c r="A120" s="6">
        <f>RU_Clean!A120</f>
        <v>2022</v>
      </c>
      <c r="B120" s="6">
        <f>RU_Clean!B120</f>
        <v>8</v>
      </c>
      <c r="C120" s="6" t="str">
        <f>RU_Clean!C120</f>
        <v>August</v>
      </c>
      <c r="D120" s="9">
        <f>RU_Clean!D120</f>
        <v>44774</v>
      </c>
      <c r="E120" s="6"/>
      <c r="F120" s="6"/>
      <c r="G120" s="12">
        <f>IF(AND(ISNUMBER(RU_Clean!G120),ISNUMBER(RU_Clean!G119)),(RU_Clean!G120-RU_Clean!G119)/RU_Clean!G119*100,"")</f>
        <v>2.42811501597445</v>
      </c>
      <c r="H120" s="12">
        <f>IF(AND(ISNUMBER(RU_Clean!H120),ISNUMBER(RU_Clean!H119)),(RU_Clean!H120-RU_Clean!H119)/RU_Clean!H119*100,"")</f>
        <v>-3.05164319248826</v>
      </c>
      <c r="I120" s="12">
        <f>IF(AND(ISNUMBER(RU_Clean!I120),ISNUMBER(RU_Clean!I119)),(RU_Clean!I120-RU_Clean!I119)/RU_Clean!I119*100,"")</f>
        <v>-3.42465753424658</v>
      </c>
      <c r="J120" s="12">
        <f>IF(AND(ISNUMBER(RU_Clean!J120),ISNUMBER(RU_Clean!J119)),(RU_Clean!J120-RU_Clean!J119)/RU_Clean!J119*100,"")</f>
        <v>0.900360144057623</v>
      </c>
      <c r="K120" s="12">
        <f>IF(AND(ISNUMBER(RU_Clean!K120),ISNUMBER(RU_Clean!K119)),(RU_Clean!K120-RU_Clean!K119)/RU_Clean!K119*100,"")</f>
        <v>-1.7364657814096</v>
      </c>
      <c r="L120" s="12">
        <f>IF(AND(ISNUMBER(RU_Clean!L120),ISNUMBER(RU_Clean!L119)),(RU_Clean!L120-RU_Clean!L119)/RU_Clean!L119*100,"")</f>
        <v>-0.746268656716408</v>
      </c>
      <c r="M120" s="12">
        <f>IF(AND(ISNUMBER(RU_Clean!M120),ISNUMBER(RU_Clean!M119)),(RU_Clean!M120-RU_Clean!M119)/RU_Clean!M119*100,"")</f>
        <v>2.52608456891817</v>
      </c>
      <c r="N120" s="12">
        <f>IF(AND(ISNUMBER(RU_Clean!N120),ISNUMBER(RU_Clean!N119)),(RU_Clean!N120-RU_Clean!N119)/RU_Clean!N119*100,"")</f>
        <v>1.76506390748629</v>
      </c>
      <c r="O120" s="12">
        <f>IF(AND(ISNUMBER(RU_Clean!O120),ISNUMBER(RU_Clean!O119)),(RU_Clean!O120-RU_Clean!O119)/RU_Clean!O119*100,"")</f>
        <v>0.750000000000005</v>
      </c>
      <c r="P120" s="12">
        <f>IF(AND(ISNUMBER(RU_Clean!P120),ISNUMBER(RU_Clean!P119)),(RU_Clean!P120-RU_Clean!P119)/RU_Clean!P119*100,"")</f>
        <v>1.89473684210526</v>
      </c>
      <c r="Q120" s="12">
        <f>IF(AND(ISNUMBER(RU_Clean!Q120),ISNUMBER(RU_Clean!Q119)),(RU_Clean!Q120-RU_Clean!Q119)/RU_Clean!Q119*100,"")</f>
        <v>0.237529691211405</v>
      </c>
      <c r="R120" s="12">
        <f>IF(AND(ISNUMBER(RU_Clean!R120),ISNUMBER(RU_Clean!R119)),(RU_Clean!R120-RU_Clean!R119)/RU_Clean!R119*100,"")</f>
        <v>0.593952483801308</v>
      </c>
      <c r="S120" s="12">
        <f>IF(AND(ISNUMBER(RU_Clean!S120),ISNUMBER(RU_Clean!S119)),(RU_Clean!S120-RU_Clean!S119)/RU_Clean!S119*100,"")</f>
        <v>0.742857142857149</v>
      </c>
      <c r="T120" s="12">
        <f>IF(AND(ISNUMBER(RU_Clean!T120),ISNUMBER(RU_Clean!T119)),(RU_Clean!T120-RU_Clean!T119)/RU_Clean!T119*100,"")</f>
        <v>0.205549845837619</v>
      </c>
      <c r="U120" s="12">
        <f>IF(AND(ISNUMBER(RU_Clean!U120),ISNUMBER(RU_Clean!U119)),(RU_Clean!U120-RU_Clean!U119)/RU_Clean!U119*100,"")</f>
        <v>0.673022994952321</v>
      </c>
      <c r="V120" s="12">
        <f>IF(AND(ISNUMBER(RU_Clean!V120),ISNUMBER(RU_Clean!V119)),(RU_Clean!V120-RU_Clean!V119)/RU_Clean!V119*100,"")</f>
        <v>0.817279626386443</v>
      </c>
      <c r="W120" s="12">
        <f>IF(AND(ISNUMBER(RU_Clean!W120),ISNUMBER(RU_Clean!W119)),(RU_Clean!W120-RU_Clean!W119)/RU_Clean!W119*100,"")</f>
        <v>0.67681895093062</v>
      </c>
      <c r="X120" s="12">
        <f>IF(AND(ISNUMBER(RU_Clean!X120),ISNUMBER(RU_Clean!X119)),(RU_Clean!X120-RU_Clean!X119)/RU_Clean!X119*100,"")</f>
        <v>0.715137067938015</v>
      </c>
      <c r="Y120" s="12">
        <f>IF(AND(ISNUMBER(RU_Clean!Y120),ISNUMBER(RU_Clean!Y119)),(RU_Clean!Y120-RU_Clean!Y119)/RU_Clean!Y119*100,"")</f>
        <v>-0.44543429844097</v>
      </c>
      <c r="Z120" s="12">
        <f>IF(AND(ISNUMBER(RU_Clean!Z120),ISNUMBER(RU_Clean!Z119)),(RU_Clean!Z120-RU_Clean!Z119)/RU_Clean!Z119*100,"")</f>
        <v>0.657108721624847</v>
      </c>
      <c r="AA120" s="12">
        <f>IF(AND(ISNUMBER(RU_Clean!AA120),ISNUMBER(RU_Clean!AA119)),(RU_Clean!AA120-RU_Clean!AA119)/RU_Clean!AA119*100,"")</f>
        <v>0.397501419647937</v>
      </c>
      <c r="AB120" s="12">
        <f>IF(AND(ISNUMBER(RU_Clean!AB120),ISNUMBER(RU_Clean!AB119)),(RU_Clean!AB120-RU_Clean!AB119)/RU_Clean!AB119*100,"")</f>
        <v>0.185643564356443</v>
      </c>
      <c r="AC120" s="12">
        <f>IF(AND(ISNUMBER(RU_Clean!AC120),ISNUMBER(RU_Clean!AC119)),(RU_Clean!AC120-RU_Clean!AC119)/RU_Clean!AC119*100,"")</f>
        <v>0.360793746241728</v>
      </c>
      <c r="AD120" s="12">
        <f>IF(AND(ISNUMBER(RU_Clean!AD120),ISNUMBER(RU_Clean!AD119)),(RU_Clean!AD120-RU_Clean!AD119)/RU_Clean!AD119*100,"")</f>
        <v>0.525087514585768</v>
      </c>
      <c r="AE120" s="12">
        <f>IF(AND(ISNUMBER(RU_Clean!AE120),ISNUMBER(RU_Clean!AE119)),(RU_Clean!AE120-RU_Clean!AE119)/RU_Clean!AE119*100,"")</f>
        <v>0.883912787271656</v>
      </c>
      <c r="AF120" s="12">
        <f>IF(AND(ISNUMBER(RU_Clean!AF120),ISNUMBER(RU_Clean!AF119)),(RU_Clean!AF120-RU_Clean!AF119)/RU_Clean!AF119*100,"")</f>
        <v>0.415676959619946</v>
      </c>
      <c r="AG120" s="12">
        <f>IF(AND(ISNUMBER(RU_Clean!AG120),ISNUMBER(RU_Clean!AG119)),(RU_Clean!AG120-RU_Clean!AG119)/RU_Clean!AG119*100,"")</f>
        <v>0.519031141868515</v>
      </c>
      <c r="AH120" s="12">
        <f>IF(AND(ISNUMBER(RU_Clean!AH120),ISNUMBER(RU_Clean!AH119)),(RU_Clean!AH120-RU_Clean!AH119)/RU_Clean!AH119*100,"")</f>
        <v>0.0765074355663898</v>
      </c>
    </row>
    <row r="121" spans="1:34">
      <c r="A121" s="6">
        <f>RU_Clean!A121</f>
        <v>2022</v>
      </c>
      <c r="B121" s="6">
        <f>RU_Clean!B121</f>
        <v>9</v>
      </c>
      <c r="C121" s="6" t="str">
        <f>RU_Clean!C121</f>
        <v>September</v>
      </c>
      <c r="D121" s="9">
        <f>RU_Clean!D121</f>
        <v>44805</v>
      </c>
      <c r="E121" s="6"/>
      <c r="F121" s="6"/>
      <c r="G121" s="12">
        <f>IF(AND(ISNUMBER(RU_Clean!G121),ISNUMBER(RU_Clean!G120)),(RU_Clean!G121-RU_Clean!G120)/RU_Clean!G120*100,"")</f>
        <v>1.99625701809107</v>
      </c>
      <c r="H121" s="12">
        <f>IF(AND(ISNUMBER(RU_Clean!H121),ISNUMBER(RU_Clean!H120)),(RU_Clean!H121-RU_Clean!H120)/RU_Clean!H120*100,"")</f>
        <v>1.30750605326876</v>
      </c>
      <c r="I121" s="12">
        <f>IF(AND(ISNUMBER(RU_Clean!I121),ISNUMBER(RU_Clean!I120)),(RU_Clean!I121-RU_Clean!I120)/RU_Clean!I120*100,"")</f>
        <v>0.295508274231679</v>
      </c>
      <c r="J121" s="12">
        <f>IF(AND(ISNUMBER(RU_Clean!J121),ISNUMBER(RU_Clean!J120)),(RU_Clean!J121-RU_Clean!J120)/RU_Clean!J120*100,"")</f>
        <v>0.951814396192739</v>
      </c>
      <c r="K121" s="12">
        <f>IF(AND(ISNUMBER(RU_Clean!K121),ISNUMBER(RU_Clean!K120)),(RU_Clean!K121-RU_Clean!K120)/RU_Clean!K120*100,"")</f>
        <v>-1.92307692307693</v>
      </c>
      <c r="L121" s="12">
        <f>IF(AND(ISNUMBER(RU_Clean!L121),ISNUMBER(RU_Clean!L120)),(RU_Clean!L121-RU_Clean!L120)/RU_Clean!L120*100,"")</f>
        <v>-4.16425679583575</v>
      </c>
      <c r="M121" s="12">
        <f>IF(AND(ISNUMBER(RU_Clean!M121),ISNUMBER(RU_Clean!M120)),(RU_Clean!M121-RU_Clean!M120)/RU_Clean!M120*100,"")</f>
        <v>2.73165506159616</v>
      </c>
      <c r="N121" s="12">
        <f>IF(AND(ISNUMBER(RU_Clean!N121),ISNUMBER(RU_Clean!N120)),(RU_Clean!N121-RU_Clean!N120)/RU_Clean!N120*100,"")</f>
        <v>1.13636363636364</v>
      </c>
      <c r="O121" s="12">
        <f>IF(AND(ISNUMBER(RU_Clean!O121),ISNUMBER(RU_Clean!O120)),(RU_Clean!O121-RU_Clean!O120)/RU_Clean!O120*100,"")</f>
        <v>0.578990901571537</v>
      </c>
      <c r="P121" s="12">
        <f>IF(AND(ISNUMBER(RU_Clean!P121),ISNUMBER(RU_Clean!P120)),(RU_Clean!P121-RU_Clean!P120)/RU_Clean!P120*100,"")</f>
        <v>1.9111570247934</v>
      </c>
      <c r="Q121" s="12">
        <f>IF(AND(ISNUMBER(RU_Clean!Q121),ISNUMBER(RU_Clean!Q120)),(RU_Clean!Q121-RU_Clean!Q120)/RU_Clean!Q120*100,"")</f>
        <v>0.355450236966821</v>
      </c>
      <c r="R121" s="12">
        <f>IF(AND(ISNUMBER(RU_Clean!R121),ISNUMBER(RU_Clean!R120)),(RU_Clean!R121-RU_Clean!R120)/RU_Clean!R120*100,"")</f>
        <v>0.590445517981747</v>
      </c>
      <c r="S121" s="12">
        <f>IF(AND(ISNUMBER(RU_Clean!S121),ISNUMBER(RU_Clean!S120)),(RU_Clean!S121-RU_Clean!S120)/RU_Clean!S120*100,"")</f>
        <v>0.850822461712989</v>
      </c>
      <c r="T121" s="12">
        <f>IF(AND(ISNUMBER(RU_Clean!T121),ISNUMBER(RU_Clean!T120)),(RU_Clean!T121-RU_Clean!T120)/RU_Clean!T120*100,"")</f>
        <v>0.461538461538464</v>
      </c>
      <c r="U121" s="12">
        <f>IF(AND(ISNUMBER(RU_Clean!U121),ISNUMBER(RU_Clean!U120)),(RU_Clean!U121-RU_Clean!U120)/RU_Clean!U120*100,"")</f>
        <v>0.779944289693597</v>
      </c>
      <c r="V121" s="12">
        <f>IF(AND(ISNUMBER(RU_Clean!V121),ISNUMBER(RU_Clean!V120)),(RU_Clean!V121-RU_Clean!V120)/RU_Clean!V120*100,"")</f>
        <v>0.926462072958901</v>
      </c>
      <c r="W121" s="12">
        <f>IF(AND(ISNUMBER(RU_Clean!W121),ISNUMBER(RU_Clean!W120)),(RU_Clean!W121-RU_Clean!W120)/RU_Clean!W120*100,"")</f>
        <v>0.784313725490199</v>
      </c>
      <c r="X121" s="12">
        <f>IF(AND(ISNUMBER(RU_Clean!X121),ISNUMBER(RU_Clean!X120)),(RU_Clean!X121-RU_Clean!X120)/RU_Clean!X120*100,"")</f>
        <v>0.29585798816568</v>
      </c>
      <c r="Y121" s="12">
        <f>IF(AND(ISNUMBER(RU_Clean!Y121),ISNUMBER(RU_Clean!Y120)),(RU_Clean!Y121-RU_Clean!Y120)/RU_Clean!Y120*100,"")</f>
        <v>0.391498881431761</v>
      </c>
      <c r="Z121" s="12">
        <f>IF(AND(ISNUMBER(RU_Clean!Z121),ISNUMBER(RU_Clean!Z120)),(RU_Clean!Z121-RU_Clean!Z120)/RU_Clean!Z120*100,"")</f>
        <v>0.593471810089021</v>
      </c>
      <c r="AA121" s="12">
        <f>IF(AND(ISNUMBER(RU_Clean!AA121),ISNUMBER(RU_Clean!AA120)),(RU_Clean!AA121-RU_Clean!AA120)/RU_Clean!AA120*100,"")</f>
        <v>0.565610859728507</v>
      </c>
      <c r="AB121" s="12">
        <f>IF(AND(ISNUMBER(RU_Clean!AB121),ISNUMBER(RU_Clean!AB120)),(RU_Clean!AB121-RU_Clean!AB120)/RU_Clean!AB120*100,"")</f>
        <v>0.247066090179126</v>
      </c>
      <c r="AC121" s="12">
        <f>IF(AND(ISNUMBER(RU_Clean!AC121),ISNUMBER(RU_Clean!AC120)),(RU_Clean!AC121-RU_Clean!AC120)/RU_Clean!AC120*100,"")</f>
        <v>0.419412822049124</v>
      </c>
      <c r="AD121" s="12">
        <f>IF(AND(ISNUMBER(RU_Clean!AD121),ISNUMBER(RU_Clean!AD120)),(RU_Clean!AD121-RU_Clean!AD120)/RU_Clean!AD120*100,"")</f>
        <v>0.464306442251876</v>
      </c>
      <c r="AE121" s="12">
        <f>IF(AND(ISNUMBER(RU_Clean!AE121),ISNUMBER(RU_Clean!AE120)),(RU_Clean!AE121-RU_Clean!AE120)/RU_Clean!AE120*100,"")</f>
        <v>-0.175233644859803</v>
      </c>
      <c r="AF121" s="12">
        <f>IF(AND(ISNUMBER(RU_Clean!AF121),ISNUMBER(RU_Clean!AF120)),(RU_Clean!AF121-RU_Clean!AF120)/RU_Clean!AF120*100,"")</f>
        <v>0.354819633353042</v>
      </c>
      <c r="AG121" s="12">
        <f>IF(AND(ISNUMBER(RU_Clean!AG121),ISNUMBER(RU_Clean!AG120)),(RU_Clean!AG121-RU_Clean!AG120)/RU_Clean!AG120*100,"")</f>
        <v>0.57372346528973</v>
      </c>
      <c r="AH121" s="12">
        <f>IF(AND(ISNUMBER(RU_Clean!AH121),ISNUMBER(RU_Clean!AH120)),(RU_Clean!AH121-RU_Clean!AH120)/RU_Clean!AH120*100,"")</f>
        <v>0.487362033541967</v>
      </c>
    </row>
    <row r="122" spans="1:34">
      <c r="A122" s="6">
        <f>RU_Clean!A122</f>
        <v>2022</v>
      </c>
      <c r="B122" s="6">
        <f>RU_Clean!B122</f>
        <v>10</v>
      </c>
      <c r="C122" s="6" t="str">
        <f>RU_Clean!C122</f>
        <v>October</v>
      </c>
      <c r="D122" s="9">
        <f>RU_Clean!D122</f>
        <v>44835</v>
      </c>
      <c r="E122" s="6"/>
      <c r="F122" s="6"/>
      <c r="G122" s="12">
        <f>IF(AND(ISNUMBER(RU_Clean!G122),ISNUMBER(RU_Clean!G121)),(RU_Clean!G122-RU_Clean!G121)/RU_Clean!G121*100,"")</f>
        <v>1.03975535168195</v>
      </c>
      <c r="H122" s="12">
        <f>IF(AND(ISNUMBER(RU_Clean!H122),ISNUMBER(RU_Clean!H121)),(RU_Clean!H122-RU_Clean!H121)/RU_Clean!H121*100,"")</f>
        <v>0.812619502868077</v>
      </c>
      <c r="I122" s="12">
        <f>IF(AND(ISNUMBER(RU_Clean!I122),ISNUMBER(RU_Clean!I121)),(RU_Clean!I122-RU_Clean!I121)/RU_Clean!I121*100,"")</f>
        <v>0.707130229817335</v>
      </c>
      <c r="J122" s="12">
        <f>IF(AND(ISNUMBER(RU_Clean!J122),ISNUMBER(RU_Clean!J121)),(RU_Clean!J122-RU_Clean!J121)/RU_Clean!J121*100,"")</f>
        <v>0.707130229817335</v>
      </c>
      <c r="K122" s="12">
        <f>IF(AND(ISNUMBER(RU_Clean!K122),ISNUMBER(RU_Clean!K121)),(RU_Clean!K122-RU_Clean!K121)/RU_Clean!K121*100,"")</f>
        <v>-1.16587175410704</v>
      </c>
      <c r="L122" s="12">
        <f>IF(AND(ISNUMBER(RU_Clean!L122),ISNUMBER(RU_Clean!L121)),(RU_Clean!L122-RU_Clean!L121)/RU_Clean!L121*100,"")</f>
        <v>-1.14665057332527</v>
      </c>
      <c r="M122" s="12">
        <f>IF(AND(ISNUMBER(RU_Clean!M122),ISNUMBER(RU_Clean!M121)),(RU_Clean!M122-RU_Clean!M121)/RU_Clean!M121*100,"")</f>
        <v>4.11887382690301</v>
      </c>
      <c r="N122" s="12">
        <f>IF(AND(ISNUMBER(RU_Clean!N122),ISNUMBER(RU_Clean!N121)),(RU_Clean!N122-RU_Clean!N121)/RU_Clean!N121*100,"")</f>
        <v>0.413956238911897</v>
      </c>
      <c r="O122" s="12">
        <f>IF(AND(ISNUMBER(RU_Clean!O122),ISNUMBER(RU_Clean!O121)),(RU_Clean!O122-RU_Clean!O121)/RU_Clean!O121*100,"")</f>
        <v>0.246710526315799</v>
      </c>
      <c r="P122" s="12">
        <f>IF(AND(ISNUMBER(RU_Clean!P122),ISNUMBER(RU_Clean!P121)),(RU_Clean!P122-RU_Clean!P121)/RU_Clean!P121*100,"")</f>
        <v>1.31779016725798</v>
      </c>
      <c r="Q122" s="12">
        <f>IF(AND(ISNUMBER(RU_Clean!Q122),ISNUMBER(RU_Clean!Q121)),(RU_Clean!Q122-RU_Clean!Q121)/RU_Clean!Q121*100,"")</f>
        <v>0.295159386068477</v>
      </c>
      <c r="R122" s="12">
        <f>IF(AND(ISNUMBER(RU_Clean!R122),ISNUMBER(RU_Clean!R121)),(RU_Clean!R122-RU_Clean!R121)/RU_Clean!R121*100,"")</f>
        <v>0.480256136606193</v>
      </c>
      <c r="S122" s="12">
        <f>IF(AND(ISNUMBER(RU_Clean!S122),ISNUMBER(RU_Clean!S121)),(RU_Clean!S122-RU_Clean!S121)/RU_Clean!S121*100,"")</f>
        <v>1.01237345331833</v>
      </c>
      <c r="T122" s="12">
        <f>IF(AND(ISNUMBER(RU_Clean!T122),ISNUMBER(RU_Clean!T121)),(RU_Clean!T122-RU_Clean!T121)/RU_Clean!T121*100,"")</f>
        <v>0.204185809086271</v>
      </c>
      <c r="U122" s="12">
        <f>IF(AND(ISNUMBER(RU_Clean!U122),ISNUMBER(RU_Clean!U121)),(RU_Clean!U122-RU_Clean!U121)/RU_Clean!U121*100,"")</f>
        <v>0.552791597567717</v>
      </c>
      <c r="V122" s="12">
        <f>IF(AND(ISNUMBER(RU_Clean!V122),ISNUMBER(RU_Clean!V121)),(RU_Clean!V122-RU_Clean!V121)/RU_Clean!V121*100,"")</f>
        <v>0.57372346528973</v>
      </c>
      <c r="W122" s="12">
        <f>IF(AND(ISNUMBER(RU_Clean!W122),ISNUMBER(RU_Clean!W121)),(RU_Clean!W122-RU_Clean!W121)/RU_Clean!W121*100,"")</f>
        <v>0.611450806003332</v>
      </c>
      <c r="X122" s="12">
        <f>IF(AND(ISNUMBER(RU_Clean!X122),ISNUMBER(RU_Clean!X121)),(RU_Clean!X122-RU_Clean!X121)/RU_Clean!X121*100,"")</f>
        <v>1.00294985250737</v>
      </c>
      <c r="Y122" s="12">
        <f>IF(AND(ISNUMBER(RU_Clean!Y122),ISNUMBER(RU_Clean!Y121)),(RU_Clean!Y122-RU_Clean!Y121)/RU_Clean!Y121*100,"")</f>
        <v>0.557103064066852</v>
      </c>
      <c r="Z122" s="12">
        <f>IF(AND(ISNUMBER(RU_Clean!Z122),ISNUMBER(RU_Clean!Z121)),(RU_Clean!Z122-RU_Clean!Z121)/RU_Clean!Z121*100,"")</f>
        <v>0.530973451327437</v>
      </c>
      <c r="AA122" s="12">
        <f>IF(AND(ISNUMBER(RU_Clean!AA122),ISNUMBER(RU_Clean!AA121)),(RU_Clean!AA122-RU_Clean!AA121)/RU_Clean!AA121*100,"")</f>
        <v>0.506186726659155</v>
      </c>
      <c r="AB122" s="12">
        <f>IF(AND(ISNUMBER(RU_Clean!AB122),ISNUMBER(RU_Clean!AB121)),(RU_Clean!AB122-RU_Clean!AB121)/RU_Clean!AB121*100,"")</f>
        <v>0.369685767097963</v>
      </c>
      <c r="AC122" s="12">
        <f>IF(AND(ISNUMBER(RU_Clean!AC122),ISNUMBER(RU_Clean!AC121)),(RU_Clean!AC122-RU_Clean!AC121)/RU_Clean!AC121*100,"")</f>
        <v>0.357995226730307</v>
      </c>
      <c r="AD122" s="12">
        <f>IF(AND(ISNUMBER(RU_Clean!AD122),ISNUMBER(RU_Clean!AD121)),(RU_Clean!AD122-RU_Clean!AD121)/RU_Clean!AD121*100,"")</f>
        <v>0.173310225303299</v>
      </c>
      <c r="AE122" s="12">
        <f>IF(AND(ISNUMBER(RU_Clean!AE122),ISNUMBER(RU_Clean!AE121)),(RU_Clean!AE122-RU_Clean!AE121)/RU_Clean!AE121*100,"")</f>
        <v>0.702165008777056</v>
      </c>
      <c r="AF122" s="12">
        <f>IF(AND(ISNUMBER(RU_Clean!AF122),ISNUMBER(RU_Clean!AF121)),(RU_Clean!AF122-RU_Clean!AF121)/RU_Clean!AF121*100,"")</f>
        <v>0.471420153211557</v>
      </c>
      <c r="AG122" s="12">
        <f>IF(AND(ISNUMBER(RU_Clean!AG122),ISNUMBER(RU_Clean!AG121)),(RU_Clean!AG122-RU_Clean!AG121)/RU_Clean!AG121*100,"")</f>
        <v>0.798630918425543</v>
      </c>
      <c r="AH122" s="12">
        <f>IF(AND(ISNUMBER(RU_Clean!AH122),ISNUMBER(RU_Clean!AH121)),(RU_Clean!AH122-RU_Clean!AH121)/RU_Clean!AH121*100,"")</f>
        <v>0.694213304170052</v>
      </c>
    </row>
    <row r="123" spans="1:34">
      <c r="A123" s="6">
        <f>RU_Clean!A123</f>
        <v>2022</v>
      </c>
      <c r="B123" s="6">
        <f>RU_Clean!B123</f>
        <v>11</v>
      </c>
      <c r="C123" s="6" t="str">
        <f>RU_Clean!C123</f>
        <v>November</v>
      </c>
      <c r="D123" s="9">
        <f>RU_Clean!D123</f>
        <v>44866</v>
      </c>
      <c r="E123" s="6"/>
      <c r="F123" s="6"/>
      <c r="G123" s="12">
        <f>IF(AND(ISNUMBER(RU_Clean!G123),ISNUMBER(RU_Clean!G122)),(RU_Clean!G123-RU_Clean!G122)/RU_Clean!G122*100,"")</f>
        <v>1.33171912832931</v>
      </c>
      <c r="H123" s="12">
        <f>IF(AND(ISNUMBER(RU_Clean!H123),ISNUMBER(RU_Clean!H122)),(RU_Clean!H123-RU_Clean!H122)/RU_Clean!H122*100,"")</f>
        <v>-0.711237553342816</v>
      </c>
      <c r="I123" s="12">
        <f>IF(AND(ISNUMBER(RU_Clean!I123),ISNUMBER(RU_Clean!I122)),(RU_Clean!I123-RU_Clean!I122)/RU_Clean!I122*100,"")</f>
        <v>6.1439438267993</v>
      </c>
      <c r="J123" s="12">
        <f>IF(AND(ISNUMBER(RU_Clean!J123),ISNUMBER(RU_Clean!J122)),(RU_Clean!J123-RU_Clean!J122)/RU_Clean!J122*100,"")</f>
        <v>0.81919251023991</v>
      </c>
      <c r="K123" s="12">
        <f>IF(AND(ISNUMBER(RU_Clean!K123),ISNUMBER(RU_Clean!K122)),(RU_Clean!K123-RU_Clean!K122)/RU_Clean!K122*100,"")</f>
        <v>1.28686327077748</v>
      </c>
      <c r="L123" s="12">
        <f>IF(AND(ISNUMBER(RU_Clean!L123),ISNUMBER(RU_Clean!L122)),(RU_Clean!L123-RU_Clean!L122)/RU_Clean!L122*100,"")</f>
        <v>-1.89255189255191</v>
      </c>
      <c r="M123" s="12">
        <f>IF(AND(ISNUMBER(RU_Clean!M123),ISNUMBER(RU_Clean!M122)),(RU_Clean!M123-RU_Clean!M122)/RU_Clean!M122*100,"")</f>
        <v>-8.31246870305458</v>
      </c>
      <c r="N123" s="12">
        <f>IF(AND(ISNUMBER(RU_Clean!N123),ISNUMBER(RU_Clean!N122)),(RU_Clean!N123-RU_Clean!N122)/RU_Clean!N122*100,"")</f>
        <v>0.412249705535918</v>
      </c>
      <c r="O123" s="12">
        <f>IF(AND(ISNUMBER(RU_Clean!O123),ISNUMBER(RU_Clean!O122)),(RU_Clean!O123-RU_Clean!O122)/RU_Clean!O122*100,"")</f>
        <v>0.164068908941746</v>
      </c>
      <c r="P123" s="12">
        <f>IF(AND(ISNUMBER(RU_Clean!P123),ISNUMBER(RU_Clean!P122)),(RU_Clean!P123-RU_Clean!P122)/RU_Clean!P122*100,"")</f>
        <v>1.45072536268134</v>
      </c>
      <c r="Q123" s="12">
        <f>IF(AND(ISNUMBER(RU_Clean!Q123),ISNUMBER(RU_Clean!Q122)),(RU_Clean!Q123-RU_Clean!Q122)/RU_Clean!Q122*100,"")</f>
        <v>0.294290759270159</v>
      </c>
      <c r="R123" s="12">
        <f>IF(AND(ISNUMBER(RU_Clean!R123),ISNUMBER(RU_Clean!R122)),(RU_Clean!R123-RU_Clean!R122)/RU_Clean!R122*100,"")</f>
        <v>0.637280934678698</v>
      </c>
      <c r="S123" s="12">
        <f>IF(AND(ISNUMBER(RU_Clean!S123),ISNUMBER(RU_Clean!S122)),(RU_Clean!S123-RU_Clean!S122)/RU_Clean!S122*100,"")</f>
        <v>-0.723830734966583</v>
      </c>
      <c r="T123" s="12">
        <f>IF(AND(ISNUMBER(RU_Clean!T123),ISNUMBER(RU_Clean!T122)),(RU_Clean!T123-RU_Clean!T122)/RU_Clean!T122*100,"")</f>
        <v>0.305654610290369</v>
      </c>
      <c r="U123" s="12">
        <f>IF(AND(ISNUMBER(RU_Clean!U123),ISNUMBER(RU_Clean!U122)),(RU_Clean!U123-RU_Clean!U122)/RU_Clean!U122*100,"")</f>
        <v>0.659703133589878</v>
      </c>
      <c r="V123" s="12">
        <f>IF(AND(ISNUMBER(RU_Clean!V123),ISNUMBER(RU_Clean!V122)),(RU_Clean!V123-RU_Clean!V122)/RU_Clean!V122*100,"")</f>
        <v>0.513405590416416</v>
      </c>
      <c r="W123" s="12">
        <f>IF(AND(ISNUMBER(RU_Clean!W123),ISNUMBER(RU_Clean!W122)),(RU_Clean!W123-RU_Clean!W122)/RU_Clean!W122*100,"")</f>
        <v>0.607734806629831</v>
      </c>
      <c r="X123" s="12">
        <f>IF(AND(ISNUMBER(RU_Clean!X123),ISNUMBER(RU_Clean!X122)),(RU_Clean!X123-RU_Clean!X122)/RU_Clean!X122*100,"")</f>
        <v>0.350467289719639</v>
      </c>
      <c r="Y123" s="12">
        <f>IF(AND(ISNUMBER(RU_Clean!Y123),ISNUMBER(RU_Clean!Y122)),(RU_Clean!Y123-RU_Clean!Y122)/RU_Clean!Y122*100,"")</f>
        <v>0.443213296398898</v>
      </c>
      <c r="Z123" s="12">
        <f>IF(AND(ISNUMBER(RU_Clean!Z123),ISNUMBER(RU_Clean!Z122)),(RU_Clean!Z123-RU_Clean!Z122)/RU_Clean!Z122*100,"")</f>
        <v>0.586854460093897</v>
      </c>
      <c r="AA123" s="12">
        <f>IF(AND(ISNUMBER(RU_Clean!AA123),ISNUMBER(RU_Clean!AA122)),(RU_Clean!AA123-RU_Clean!AA122)/RU_Clean!AA122*100,"")</f>
        <v>0.615556799104657</v>
      </c>
      <c r="AB123" s="12">
        <f>IF(AND(ISNUMBER(RU_Clean!AB123),ISNUMBER(RU_Clean!AB122)),(RU_Clean!AB123-RU_Clean!AB122)/RU_Clean!AB122*100,"")</f>
        <v>0.0613873542050303</v>
      </c>
      <c r="AC123" s="12">
        <f>IF(AND(ISNUMBER(RU_Clean!AC123),ISNUMBER(RU_Clean!AC122)),(RU_Clean!AC123-RU_Clean!AC122)/RU_Clean!AC122*100,"")</f>
        <v>0.178359096313919</v>
      </c>
      <c r="AD123" s="12">
        <f>IF(AND(ISNUMBER(RU_Clean!AD123),ISNUMBER(RU_Clean!AD122)),(RU_Clean!AD123-RU_Clean!AD122)/RU_Clean!AD122*100,"")</f>
        <v>0.173010380622828</v>
      </c>
      <c r="AE123" s="12">
        <f>IF(AND(ISNUMBER(RU_Clean!AE123),ISNUMBER(RU_Clean!AE122)),(RU_Clean!AE123-RU_Clean!AE122)/RU_Clean!AE122*100,"")</f>
        <v>0.871586287042417</v>
      </c>
      <c r="AF123" s="12">
        <f>IF(AND(ISNUMBER(RU_Clean!AF123),ISNUMBER(RU_Clean!AF122)),(RU_Clean!AF123-RU_Clean!AF122)/RU_Clean!AF122*100,"")</f>
        <v>0.351906158357768</v>
      </c>
      <c r="AG123" s="12">
        <f>IF(AND(ISNUMBER(RU_Clean!AG123),ISNUMBER(RU_Clean!AG122)),(RU_Clean!AG123-RU_Clean!AG122)/RU_Clean!AG122*100,"")</f>
        <v>-0.113186191284657</v>
      </c>
      <c r="AH123" s="12">
        <f>IF(AND(ISNUMBER(RU_Clean!AH123),ISNUMBER(RU_Clean!AH122)),(RU_Clean!AH123-RU_Clean!AH122)/RU_Clean!AH122*100,"")</f>
        <v>0.037776833356931</v>
      </c>
    </row>
    <row r="124" spans="1:34">
      <c r="A124" s="6">
        <f>RU_Clean!A124</f>
        <v>2022</v>
      </c>
      <c r="B124" s="6">
        <f>RU_Clean!B124</f>
        <v>12</v>
      </c>
      <c r="C124" s="6" t="str">
        <f>RU_Clean!C124</f>
        <v>December</v>
      </c>
      <c r="D124" s="9">
        <f>RU_Clean!D124</f>
        <v>44896</v>
      </c>
      <c r="E124" s="6"/>
      <c r="F124" s="6"/>
      <c r="G124" s="12">
        <f>IF(AND(ISNUMBER(RU_Clean!G124),ISNUMBER(RU_Clean!G123)),(RU_Clean!G124-RU_Clean!G123)/RU_Clean!G123*100,"")</f>
        <v>1.07526881720429</v>
      </c>
      <c r="H124" s="12">
        <f>IF(AND(ISNUMBER(RU_Clean!H124),ISNUMBER(RU_Clean!H123)),(RU_Clean!H124-RU_Clean!H123)/RU_Clean!H123*100,"")</f>
        <v>-0.191021967526268</v>
      </c>
      <c r="I124" s="12">
        <f>IF(AND(ISNUMBER(RU_Clean!I124),ISNUMBER(RU_Clean!I123)),(RU_Clean!I124-RU_Clean!I123)/RU_Clean!I123*100,"")</f>
        <v>4.85115766262403</v>
      </c>
      <c r="J124" s="12">
        <f>IF(AND(ISNUMBER(RU_Clean!J124),ISNUMBER(RU_Clean!J123)),(RU_Clean!J124-RU_Clean!J123)/RU_Clean!J123*100,"")</f>
        <v>0.754497968659305</v>
      </c>
      <c r="K124" s="12">
        <f>IF(AND(ISNUMBER(RU_Clean!K124),ISNUMBER(RU_Clean!K123)),(RU_Clean!K124-RU_Clean!K123)/RU_Clean!K123*100,"")</f>
        <v>-0.211752249867658</v>
      </c>
      <c r="L124" s="12">
        <f>IF(AND(ISNUMBER(RU_Clean!L124),ISNUMBER(RU_Clean!L123)),(RU_Clean!L124-RU_Clean!L123)/RU_Clean!L123*100,"")</f>
        <v>-1.68014934660858</v>
      </c>
      <c r="M124" s="12">
        <f>IF(AND(ISNUMBER(RU_Clean!M124),ISNUMBER(RU_Clean!M123)),(RU_Clean!M124-RU_Clean!M123)/RU_Clean!M123*100,"")</f>
        <v>-12.6706717640633</v>
      </c>
      <c r="N124" s="12">
        <f>IF(AND(ISNUMBER(RU_Clean!N124),ISNUMBER(RU_Clean!N123)),(RU_Clean!N124-RU_Clean!N123)/RU_Clean!N123*100,"")</f>
        <v>0.175953079178892</v>
      </c>
      <c r="O124" s="12">
        <f>IF(AND(ISNUMBER(RU_Clean!O124),ISNUMBER(RU_Clean!O123)),(RU_Clean!O124-RU_Clean!O123)/RU_Clean!O123*100,"")</f>
        <v>-0.245700245700243</v>
      </c>
      <c r="P124" s="12">
        <f>IF(AND(ISNUMBER(RU_Clean!P124),ISNUMBER(RU_Clean!P123)),(RU_Clean!P124-RU_Clean!P123)/RU_Clean!P123*100,"")</f>
        <v>1.18343195266271</v>
      </c>
      <c r="Q124" s="12">
        <f>IF(AND(ISNUMBER(RU_Clean!Q124),ISNUMBER(RU_Clean!Q123)),(RU_Clean!Q124-RU_Clean!Q123)/RU_Clean!Q123*100,"")</f>
        <v>0.352112676056335</v>
      </c>
      <c r="R124" s="12">
        <f>IF(AND(ISNUMBER(RU_Clean!R124),ISNUMBER(RU_Clean!R123)),(RU_Clean!R124-RU_Clean!R123)/RU_Clean!R123*100,"")</f>
        <v>0.422163588390507</v>
      </c>
      <c r="S124" s="12">
        <f>IF(AND(ISNUMBER(RU_Clean!S124),ISNUMBER(RU_Clean!S123)),(RU_Clean!S124-RU_Clean!S123)/RU_Clean!S123*100,"")</f>
        <v>-1.34604598990466</v>
      </c>
      <c r="T124" s="12">
        <f>IF(AND(ISNUMBER(RU_Clean!T124),ISNUMBER(RU_Clean!T123)),(RU_Clean!T124-RU_Clean!T123)/RU_Clean!T123*100,"")</f>
        <v>0.203148806500765</v>
      </c>
      <c r="U124" s="12">
        <f>IF(AND(ISNUMBER(RU_Clean!U124),ISNUMBER(RU_Clean!U123)),(RU_Clean!U124-RU_Clean!U123)/RU_Clean!U123*100,"")</f>
        <v>0.491534680502461</v>
      </c>
      <c r="V124" s="12">
        <f>IF(AND(ISNUMBER(RU_Clean!V124),ISNUMBER(RU_Clean!V123)),(RU_Clean!V124-RU_Clean!V123)/RU_Clean!V123*100,"")</f>
        <v>0.454029511918281</v>
      </c>
      <c r="W124" s="12">
        <f>IF(AND(ISNUMBER(RU_Clean!W124),ISNUMBER(RU_Clean!W123)),(RU_Clean!W124-RU_Clean!W123)/RU_Clean!W123*100,"")</f>
        <v>0.494233937397038</v>
      </c>
      <c r="X124" s="12">
        <f>IF(AND(ISNUMBER(RU_Clean!X124),ISNUMBER(RU_Clean!X123)),(RU_Clean!X124-RU_Clean!X123)/RU_Clean!X123*100,"")</f>
        <v>-0.640279394644949</v>
      </c>
      <c r="Y124" s="12">
        <f>IF(AND(ISNUMBER(RU_Clean!Y124),ISNUMBER(RU_Clean!Y123)),(RU_Clean!Y124-RU_Clean!Y123)/RU_Clean!Y123*100,"")</f>
        <v>0.38610038610038</v>
      </c>
      <c r="Z124" s="12">
        <f>IF(AND(ISNUMBER(RU_Clean!Z124),ISNUMBER(RU_Clean!Z123)),(RU_Clean!Z124-RU_Clean!Z123)/RU_Clean!Z123*100,"")</f>
        <v>0.408401400233366</v>
      </c>
      <c r="AA124" s="12">
        <f>IF(AND(ISNUMBER(RU_Clean!AA124),ISNUMBER(RU_Clean!AA123)),(RU_Clean!AA124-RU_Clean!AA123)/RU_Clean!AA123*100,"")</f>
        <v>0.723025583982193</v>
      </c>
      <c r="AB124" s="12">
        <f>IF(AND(ISNUMBER(RU_Clean!AB124),ISNUMBER(RU_Clean!AB123)),(RU_Clean!AB124-RU_Clean!AB123)/RU_Clean!AB123*100,"")</f>
        <v>0.245398773006138</v>
      </c>
      <c r="AC124" s="12">
        <f>IF(AND(ISNUMBER(RU_Clean!AC124),ISNUMBER(RU_Clean!AC123)),(RU_Clean!AC124-RU_Clean!AC123)/RU_Clean!AC123*100,"")</f>
        <v>0.237388724035612</v>
      </c>
      <c r="AD124" s="12">
        <f>IF(AND(ISNUMBER(RU_Clean!AD124),ISNUMBER(RU_Clean!AD123)),(RU_Clean!AD124-RU_Clean!AD123)/RU_Clean!AD123*100,"")</f>
        <v>0.230282095567073</v>
      </c>
      <c r="AE124" s="12">
        <f>IF(AND(ISNUMBER(RU_Clean!AE124),ISNUMBER(RU_Clean!AE123)),(RU_Clean!AE124-RU_Clean!AE123)/RU_Clean!AE123*100,"")</f>
        <v>1.26728110599079</v>
      </c>
      <c r="AF124" s="12">
        <f>IF(AND(ISNUMBER(RU_Clean!AF124),ISNUMBER(RU_Clean!AF123)),(RU_Clean!AF124-RU_Clean!AF123)/RU_Clean!AF123*100,"")</f>
        <v>0.526008182349507</v>
      </c>
      <c r="AG124" s="12">
        <f>IF(AND(ISNUMBER(RU_Clean!AG124),ISNUMBER(RU_Clean!AG123)),(RU_Clean!AG124-RU_Clean!AG123)/RU_Clean!AG123*100,"")</f>
        <v>-0.453257790368278</v>
      </c>
      <c r="AH124" s="12">
        <f>IF(AND(ISNUMBER(RU_Clean!AH124),ISNUMBER(RU_Clean!AH123)),(RU_Clean!AH124-RU_Clean!AH123)/RU_Clean!AH123*100,"")</f>
        <v>-0.519235308000944</v>
      </c>
    </row>
    <row r="125" spans="1:34">
      <c r="A125" s="6">
        <f>RU_Clean!A125</f>
        <v>2023</v>
      </c>
      <c r="B125" s="6">
        <f>RU_Clean!B125</f>
        <v>1</v>
      </c>
      <c r="C125" s="6" t="str">
        <f>RU_Clean!C125</f>
        <v>January</v>
      </c>
      <c r="D125" s="9">
        <f>RU_Clean!D125</f>
        <v>44927</v>
      </c>
      <c r="E125" s="6"/>
      <c r="F125" s="6"/>
      <c r="G125" s="12">
        <f>IF(AND(ISNUMBER(RU_Clean!G125),ISNUMBER(RU_Clean!G124)),(RU_Clean!G125-RU_Clean!G124)/RU_Clean!G124*100,"")</f>
        <v>2.71867612293146</v>
      </c>
      <c r="H125" s="12">
        <f>IF(AND(ISNUMBER(RU_Clean!H125),ISNUMBER(RU_Clean!H124)),(RU_Clean!H125-RU_Clean!H124)/RU_Clean!H124*100,"")</f>
        <v>0.813397129186597</v>
      </c>
      <c r="I125" s="12">
        <f>IF(AND(ISNUMBER(RU_Clean!I125),ISNUMBER(RU_Clean!I124)),(RU_Clean!I125-RU_Clean!I124)/RU_Clean!I124*100,"")</f>
        <v>2.26077812828602</v>
      </c>
      <c r="J125" s="12">
        <f>IF(AND(ISNUMBER(RU_Clean!J125),ISNUMBER(RU_Clean!J124)),(RU_Clean!J125-RU_Clean!J124)/RU_Clean!J124*100,"")</f>
        <v>0.576036866359447</v>
      </c>
      <c r="K125" s="12">
        <f>IF(AND(ISNUMBER(RU_Clean!K125),ISNUMBER(RU_Clean!K124)),(RU_Clean!K125-RU_Clean!K124)/RU_Clean!K124*100,"")</f>
        <v>-0.689655172413799</v>
      </c>
      <c r="L125" s="12">
        <f>IF(AND(ISNUMBER(RU_Clean!L125),ISNUMBER(RU_Clean!L124)),(RU_Clean!L125-RU_Clean!L124)/RU_Clean!L124*100,"")</f>
        <v>0.189873417721526</v>
      </c>
      <c r="M125" s="12">
        <f>IF(AND(ISNUMBER(RU_Clean!M125),ISNUMBER(RU_Clean!M124)),(RU_Clean!M125-RU_Clean!M124)/RU_Clean!M124*100,"")</f>
        <v>-3.75234521575985</v>
      </c>
      <c r="N125" s="12">
        <f>IF(AND(ISNUMBER(RU_Clean!N125),ISNUMBER(RU_Clean!N124)),(RU_Clean!N125-RU_Clean!N124)/RU_Clean!N124*100,"")</f>
        <v>0.0585480093676782</v>
      </c>
      <c r="O125" s="12">
        <f>IF(AND(ISNUMBER(RU_Clean!O125),ISNUMBER(RU_Clean!O124)),(RU_Clean!O125-RU_Clean!O124)/RU_Clean!O124*100,"")</f>
        <v>-0.574712643678163</v>
      </c>
      <c r="P125" s="12">
        <f>IF(AND(ISNUMBER(RU_Clean!P125),ISNUMBER(RU_Clean!P124)),(RU_Clean!P125-RU_Clean!P124)/RU_Clean!P124*100,"")</f>
        <v>1.55945419103315</v>
      </c>
      <c r="Q125" s="12">
        <f>IF(AND(ISNUMBER(RU_Clean!Q125),ISNUMBER(RU_Clean!Q124)),(RU_Clean!Q125-RU_Clean!Q124)/RU_Clean!Q124*100,"")</f>
        <v>0.233918128654974</v>
      </c>
      <c r="R125" s="12">
        <f>IF(AND(ISNUMBER(RU_Clean!R125),ISNUMBER(RU_Clean!R124)),(RU_Clean!R125-RU_Clean!R124)/RU_Clean!R124*100,"")</f>
        <v>0.472937467157108</v>
      </c>
      <c r="S125" s="12">
        <f>IF(AND(ISNUMBER(RU_Clean!S125),ISNUMBER(RU_Clean!S124)),(RU_Clean!S125-RU_Clean!S124)/RU_Clean!S124*100,"")</f>
        <v>0.45480386583285</v>
      </c>
      <c r="T125" s="12">
        <f>IF(AND(ISNUMBER(RU_Clean!T125),ISNUMBER(RU_Clean!T124)),(RU_Clean!T125-RU_Clean!T124)/RU_Clean!T124*100,"")</f>
        <v>0.456158134820059</v>
      </c>
      <c r="U125" s="12">
        <f>IF(AND(ISNUMBER(RU_Clean!U125),ISNUMBER(RU_Clean!U124)),(RU_Clean!U125-RU_Clean!U124)/RU_Clean!U124*100,"")</f>
        <v>0.489130434782612</v>
      </c>
      <c r="V125" s="12">
        <f>IF(AND(ISNUMBER(RU_Clean!V125),ISNUMBER(RU_Clean!V124)),(RU_Clean!V125-RU_Clean!V124)/RU_Clean!V124*100,"")</f>
        <v>0.338983050847454</v>
      </c>
      <c r="W125" s="12">
        <f>IF(AND(ISNUMBER(RU_Clean!W125),ISNUMBER(RU_Clean!W124)),(RU_Clean!W125-RU_Clean!W124)/RU_Clean!W124*100,"")</f>
        <v>0.437158469945361</v>
      </c>
      <c r="X125" s="12">
        <f>IF(AND(ISNUMBER(RU_Clean!X125),ISNUMBER(RU_Clean!X124)),(RU_Clean!X125-RU_Clean!X124)/RU_Clean!X124*100,"")</f>
        <v>0.820152314001175</v>
      </c>
      <c r="Y125" s="12">
        <f>IF(AND(ISNUMBER(RU_Clean!Y125),ISNUMBER(RU_Clean!Y124)),(RU_Clean!Y125-RU_Clean!Y124)/RU_Clean!Y124*100,"")</f>
        <v>0</v>
      </c>
      <c r="Z125" s="12">
        <f>IF(AND(ISNUMBER(RU_Clean!Z125),ISNUMBER(RU_Clean!Z124)),(RU_Clean!Z125-RU_Clean!Z124)/RU_Clean!Z124*100,"")</f>
        <v>0.464846019755963</v>
      </c>
      <c r="AA125" s="12">
        <f>IF(AND(ISNUMBER(RU_Clean!AA125),ISNUMBER(RU_Clean!AA124)),(RU_Clean!AA125-RU_Clean!AA124)/RU_Clean!AA124*100,"")</f>
        <v>0.662617338487033</v>
      </c>
      <c r="AB125" s="12">
        <f>IF(AND(ISNUMBER(RU_Clean!AB125),ISNUMBER(RU_Clean!AB124)),(RU_Clean!AB125-RU_Clean!AB124)/RU_Clean!AB124*100,"")</f>
        <v>0.122399020807827</v>
      </c>
      <c r="AC125" s="12">
        <f>IF(AND(ISNUMBER(RU_Clean!AC125),ISNUMBER(RU_Clean!AC124)),(RU_Clean!AC125-RU_Clean!AC124)/RU_Clean!AC124*100,"")</f>
        <v>0.355239786856125</v>
      </c>
      <c r="AD125" s="12">
        <f>IF(AND(ISNUMBER(RU_Clean!AD125),ISNUMBER(RU_Clean!AD124)),(RU_Clean!AD125-RU_Clean!AD124)/RU_Clean!AD124*100,"")</f>
        <v>0.114876507754174</v>
      </c>
      <c r="AE125" s="12">
        <f>IF(AND(ISNUMBER(RU_Clean!AE125),ISNUMBER(RU_Clean!AE124)),(RU_Clean!AE125-RU_Clean!AE124)/RU_Clean!AE124*100,"")</f>
        <v>1.59271899886233</v>
      </c>
      <c r="AF125" s="12">
        <f>IF(AND(ISNUMBER(RU_Clean!AF125),ISNUMBER(RU_Clean!AF124)),(RU_Clean!AF125-RU_Clean!AF124)/RU_Clean!AF124*100,"")</f>
        <v>0.465116279069774</v>
      </c>
      <c r="AG125" s="12">
        <f>IF(AND(ISNUMBER(RU_Clean!AG125),ISNUMBER(RU_Clean!AG124)),(RU_Clean!AG125-RU_Clean!AG124)/RU_Clean!AG124*100,"")</f>
        <v>0.455321570859426</v>
      </c>
      <c r="AH125" s="12">
        <f>IF(AND(ISNUMBER(RU_Clean!AH125),ISNUMBER(RU_Clean!AH124)),(RU_Clean!AH125-RU_Clean!AH124)/RU_Clean!AH124*100,"")</f>
        <v>0.403321470937129</v>
      </c>
    </row>
    <row r="126" spans="1:34">
      <c r="A126" s="6">
        <f>RU_Clean!A126</f>
        <v>2023</v>
      </c>
      <c r="B126" s="6">
        <f>RU_Clean!B126</f>
        <v>2</v>
      </c>
      <c r="C126" s="6" t="str">
        <f>RU_Clean!C126</f>
        <v>February</v>
      </c>
      <c r="D126" s="9">
        <f>RU_Clean!D126</f>
        <v>44958</v>
      </c>
      <c r="E126" s="6"/>
      <c r="F126" s="6"/>
      <c r="G126" s="12">
        <f>IF(AND(ISNUMBER(RU_Clean!G126),ISNUMBER(RU_Clean!G125)),(RU_Clean!G126-RU_Clean!G125)/RU_Clean!G125*100,"")</f>
        <v>0.345224395857304</v>
      </c>
      <c r="H126" s="12">
        <f>IF(AND(ISNUMBER(RU_Clean!H126),ISNUMBER(RU_Clean!H125)),(RU_Clean!H126-RU_Clean!H125)/RU_Clean!H125*100,"")</f>
        <v>-1.42382534409113</v>
      </c>
      <c r="I126" s="12">
        <f>IF(AND(ISNUMBER(RU_Clean!I126),ISNUMBER(RU_Clean!I125)),(RU_Clean!I126-RU_Clean!I125)/RU_Clean!I125*100,"")</f>
        <v>-9.9228791773779</v>
      </c>
      <c r="J126" s="12">
        <f>IF(AND(ISNUMBER(RU_Clean!J126),ISNUMBER(RU_Clean!J125)),(RU_Clean!J126-RU_Clean!J125)/RU_Clean!J125*100,"")</f>
        <v>1.54639175257733</v>
      </c>
      <c r="K126" s="12">
        <f>IF(AND(ISNUMBER(RU_Clean!K126),ISNUMBER(RU_Clean!K125)),(RU_Clean!K126-RU_Clean!K125)/RU_Clean!K125*100,"")</f>
        <v>-4.22008547008546</v>
      </c>
      <c r="L126" s="12">
        <f>IF(AND(ISNUMBER(RU_Clean!L126),ISNUMBER(RU_Clean!L125)),(RU_Clean!L126-RU_Clean!L125)/RU_Clean!L125*100,"")</f>
        <v>7.07517372078332</v>
      </c>
      <c r="M126" s="12">
        <f>IF(AND(ISNUMBER(RU_Clean!M126),ISNUMBER(RU_Clean!M125)),(RU_Clean!M126-RU_Clean!M125)/RU_Clean!M125*100,"")</f>
        <v>-0.77972709551658</v>
      </c>
      <c r="N126" s="12">
        <f>IF(AND(ISNUMBER(RU_Clean!N126),ISNUMBER(RU_Clean!N125)),(RU_Clean!N126-RU_Clean!N125)/RU_Clean!N125*100,"")</f>
        <v>0.0585137507314186</v>
      </c>
      <c r="O126" s="12">
        <f>IF(AND(ISNUMBER(RU_Clean!O126),ISNUMBER(RU_Clean!O125)),(RU_Clean!O126-RU_Clean!O125)/RU_Clean!O125*100,"")</f>
        <v>-0.908340214698592</v>
      </c>
      <c r="P126" s="12">
        <f>IF(AND(ISNUMBER(RU_Clean!P126),ISNUMBER(RU_Clean!P125)),(RU_Clean!P126-RU_Clean!P125)/RU_Clean!P125*100,"")</f>
        <v>0.623800383877151</v>
      </c>
      <c r="Q126" s="12">
        <f>IF(AND(ISNUMBER(RU_Clean!Q126),ISNUMBER(RU_Clean!Q125)),(RU_Clean!Q126-RU_Clean!Q125)/RU_Clean!Q125*100,"")</f>
        <v>0.525087514585768</v>
      </c>
      <c r="R126" s="12">
        <f>IF(AND(ISNUMBER(RU_Clean!R126),ISNUMBER(RU_Clean!R125)),(RU_Clean!R126-RU_Clean!R125)/RU_Clean!R125*100,"")</f>
        <v>0.941422594142265</v>
      </c>
      <c r="S126" s="12">
        <f>IF(AND(ISNUMBER(RU_Clean!S126),ISNUMBER(RU_Clean!S125)),(RU_Clean!S126-RU_Clean!S125)/RU_Clean!S125*100,"")</f>
        <v>0.169779286927001</v>
      </c>
      <c r="T126" s="12">
        <f>IF(AND(ISNUMBER(RU_Clean!T126),ISNUMBER(RU_Clean!T125)),(RU_Clean!T126-RU_Clean!T125)/RU_Clean!T125*100,"")</f>
        <v>0.655903128153386</v>
      </c>
      <c r="U126" s="12">
        <f>IF(AND(ISNUMBER(RU_Clean!U126),ISNUMBER(RU_Clean!U125)),(RU_Clean!U126-RU_Clean!U125)/RU_Clean!U125*100,"")</f>
        <v>0.703082747431034</v>
      </c>
      <c r="V126" s="12">
        <f>IF(AND(ISNUMBER(RU_Clean!V126),ISNUMBER(RU_Clean!V125)),(RU_Clean!V126-RU_Clean!V125)/RU_Clean!V125*100,"")</f>
        <v>0.619369369369366</v>
      </c>
      <c r="W126" s="12">
        <f>IF(AND(ISNUMBER(RU_Clean!W126),ISNUMBER(RU_Clean!W125)),(RU_Clean!W126-RU_Clean!W125)/RU_Clean!W125*100,"")</f>
        <v>0.707290533188239</v>
      </c>
      <c r="X126" s="12">
        <f>IF(AND(ISNUMBER(RU_Clean!X126),ISNUMBER(RU_Clean!X125)),(RU_Clean!X126-RU_Clean!X125)/RU_Clean!X125*100,"")</f>
        <v>0.813480534572926</v>
      </c>
      <c r="Y126" s="12">
        <f>IF(AND(ISNUMBER(RU_Clean!Y126),ISNUMBER(RU_Clean!Y125)),(RU_Clean!Y126-RU_Clean!Y125)/RU_Clean!Y125*100,"")</f>
        <v>0.0549450549450518</v>
      </c>
      <c r="Z126" s="12">
        <f>IF(AND(ISNUMBER(RU_Clean!Z126),ISNUMBER(RU_Clean!Z125)),(RU_Clean!Z126-RU_Clean!Z125)/RU_Clean!Z125*100,"")</f>
        <v>0.75187969924811</v>
      </c>
      <c r="AA126" s="12">
        <f>IF(AND(ISNUMBER(RU_Clean!AA126),ISNUMBER(RU_Clean!AA125)),(RU_Clean!AA126-RU_Clean!AA125)/RU_Clean!AA125*100,"")</f>
        <v>1.15194733955019</v>
      </c>
      <c r="AB126" s="12">
        <f>IF(AND(ISNUMBER(RU_Clean!AB126),ISNUMBER(RU_Clean!AB125)),(RU_Clean!AB126-RU_Clean!AB125)/RU_Clean!AB125*100,"")</f>
        <v>0.366748166259165</v>
      </c>
      <c r="AC126" s="12">
        <f>IF(AND(ISNUMBER(RU_Clean!AC126),ISNUMBER(RU_Clean!AC125)),(RU_Clean!AC126-RU_Clean!AC125)/RU_Clean!AC125*100,"")</f>
        <v>0.471976401179948</v>
      </c>
      <c r="AD126" s="12">
        <f>IF(AND(ISNUMBER(RU_Clean!AD126),ISNUMBER(RU_Clean!AD125)),(RU_Clean!AD126-RU_Clean!AD125)/RU_Clean!AD125*100,"")</f>
        <v>0.401606425702805</v>
      </c>
      <c r="AE126" s="12">
        <f>IF(AND(ISNUMBER(RU_Clean!AE126),ISNUMBER(RU_Clean!AE125)),(RU_Clean!AE126-RU_Clean!AE125)/RU_Clean!AE125*100,"")</f>
        <v>1.3437849944009</v>
      </c>
      <c r="AF126" s="12">
        <f>IF(AND(ISNUMBER(RU_Clean!AF126),ISNUMBER(RU_Clean!AF125)),(RU_Clean!AF126-RU_Clean!AF125)/RU_Clean!AF125*100,"")</f>
        <v>0.752314814814805</v>
      </c>
      <c r="AG126" s="12">
        <f>IF(AND(ISNUMBER(RU_Clean!AG126),ISNUMBER(RU_Clean!AG125)),(RU_Clean!AG126-RU_Clean!AG125)/RU_Clean!AG125*100,"")</f>
        <v>0.396600566572231</v>
      </c>
      <c r="AH126" s="12">
        <f>IF(AND(ISNUMBER(RU_Clean!AH126),ISNUMBER(RU_Clean!AH125)),(RU_Clean!AH126-RU_Clean!AH125)/RU_Clean!AH125*100,"")</f>
        <v>-0.656899810964087</v>
      </c>
    </row>
    <row r="127" spans="1:34">
      <c r="A127" s="6">
        <f>RU_Clean!A127</f>
        <v>2023</v>
      </c>
      <c r="B127" s="6">
        <f>RU_Clean!B127</f>
        <v>3</v>
      </c>
      <c r="C127" s="6" t="str">
        <f>RU_Clean!C127</f>
        <v>March</v>
      </c>
      <c r="D127" s="9">
        <f>RU_Clean!D127</f>
        <v>44986</v>
      </c>
      <c r="E127" s="6"/>
      <c r="F127" s="6"/>
      <c r="G127" s="12">
        <f>IF(AND(ISNUMBER(RU_Clean!G127),ISNUMBER(RU_Clean!G126)),(RU_Clean!G127-RU_Clean!G126)/RU_Clean!G126*100,"")</f>
        <v>0</v>
      </c>
      <c r="H127" s="12">
        <f>IF(AND(ISNUMBER(RU_Clean!H127),ISNUMBER(RU_Clean!H126)),(RU_Clean!H127-RU_Clean!H126)/RU_Clean!H126*100,"")</f>
        <v>0</v>
      </c>
      <c r="I127" s="12">
        <f>IF(AND(ISNUMBER(RU_Clean!I127),ISNUMBER(RU_Clean!I126)),(RU_Clean!I127-RU_Clean!I126)/RU_Clean!I126*100,"")</f>
        <v>0</v>
      </c>
      <c r="J127" s="12">
        <f>IF(AND(ISNUMBER(RU_Clean!J127),ISNUMBER(RU_Clean!J126)),(RU_Clean!J127-RU_Clean!J126)/RU_Clean!J126*100,"")</f>
        <v>0</v>
      </c>
      <c r="K127" s="12">
        <f>IF(AND(ISNUMBER(RU_Clean!K127),ISNUMBER(RU_Clean!K126)),(RU_Clean!K127-RU_Clean!K126)/RU_Clean!K126*100,"")</f>
        <v>-0.0557724484104979</v>
      </c>
      <c r="L127" s="12">
        <f>IF(AND(ISNUMBER(RU_Clean!L127),ISNUMBER(RU_Clean!L126)),(RU_Clean!L127-RU_Clean!L126)/RU_Clean!L126*100,"")</f>
        <v>0</v>
      </c>
      <c r="M127" s="12">
        <f>IF(AND(ISNUMBER(RU_Clean!M127),ISNUMBER(RU_Clean!M126)),(RU_Clean!M127-RU_Clean!M126)/RU_Clean!M126*100,"")</f>
        <v>0.0654878847413378</v>
      </c>
      <c r="N127" s="12">
        <f>IF(AND(ISNUMBER(RU_Clean!N127),ISNUMBER(RU_Clean!N126)),(RU_Clean!N127-RU_Clean!N126)/RU_Clean!N126*100,"")</f>
        <v>0.0584795321637394</v>
      </c>
      <c r="O127" s="12">
        <f>IF(AND(ISNUMBER(RU_Clean!O127),ISNUMBER(RU_Clean!O126)),(RU_Clean!O127-RU_Clean!O126)/RU_Clean!O126*100,"")</f>
        <v>0</v>
      </c>
      <c r="P127" s="12">
        <f>IF(AND(ISNUMBER(RU_Clean!P127),ISNUMBER(RU_Clean!P126)),(RU_Clean!P127-RU_Clean!P126)/RU_Clean!P126*100,"")</f>
        <v>0</v>
      </c>
      <c r="Q127" s="12">
        <f>IF(AND(ISNUMBER(RU_Clean!Q127),ISNUMBER(RU_Clean!Q126)),(RU_Clean!Q127-RU_Clean!Q126)/RU_Clean!Q126*100,"")</f>
        <v>0</v>
      </c>
      <c r="R127" s="12">
        <f>IF(AND(ISNUMBER(RU_Clean!R127),ISNUMBER(RU_Clean!R126)),(RU_Clean!R127-RU_Clean!R126)/RU_Clean!R126*100,"")</f>
        <v>0</v>
      </c>
      <c r="S127" s="12">
        <f>IF(AND(ISNUMBER(RU_Clean!S127),ISNUMBER(RU_Clean!S126)),(RU_Clean!S127-RU_Clean!S126)/RU_Clean!S126*100,"")</f>
        <v>0</v>
      </c>
      <c r="T127" s="12">
        <f>IF(AND(ISNUMBER(RU_Clean!T127),ISNUMBER(RU_Clean!T126)),(RU_Clean!T127-RU_Clean!T126)/RU_Clean!T126*100,"")</f>
        <v>0</v>
      </c>
      <c r="U127" s="12">
        <f>IF(AND(ISNUMBER(RU_Clean!U127),ISNUMBER(RU_Clean!U126)),(RU_Clean!U127-RU_Clean!U126)/RU_Clean!U126*100,"")</f>
        <v>-0.0537056928034341</v>
      </c>
      <c r="V127" s="12">
        <f>IF(AND(ISNUMBER(RU_Clean!V127),ISNUMBER(RU_Clean!V126)),(RU_Clean!V127-RU_Clean!V126)/RU_Clean!V126*100,"")</f>
        <v>0</v>
      </c>
      <c r="W127" s="12">
        <f>IF(AND(ISNUMBER(RU_Clean!W127),ISNUMBER(RU_Clean!W126)),(RU_Clean!W127-RU_Clean!W126)/RU_Clean!W126*100,"")</f>
        <v>0</v>
      </c>
      <c r="X127" s="12">
        <f>IF(AND(ISNUMBER(RU_Clean!X127),ISNUMBER(RU_Clean!X126)),(RU_Clean!X127-RU_Clean!X126)/RU_Clean!X126*100,"")</f>
        <v>0</v>
      </c>
      <c r="Y127" s="12">
        <f>IF(AND(ISNUMBER(RU_Clean!Y127),ISNUMBER(RU_Clean!Y126)),(RU_Clean!Y127-RU_Clean!Y126)/RU_Clean!Y126*100,"")</f>
        <v>-0.109829763866001</v>
      </c>
      <c r="Z127" s="12">
        <f>IF(AND(ISNUMBER(RU_Clean!Z127),ISNUMBER(RU_Clean!Z126)),(RU_Clean!Z127-RU_Clean!Z126)/RU_Clean!Z126*100,"")</f>
        <v>0</v>
      </c>
      <c r="AA127" s="12">
        <f>IF(AND(ISNUMBER(RU_Clean!AA127),ISNUMBER(RU_Clean!AA126)),(RU_Clean!AA127-RU_Clean!AA126)/RU_Clean!AA126*100,"")</f>
        <v>0</v>
      </c>
      <c r="AB127" s="12">
        <f>IF(AND(ISNUMBER(RU_Clean!AB127),ISNUMBER(RU_Clean!AB126)),(RU_Clean!AB127-RU_Clean!AB126)/RU_Clean!AB126*100,"")</f>
        <v>0</v>
      </c>
      <c r="AC127" s="12">
        <f>IF(AND(ISNUMBER(RU_Clean!AC127),ISNUMBER(RU_Clean!AC126)),(RU_Clean!AC127-RU_Clean!AC126)/RU_Clean!AC126*100,"")</f>
        <v>0</v>
      </c>
      <c r="AD127" s="12">
        <f>IF(AND(ISNUMBER(RU_Clean!AD127),ISNUMBER(RU_Clean!AD126)),(RU_Clean!AD127-RU_Clean!AD126)/RU_Clean!AD126*100,"")</f>
        <v>0</v>
      </c>
      <c r="AE127" s="12">
        <f>IF(AND(ISNUMBER(RU_Clean!AE127),ISNUMBER(RU_Clean!AE126)),(RU_Clean!AE127-RU_Clean!AE126)/RU_Clean!AE126*100,"")</f>
        <v>0</v>
      </c>
      <c r="AF127" s="12">
        <f>IF(AND(ISNUMBER(RU_Clean!AF127),ISNUMBER(RU_Clean!AF126)),(RU_Clean!AF127-RU_Clean!AF126)/RU_Clean!AF126*100,"")</f>
        <v>0</v>
      </c>
      <c r="AG127" s="12">
        <f>IF(AND(ISNUMBER(RU_Clean!AG127),ISNUMBER(RU_Clean!AG126)),(RU_Clean!AG127-RU_Clean!AG126)/RU_Clean!AG126*100,"")</f>
        <v>0</v>
      </c>
      <c r="AH127" s="12">
        <f>IF(AND(ISNUMBER(RU_Clean!AH127),ISNUMBER(RU_Clean!AH126)),(RU_Clean!AH127-RU_Clean!AH126)/RU_Clean!AH126*100,"")</f>
        <v>0.00475714761428615</v>
      </c>
    </row>
    <row r="128" spans="1:34">
      <c r="A128" s="6">
        <f>RU_Clean!A128</f>
        <v>2023</v>
      </c>
      <c r="B128" s="6">
        <f>RU_Clean!B128</f>
        <v>4</v>
      </c>
      <c r="C128" s="6" t="str">
        <f>RU_Clean!C128</f>
        <v>April</v>
      </c>
      <c r="D128" s="9">
        <f>RU_Clean!D128</f>
        <v>45017</v>
      </c>
      <c r="E128" s="6"/>
      <c r="F128" s="6"/>
      <c r="G128" s="12">
        <f>IF(AND(ISNUMBER(RU_Clean!G128),ISNUMBER(RU_Clean!G127)),(RU_Clean!G128-RU_Clean!G127)/RU_Clean!G127*100,"")</f>
        <v>-0.344036697247703</v>
      </c>
      <c r="H128" s="12">
        <f>IF(AND(ISNUMBER(RU_Clean!H128),ISNUMBER(RU_Clean!H127)),(RU_Clean!H128-RU_Clean!H127)/RU_Clean!H127*100,"")</f>
        <v>0.770341839191152</v>
      </c>
      <c r="I128" s="12">
        <f>IF(AND(ISNUMBER(RU_Clean!I128),ISNUMBER(RU_Clean!I127)),(RU_Clean!I128-RU_Clean!I127)/RU_Clean!I127*100,"")</f>
        <v>-3.19634703196347</v>
      </c>
      <c r="J128" s="12">
        <f>IF(AND(ISNUMBER(RU_Clean!J128),ISNUMBER(RU_Clean!J127)),(RU_Clean!J128-RU_Clean!J127)/RU_Clean!J127*100,"")</f>
        <v>0.620417371686404</v>
      </c>
      <c r="K128" s="12">
        <f>IF(AND(ISNUMBER(RU_Clean!K128),ISNUMBER(RU_Clean!K127)),(RU_Clean!K128-RU_Clean!K127)/RU_Clean!K127*100,"")</f>
        <v>-2.39955357142856</v>
      </c>
      <c r="L128" s="12">
        <f>IF(AND(ISNUMBER(RU_Clean!L128),ISNUMBER(RU_Clean!L127)),(RU_Clean!L128-RU_Clean!L127)/RU_Clean!L127*100,"")</f>
        <v>4.01179941002951</v>
      </c>
      <c r="M128" s="12">
        <f>IF(AND(ISNUMBER(RU_Clean!M128),ISNUMBER(RU_Clean!M127)),(RU_Clean!M128-RU_Clean!M127)/RU_Clean!M127*100,"")</f>
        <v>1.70157068062827</v>
      </c>
      <c r="N128" s="12">
        <f>IF(AND(ISNUMBER(RU_Clean!N128),ISNUMBER(RU_Clean!N127)),(RU_Clean!N128-RU_Clean!N127)/RU_Clean!N127*100,"")</f>
        <v>1.34424313267096</v>
      </c>
      <c r="O128" s="12">
        <f>IF(AND(ISNUMBER(RU_Clean!O128),ISNUMBER(RU_Clean!O127)),(RU_Clean!O128-RU_Clean!O127)/RU_Clean!O127*100,"")</f>
        <v>1.08333333333333</v>
      </c>
      <c r="P128" s="12">
        <f>IF(AND(ISNUMBER(RU_Clean!P128),ISNUMBER(RU_Clean!P127)),(RU_Clean!P128-RU_Clean!P127)/RU_Clean!P127*100,"")</f>
        <v>1.52598950882214</v>
      </c>
      <c r="Q128" s="12">
        <f>IF(AND(ISNUMBER(RU_Clean!Q128),ISNUMBER(RU_Clean!Q127)),(RU_Clean!Q128-RU_Clean!Q127)/RU_Clean!Q127*100,"")</f>
        <v>0.348229831688911</v>
      </c>
      <c r="R128" s="12">
        <f>IF(AND(ISNUMBER(RU_Clean!R128),ISNUMBER(RU_Clean!R127)),(RU_Clean!R128-RU_Clean!R127)/RU_Clean!R127*100,"")</f>
        <v>0.259067357512953</v>
      </c>
      <c r="S128" s="12">
        <f>IF(AND(ISNUMBER(RU_Clean!S128),ISNUMBER(RU_Clean!S127)),(RU_Clean!S128-RU_Clean!S127)/RU_Clean!S127*100,"")</f>
        <v>0.50847457627119</v>
      </c>
      <c r="T128" s="12">
        <f>IF(AND(ISNUMBER(RU_Clean!T128),ISNUMBER(RU_Clean!T127)),(RU_Clean!T128-RU_Clean!T127)/RU_Clean!T127*100,"")</f>
        <v>0.551378446115285</v>
      </c>
      <c r="U128" s="12">
        <f>IF(AND(ISNUMBER(RU_Clean!U128),ISNUMBER(RU_Clean!U127)),(RU_Clean!U128-RU_Clean!U127)/RU_Clean!U127*100,"")</f>
        <v>0.429876410531978</v>
      </c>
      <c r="V128" s="12">
        <f>IF(AND(ISNUMBER(RU_Clean!V128),ISNUMBER(RU_Clean!V127)),(RU_Clean!V128-RU_Clean!V127)/RU_Clean!V127*100,"")</f>
        <v>0.279798545047566</v>
      </c>
      <c r="W128" s="12">
        <f>IF(AND(ISNUMBER(RU_Clean!W128),ISNUMBER(RU_Clean!W127)),(RU_Clean!W128-RU_Clean!W127)/RU_Clean!W127*100,"")</f>
        <v>0.324149108589948</v>
      </c>
      <c r="X128" s="12">
        <f>IF(AND(ISNUMBER(RU_Clean!X128),ISNUMBER(RU_Clean!X127)),(RU_Clean!X128-RU_Clean!X127)/RU_Clean!X127*100,"")</f>
        <v>0.979827089337169</v>
      </c>
      <c r="Y128" s="12">
        <f>IF(AND(ISNUMBER(RU_Clean!Y128),ISNUMBER(RU_Clean!Y127)),(RU_Clean!Y128-RU_Clean!Y127)/RU_Clean!Y127*100,"")</f>
        <v>-0.10995052226499</v>
      </c>
      <c r="Z128" s="12">
        <f>IF(AND(ISNUMBER(RU_Clean!Z128),ISNUMBER(RU_Clean!Z127)),(RU_Clean!Z128-RU_Clean!Z127)/RU_Clean!Z127*100,"")</f>
        <v>0.229621125143516</v>
      </c>
      <c r="AA128" s="12">
        <f>IF(AND(ISNUMBER(RU_Clean!AA128),ISNUMBER(RU_Clean!AA127)),(RU_Clean!AA128-RU_Clean!AA127)/RU_Clean!AA127*100,"")</f>
        <v>0.325379609544465</v>
      </c>
      <c r="AB128" s="12">
        <f>IF(AND(ISNUMBER(RU_Clean!AB128),ISNUMBER(RU_Clean!AB127)),(RU_Clean!AB128-RU_Clean!AB127)/RU_Clean!AB127*100,"")</f>
        <v>0.182704019488436</v>
      </c>
      <c r="AC128" s="12">
        <f>IF(AND(ISNUMBER(RU_Clean!AC128),ISNUMBER(RU_Clean!AC127)),(RU_Clean!AC128-RU_Clean!AC127)/RU_Clean!AC127*100,"")</f>
        <v>0.234879624192588</v>
      </c>
      <c r="AD128" s="12">
        <f>IF(AND(ISNUMBER(RU_Clean!AD128),ISNUMBER(RU_Clean!AD127)),(RU_Clean!AD128-RU_Clean!AD127)/RU_Clean!AD127*100,"")</f>
        <v>0.800000000000003</v>
      </c>
      <c r="AE128" s="12">
        <f>IF(AND(ISNUMBER(RU_Clean!AE128),ISNUMBER(RU_Clean!AE127)),(RU_Clean!AE128-RU_Clean!AE127)/RU_Clean!AE127*100,"")</f>
        <v>1.65745856353591</v>
      </c>
      <c r="AF128" s="12">
        <f>IF(AND(ISNUMBER(RU_Clean!AF128),ISNUMBER(RU_Clean!AF127)),(RU_Clean!AF128-RU_Clean!AF127)/RU_Clean!AF127*100,"")</f>
        <v>0.516944284893743</v>
      </c>
      <c r="AG128" s="12">
        <f>IF(AND(ISNUMBER(RU_Clean!AG128),ISNUMBER(RU_Clean!AG127)),(RU_Clean!AG128-RU_Clean!AG127)/RU_Clean!AG127*100,"")</f>
        <v>0.507900677200906</v>
      </c>
      <c r="AH128" s="12">
        <f>IF(AND(ISNUMBER(RU_Clean!AH128),ISNUMBER(RU_Clean!AH127)),(RU_Clean!AH128-RU_Clean!AH127)/RU_Clean!AH127*100,"")</f>
        <v>0.451907525449551</v>
      </c>
    </row>
    <row r="129" spans="1:34">
      <c r="A129" s="6">
        <f>RU_Clean!A129</f>
        <v>2023</v>
      </c>
      <c r="B129" s="6">
        <f>RU_Clean!B129</f>
        <v>5</v>
      </c>
      <c r="C129" s="6" t="str">
        <f>RU_Clean!C129</f>
        <v>May</v>
      </c>
      <c r="D129" s="9">
        <f>RU_Clean!D129</f>
        <v>45047</v>
      </c>
      <c r="E129" s="6"/>
      <c r="F129" s="6"/>
      <c r="G129" s="12">
        <f>IF(AND(ISNUMBER(RU_Clean!G129),ISNUMBER(RU_Clean!G128)),(RU_Clean!G129-RU_Clean!G128)/RU_Clean!G128*100,"")</f>
        <v>-0.0575373993095643</v>
      </c>
      <c r="H129" s="12">
        <f>IF(AND(ISNUMBER(RU_Clean!H129),ISNUMBER(RU_Clean!H128)),(RU_Clean!H129-RU_Clean!H128)/RU_Clean!H128*100,"")</f>
        <v>2.38891543239369</v>
      </c>
      <c r="I129" s="12">
        <f>IF(AND(ISNUMBER(RU_Clean!I129),ISNUMBER(RU_Clean!I128)),(RU_Clean!I129-RU_Clean!I128)/RU_Clean!I128*100,"")</f>
        <v>2.12264150943396</v>
      </c>
      <c r="J129" s="12">
        <f>IF(AND(ISNUMBER(RU_Clean!J129),ISNUMBER(RU_Clean!J128)),(RU_Clean!J129-RU_Clean!J128)/RU_Clean!J128*100,"")</f>
        <v>0.616591928251118</v>
      </c>
      <c r="K129" s="12">
        <f>IF(AND(ISNUMBER(RU_Clean!K129),ISNUMBER(RU_Clean!K128)),(RU_Clean!K129-RU_Clean!K128)/RU_Clean!K128*100,"")</f>
        <v>-2.80160091480846</v>
      </c>
      <c r="L129" s="12">
        <f>IF(AND(ISNUMBER(RU_Clean!L129),ISNUMBER(RU_Clean!L128)),(RU_Clean!L129-RU_Clean!L128)/RU_Clean!L128*100,"")</f>
        <v>-2.32558139534885</v>
      </c>
      <c r="M129" s="12">
        <f>IF(AND(ISNUMBER(RU_Clean!M129),ISNUMBER(RU_Clean!M128)),(RU_Clean!M129-RU_Clean!M128)/RU_Clean!M128*100,"")</f>
        <v>3.6036036036036</v>
      </c>
      <c r="N129" s="12">
        <f>IF(AND(ISNUMBER(RU_Clean!N129),ISNUMBER(RU_Clean!N128)),(RU_Clean!N129-RU_Clean!N128)/RU_Clean!N128*100,"")</f>
        <v>1.26874279123413</v>
      </c>
      <c r="O129" s="12">
        <f>IF(AND(ISNUMBER(RU_Clean!O129),ISNUMBER(RU_Clean!O128)),(RU_Clean!O129-RU_Clean!O128)/RU_Clean!O128*100,"")</f>
        <v>1.15416323165705</v>
      </c>
      <c r="P129" s="12">
        <f>IF(AND(ISNUMBER(RU_Clean!P129),ISNUMBER(RU_Clean!P128)),(RU_Clean!P129-RU_Clean!P128)/RU_Clean!P128*100,"")</f>
        <v>2.39549084077031</v>
      </c>
      <c r="Q129" s="12">
        <f>IF(AND(ISNUMBER(RU_Clean!Q129),ISNUMBER(RU_Clean!Q128)),(RU_Clean!Q129-RU_Clean!Q128)/RU_Clean!Q128*100,"")</f>
        <v>0.289184499710816</v>
      </c>
      <c r="R129" s="12">
        <f>IF(AND(ISNUMBER(RU_Clean!R129),ISNUMBER(RU_Clean!R128)),(RU_Clean!R129-RU_Clean!R128)/RU_Clean!R128*100,"")</f>
        <v>0.361757105943147</v>
      </c>
      <c r="S129" s="12">
        <f>IF(AND(ISNUMBER(RU_Clean!S129),ISNUMBER(RU_Clean!S128)),(RU_Clean!S129-RU_Clean!S128)/RU_Clean!S128*100,"")</f>
        <v>0.674536256323771</v>
      </c>
      <c r="T129" s="12">
        <f>IF(AND(ISNUMBER(RU_Clean!T129),ISNUMBER(RU_Clean!T128)),(RU_Clean!T129-RU_Clean!T128)/RU_Clean!T128*100,"")</f>
        <v>0.199401794616154</v>
      </c>
      <c r="U129" s="12">
        <f>IF(AND(ISNUMBER(RU_Clean!U129),ISNUMBER(RU_Clean!U128)),(RU_Clean!U129-RU_Clean!U128)/RU_Clean!U128*100,"")</f>
        <v>0.214018191546284</v>
      </c>
      <c r="V129" s="12">
        <f>IF(AND(ISNUMBER(RU_Clean!V129),ISNUMBER(RU_Clean!V128)),(RU_Clean!V129-RU_Clean!V128)/RU_Clean!V128*100,"")</f>
        <v>0.279017857142857</v>
      </c>
      <c r="W129" s="12">
        <f>IF(AND(ISNUMBER(RU_Clean!W129),ISNUMBER(RU_Clean!W128)),(RU_Clean!W129-RU_Clean!W128)/RU_Clean!W128*100,"")</f>
        <v>0.269251480883145</v>
      </c>
      <c r="X129" s="12">
        <f>IF(AND(ISNUMBER(RU_Clean!X129),ISNUMBER(RU_Clean!X128)),(RU_Clean!X129-RU_Clean!X128)/RU_Clean!X128*100,"")</f>
        <v>0.228310502283108</v>
      </c>
      <c r="Y129" s="12">
        <f>IF(AND(ISNUMBER(RU_Clean!Y129),ISNUMBER(RU_Clean!Y128)),(RU_Clean!Y129-RU_Clean!Y128)/RU_Clean!Y128*100,"")</f>
        <v>0.605393505778769</v>
      </c>
      <c r="Z129" s="12">
        <f>IF(AND(ISNUMBER(RU_Clean!Z129),ISNUMBER(RU_Clean!Z128)),(RU_Clean!Z129-RU_Clean!Z128)/RU_Clean!Z128*100,"")</f>
        <v>0.343642611683846</v>
      </c>
      <c r="AA129" s="12">
        <f>IF(AND(ISNUMBER(RU_Clean!AA129),ISNUMBER(RU_Clean!AA128)),(RU_Clean!AA129-RU_Clean!AA128)/RU_Clean!AA128*100,"")</f>
        <v>0.378378378378372</v>
      </c>
      <c r="AB129" s="12">
        <f>IF(AND(ISNUMBER(RU_Clean!AB129),ISNUMBER(RU_Clean!AB128)),(RU_Clean!AB129-RU_Clean!AB128)/RU_Clean!AB128*100,"")</f>
        <v>0.1823708206687</v>
      </c>
      <c r="AC129" s="12">
        <f>IF(AND(ISNUMBER(RU_Clean!AC129),ISNUMBER(RU_Clean!AC128)),(RU_Clean!AC129-RU_Clean!AC128)/RU_Clean!AC128*100,"")</f>
        <v>0.292911540714704</v>
      </c>
      <c r="AD129" s="12">
        <f>IF(AND(ISNUMBER(RU_Clean!AD129),ISNUMBER(RU_Clean!AD128)),(RU_Clean!AD129-RU_Clean!AD128)/RU_Clean!AD128*100,"")</f>
        <v>0.39682539682539</v>
      </c>
      <c r="AE129" s="12">
        <f>IF(AND(ISNUMBER(RU_Clean!AE129),ISNUMBER(RU_Clean!AE128)),(RU_Clean!AE129-RU_Clean!AE128)/RU_Clean!AE128*100,"")</f>
        <v>0.652173913043472</v>
      </c>
      <c r="AF129" s="12">
        <f>IF(AND(ISNUMBER(RU_Clean!AF129),ISNUMBER(RU_Clean!AF128)),(RU_Clean!AF129-RU_Clean!AF128)/RU_Clean!AF128*100,"")</f>
        <v>0.399999999999994</v>
      </c>
      <c r="AG129" s="12">
        <f>IF(AND(ISNUMBER(RU_Clean!AG129),ISNUMBER(RU_Clean!AG128)),(RU_Clean!AG129-RU_Clean!AG128)/RU_Clean!AG128*100,"")</f>
        <v>0.561482313307131</v>
      </c>
      <c r="AH129" s="12">
        <f>IF(AND(ISNUMBER(RU_Clean!AH129),ISNUMBER(RU_Clean!AH128)),(RU_Clean!AH129-RU_Clean!AH128)/RU_Clean!AH128*100,"")</f>
        <v>0.762418904200403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9"/>
  <sheetViews>
    <sheetView workbookViewId="0">
      <pane xSplit="6" ySplit="4" topLeftCell="AA5" activePane="bottomRight" state="frozen"/>
      <selection/>
      <selection pane="topRight"/>
      <selection pane="bottomLeft"/>
      <selection pane="bottomRight" activeCell="AH17" sqref="AH17"/>
    </sheetView>
  </sheetViews>
  <sheetFormatPr defaultColWidth="8.67592592592593" defaultRowHeight="14.4"/>
  <cols>
    <col min="1" max="34" width="12" customWidth="1"/>
  </cols>
  <sheetData>
    <row r="1" ht="17.4" spans="1:34">
      <c r="A1" s="1" t="s">
        <v>76</v>
      </c>
    </row>
    <row r="2" spans="1:34">
      <c r="A2" s="2" t="s">
        <v>75</v>
      </c>
    </row>
    <row r="4" ht="54.75" customHeight="1" spans="1:34">
      <c r="A4" s="8" t="s">
        <v>19</v>
      </c>
      <c r="B4" s="8" t="s">
        <v>66</v>
      </c>
      <c r="C4" s="8" t="s">
        <v>20</v>
      </c>
      <c r="D4" s="8" t="s">
        <v>67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44</v>
      </c>
      <c r="AE4" s="8" t="s">
        <v>45</v>
      </c>
      <c r="AF4" s="8" t="s">
        <v>46</v>
      </c>
      <c r="AG4" s="8" t="s">
        <v>47</v>
      </c>
      <c r="AH4" s="8" t="s">
        <v>73</v>
      </c>
    </row>
    <row r="5" spans="1:34">
      <c r="A5" s="6">
        <f>RU_Clean!A5</f>
        <v>2013</v>
      </c>
      <c r="B5" s="6">
        <f>RU_Clean!B5</f>
        <v>1</v>
      </c>
      <c r="C5" s="6" t="str">
        <f>RU_Clean!C5</f>
        <v>January</v>
      </c>
      <c r="D5" s="9">
        <f>RU_Clean!D5</f>
        <v>41275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>
      <c r="A6" s="6">
        <f>RU_Clean!A6</f>
        <v>2013</v>
      </c>
      <c r="B6" s="6">
        <f>RU_Clean!B6</f>
        <v>2</v>
      </c>
      <c r="C6" s="6" t="str">
        <f>RU_Clean!C6</f>
        <v>February</v>
      </c>
      <c r="D6" s="9">
        <f>RU_Clean!D6</f>
        <v>41306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>
      <c r="A7" s="6">
        <f>RU_Clean!A7</f>
        <v>2013</v>
      </c>
      <c r="B7" s="6">
        <f>RU_Clean!B7</f>
        <v>3</v>
      </c>
      <c r="C7" s="6" t="str">
        <f>RU_Clean!C7</f>
        <v>March</v>
      </c>
      <c r="D7" s="9">
        <f>RU_Clean!D7</f>
        <v>41334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>
      <c r="A8" s="6">
        <f>RU_Clean!A8</f>
        <v>2013</v>
      </c>
      <c r="B8" s="6">
        <f>RU_Clean!B8</f>
        <v>4</v>
      </c>
      <c r="C8" s="6" t="str">
        <f>RU_Clean!C8</f>
        <v>April</v>
      </c>
      <c r="D8" s="9">
        <f>RU_Clean!D8</f>
        <v>41365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>
      <c r="A9" s="6">
        <f>RU_Clean!A9</f>
        <v>2013</v>
      </c>
      <c r="B9" s="6">
        <f>RU_Clean!B9</f>
        <v>5</v>
      </c>
      <c r="C9" s="6" t="str">
        <f>RU_Clean!C9</f>
        <v>May</v>
      </c>
      <c r="D9" s="9">
        <f>RU_Clean!D9</f>
        <v>41395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>
      <c r="A10" s="6">
        <f>RU_Clean!A10</f>
        <v>2013</v>
      </c>
      <c r="B10" s="6">
        <f>RU_Clean!B10</f>
        <v>6</v>
      </c>
      <c r="C10" s="6" t="str">
        <f>RU_Clean!C10</f>
        <v>June</v>
      </c>
      <c r="D10" s="9">
        <f>RU_Clean!D10</f>
        <v>41426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>
      <c r="A11" s="6">
        <f>RU_Clean!A11</f>
        <v>2013</v>
      </c>
      <c r="B11" s="6">
        <f>RU_Clean!B11</f>
        <v>7</v>
      </c>
      <c r="C11" s="6" t="str">
        <f>RU_Clean!C11</f>
        <v>July</v>
      </c>
      <c r="D11" s="9">
        <f>RU_Clean!D11</f>
        <v>41456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>
      <c r="A12" s="6">
        <f>RU_Clean!A12</f>
        <v>2013</v>
      </c>
      <c r="B12" s="6">
        <f>RU_Clean!B12</f>
        <v>8</v>
      </c>
      <c r="C12" s="6" t="str">
        <f>RU_Clean!C12</f>
        <v>August</v>
      </c>
      <c r="D12" s="9">
        <f>RU_Clean!D12</f>
        <v>41487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>
      <c r="A13" s="6">
        <f>RU_Clean!A13</f>
        <v>2013</v>
      </c>
      <c r="B13" s="6">
        <f>RU_Clean!B13</f>
        <v>9</v>
      </c>
      <c r="C13" s="6" t="str">
        <f>RU_Clean!C13</f>
        <v>September</v>
      </c>
      <c r="D13" s="9">
        <f>RU_Clean!D13</f>
        <v>41518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>
      <c r="A14" s="6">
        <f>RU_Clean!A14</f>
        <v>2013</v>
      </c>
      <c r="B14" s="6">
        <f>RU_Clean!B14</f>
        <v>10</v>
      </c>
      <c r="C14" s="6" t="str">
        <f>RU_Clean!C14</f>
        <v>October</v>
      </c>
      <c r="D14" s="9">
        <f>RU_Clean!D14</f>
        <v>41548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>
      <c r="A15" s="6">
        <f>RU_Clean!A15</f>
        <v>2013</v>
      </c>
      <c r="B15" s="6">
        <f>RU_Clean!B15</f>
        <v>11</v>
      </c>
      <c r="C15" s="6" t="str">
        <f>RU_Clean!C15</f>
        <v>November</v>
      </c>
      <c r="D15" s="9">
        <f>RU_Clean!D15</f>
        <v>41579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>
      <c r="A16" s="6">
        <f>RU_Clean!A16</f>
        <v>2013</v>
      </c>
      <c r="B16" s="6">
        <f>RU_Clean!B16</f>
        <v>12</v>
      </c>
      <c r="C16" s="6" t="str">
        <f>RU_Clean!C16</f>
        <v>December</v>
      </c>
      <c r="D16" s="9">
        <f>RU_Clean!D16</f>
        <v>41609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>
      <c r="A17" s="6">
        <f>RU_Clean!A17</f>
        <v>2014</v>
      </c>
      <c r="B17" s="6">
        <f>RU_Clean!B17</f>
        <v>1</v>
      </c>
      <c r="C17" s="6" t="str">
        <f>RU_Clean!C17</f>
        <v>January</v>
      </c>
      <c r="D17" s="9">
        <f>RU_Clean!D17</f>
        <v>41640</v>
      </c>
      <c r="E17" s="6"/>
      <c r="F17" s="6"/>
      <c r="G17" s="12">
        <f>IF(AND(ISNUMBER(RU_Clean!G17),ISNUMBER(RU_Clean!G5)),(RU_Clean!G17-RU_Clean!G5)/RU_Clean!G5*100,"")</f>
        <v>10.3321033210332</v>
      </c>
      <c r="H17" s="12">
        <f>IF(AND(ISNUMBER(RU_Clean!H17),ISNUMBER(RU_Clean!H5)),(RU_Clean!H17-RU_Clean!H5)/RU_Clean!H5*100,"")</f>
        <v>10.71761416589</v>
      </c>
      <c r="I17" s="12">
        <f>IF(AND(ISNUMBER(RU_Clean!I17),ISNUMBER(RU_Clean!I5)),(RU_Clean!I17-RU_Clean!I5)/RU_Clean!I5*100,"")</f>
        <v>12.8181818181818</v>
      </c>
      <c r="J17" s="12">
        <f>IF(AND(ISNUMBER(RU_Clean!J17),ISNUMBER(RU_Clean!J5)),(RU_Clean!J17-RU_Clean!J5)/RU_Clean!J5*100,"")</f>
        <v>9.29118773946359</v>
      </c>
      <c r="K17" s="12">
        <f>IF(AND(ISNUMBER(RU_Clean!K17),ISNUMBER(RU_Clean!K5)),(RU_Clean!K17-RU_Clean!K5)/RU_Clean!K5*100,"")</f>
        <v>1.6175071360609</v>
      </c>
      <c r="L17" s="12">
        <f>IF(AND(ISNUMBER(RU_Clean!L17),ISNUMBER(RU_Clean!L5)),(RU_Clean!L17-RU_Clean!L5)/RU_Clean!L5*100,"")</f>
        <v>10.3682170542636</v>
      </c>
      <c r="M17" s="12">
        <f>IF(AND(ISNUMBER(RU_Clean!M17),ISNUMBER(RU_Clean!M5)),(RU_Clean!M17-RU_Clean!M5)/RU_Clean!M5*100,"")</f>
        <v>19.5694716242661</v>
      </c>
      <c r="N17" s="12">
        <f>IF(AND(ISNUMBER(RU_Clean!N17),ISNUMBER(RU_Clean!N5)),(RU_Clean!N17-RU_Clean!N5)/RU_Clean!N5*100,"")</f>
        <v>2.73584905660378</v>
      </c>
      <c r="O17" s="12">
        <f>IF(AND(ISNUMBER(RU_Clean!O17),ISNUMBER(RU_Clean!O5)),(RU_Clean!O17-RU_Clean!O5)/RU_Clean!O5*100,"")</f>
        <v>-5.64971751412429</v>
      </c>
      <c r="P17" s="12">
        <f>IF(AND(ISNUMBER(RU_Clean!P17),ISNUMBER(RU_Clean!P5)),(RU_Clean!P17-RU_Clean!P5)/RU_Clean!P5*100,"")</f>
        <v>8.08179162609542</v>
      </c>
      <c r="Q17" s="12">
        <f>IF(AND(ISNUMBER(RU_Clean!Q17),ISNUMBER(RU_Clean!Q5)),(RU_Clean!Q17-RU_Clean!Q5)/RU_Clean!Q5*100,"")</f>
        <v>7.05433746425166</v>
      </c>
      <c r="R17" s="12">
        <f>IF(AND(ISNUMBER(RU_Clean!R17),ISNUMBER(RU_Clean!R5)),(RU_Clean!R17-RU_Clean!R5)/RU_Clean!R5*100,"")</f>
        <v>10.0652376514445</v>
      </c>
      <c r="S17" s="12">
        <f>IF(AND(ISNUMBER(RU_Clean!S17),ISNUMBER(RU_Clean!S5)),(RU_Clean!S17-RU_Clean!S5)/RU_Clean!S5*100,"")</f>
        <v>9.65909090909091</v>
      </c>
      <c r="T17" s="12">
        <f>IF(AND(ISNUMBER(RU_Clean!T17),ISNUMBER(RU_Clean!T5)),(RU_Clean!T17-RU_Clean!T5)/RU_Clean!T5*100,"")</f>
        <v>8.94386298763083</v>
      </c>
      <c r="U17" s="12">
        <f>IF(AND(ISNUMBER(RU_Clean!U17),ISNUMBER(RU_Clean!U5)),(RU_Clean!U17-RU_Clean!U5)/RU_Clean!U5*100,"")</f>
        <v>8.93697083725306</v>
      </c>
      <c r="V17" s="12">
        <f>IF(AND(ISNUMBER(RU_Clean!V17),ISNUMBER(RU_Clean!V5)),(RU_Clean!V17-RU_Clean!V5)/RU_Clean!V5*100,"")</f>
        <v>7.29857819905214</v>
      </c>
      <c r="W17" s="12">
        <f>IF(AND(ISNUMBER(RU_Clean!W17),ISNUMBER(RU_Clean!W5)),(RU_Clean!W17-RU_Clean!W5)/RU_Clean!W5*100,"")</f>
        <v>8.66290018832392</v>
      </c>
      <c r="X17" s="12">
        <f>IF(AND(ISNUMBER(RU_Clean!X17),ISNUMBER(RU_Clean!X5)),(RU_Clean!X17-RU_Clean!X5)/RU_Clean!X5*100,"")</f>
        <v>11.2662013958126</v>
      </c>
      <c r="Y17" s="12">
        <f>IF(AND(ISNUMBER(RU_Clean!Y17),ISNUMBER(RU_Clean!Y5)),(RU_Clean!Y17-RU_Clean!Y5)/RU_Clean!Y5*100,"")</f>
        <v>6.35071090047394</v>
      </c>
      <c r="Z17" s="12">
        <f>IF(AND(ISNUMBER(RU_Clean!Z17),ISNUMBER(RU_Clean!Z5)),(RU_Clean!Z17-RU_Clean!Z5)/RU_Clean!Z5*100,"")</f>
        <v>7.15648854961832</v>
      </c>
      <c r="AA17" s="12">
        <f>IF(AND(ISNUMBER(RU_Clean!AA17),ISNUMBER(RU_Clean!AA5)),(RU_Clean!AA17-RU_Clean!AA5)/RU_Clean!AA5*100,"")</f>
        <v>6.0576923076923</v>
      </c>
      <c r="AB17" s="12">
        <f>IF(AND(ISNUMBER(RU_Clean!AB17),ISNUMBER(RU_Clean!AB5)),(RU_Clean!AB17-RU_Clean!AB5)/RU_Clean!AB5*100,"")</f>
        <v>7.26744186046512</v>
      </c>
      <c r="AC17" s="12">
        <f>IF(AND(ISNUMBER(RU_Clean!AC17),ISNUMBER(RU_Clean!AC5)),(RU_Clean!AC17-RU_Clean!AC5)/RU_Clean!AC5*100,"")</f>
        <v>6.40155189136761</v>
      </c>
      <c r="AD17" s="12">
        <f>IF(AND(ISNUMBER(RU_Clean!AD17),ISNUMBER(RU_Clean!AD5)),(RU_Clean!AD17-RU_Clean!AD5)/RU_Clean!AD5*100,"")</f>
        <v>7.72200772200772</v>
      </c>
      <c r="AE17" s="12">
        <f>IF(AND(ISNUMBER(RU_Clean!AE17),ISNUMBER(RU_Clean!AE5)),(RU_Clean!AE17-RU_Clean!AE5)/RU_Clean!AE5*100,"")</f>
        <v>3.54066985645933</v>
      </c>
      <c r="AF17" s="12">
        <f>IF(AND(ISNUMBER(RU_Clean!AF17),ISNUMBER(RU_Clean!AF5)),(RU_Clean!AF17-RU_Clean!AF5)/RU_Clean!AF5*100,"")</f>
        <v>6.4485081809432</v>
      </c>
      <c r="AG17" s="12">
        <f>IF(AND(ISNUMBER(RU_Clean!AG17),ISNUMBER(RU_Clean!AG5)),(RU_Clean!AG17-RU_Clean!AG5)/RU_Clean!AG5*100,"")</f>
        <v>8.60420650095602</v>
      </c>
      <c r="AH17" s="12">
        <f>IF(AND(ISNUMBER(RU_Clean!AH17),ISNUMBER(RU_Clean!AH5)),(RU_Clean!AH17-RU_Clean!AH5)/RU_Clean!AH5*100,"")</f>
        <v>8.06973258657407</v>
      </c>
    </row>
    <row r="18" spans="1:34">
      <c r="A18" s="6">
        <f>RU_Clean!A18</f>
        <v>2014</v>
      </c>
      <c r="B18" s="6">
        <f>RU_Clean!B18</f>
        <v>2</v>
      </c>
      <c r="C18" s="6" t="str">
        <f>RU_Clean!C18</f>
        <v>February</v>
      </c>
      <c r="D18" s="9">
        <f>RU_Clean!D18</f>
        <v>41671</v>
      </c>
      <c r="E18" s="6"/>
      <c r="F18" s="6"/>
      <c r="G18" s="12">
        <f>IF(AND(ISNUMBER(RU_Clean!G18),ISNUMBER(RU_Clean!G6)),(RU_Clean!G18-RU_Clean!G6)/RU_Clean!G6*100,"")</f>
        <v>8.87681159420289</v>
      </c>
      <c r="H18" s="12">
        <f>IF(AND(ISNUMBER(RU_Clean!H18),ISNUMBER(RU_Clean!H6)),(RU_Clean!H18-RU_Clean!H6)/RU_Clean!H6*100,"")</f>
        <v>8.16696914700544</v>
      </c>
      <c r="I18" s="12">
        <f>IF(AND(ISNUMBER(RU_Clean!I18),ISNUMBER(RU_Clean!I6)),(RU_Clean!I18-RU_Clean!I6)/RU_Clean!I6*100,"")</f>
        <v>8.59929078014185</v>
      </c>
      <c r="J18" s="12">
        <f>IF(AND(ISNUMBER(RU_Clean!J18),ISNUMBER(RU_Clean!J6)),(RU_Clean!J18-RU_Clean!J6)/RU_Clean!J6*100,"")</f>
        <v>9.72354623450905</v>
      </c>
      <c r="K18" s="12">
        <f>IF(AND(ISNUMBER(RU_Clean!K18),ISNUMBER(RU_Clean!K6)),(RU_Clean!K18-RU_Clean!K6)/RU_Clean!K6*100,"")</f>
        <v>1.04265402843601</v>
      </c>
      <c r="L18" s="12">
        <f>IF(AND(ISNUMBER(RU_Clean!L18),ISNUMBER(RU_Clean!L6)),(RU_Clean!L18-RU_Clean!L6)/RU_Clean!L6*100,"")</f>
        <v>11.3899613899614</v>
      </c>
      <c r="M18" s="12">
        <f>IF(AND(ISNUMBER(RU_Clean!M18),ISNUMBER(RU_Clean!M6)),(RU_Clean!M18-RU_Clean!M6)/RU_Clean!M6*100,"")</f>
        <v>10.9496124031008</v>
      </c>
      <c r="N18" s="12">
        <f>IF(AND(ISNUMBER(RU_Clean!N18),ISNUMBER(RU_Clean!N6)),(RU_Clean!N18-RU_Clean!N6)/RU_Clean!N6*100,"")</f>
        <v>3.79867046533713</v>
      </c>
      <c r="O18" s="12">
        <f>IF(AND(ISNUMBER(RU_Clean!O18),ISNUMBER(RU_Clean!O6)),(RU_Clean!O18-RU_Clean!O6)/RU_Clean!O6*100,"")</f>
        <v>-5.61370123691721</v>
      </c>
      <c r="P18" s="12">
        <f>IF(AND(ISNUMBER(RU_Clean!P18),ISNUMBER(RU_Clean!P6)),(RU_Clean!P18-RU_Clean!P6)/RU_Clean!P6*100,"")</f>
        <v>8.36575875486382</v>
      </c>
      <c r="Q18" s="12">
        <f>IF(AND(ISNUMBER(RU_Clean!Q18),ISNUMBER(RU_Clean!Q6)),(RU_Clean!Q18-RU_Clean!Q6)/RU_Clean!Q6*100,"")</f>
        <v>6.72985781990521</v>
      </c>
      <c r="R18" s="12">
        <f>IF(AND(ISNUMBER(RU_Clean!R18),ISNUMBER(RU_Clean!R6)),(RU_Clean!R18-RU_Clean!R6)/RU_Clean!R6*100,"")</f>
        <v>9.69529085872576</v>
      </c>
      <c r="S18" s="12">
        <f>IF(AND(ISNUMBER(RU_Clean!S18),ISNUMBER(RU_Clean!S6)),(RU_Clean!S18-RU_Clean!S6)/RU_Clean!S6*100,"")</f>
        <v>8.16135084427768</v>
      </c>
      <c r="T18" s="12">
        <f>IF(AND(ISNUMBER(RU_Clean!T18),ISNUMBER(RU_Clean!T6)),(RU_Clean!T18-RU_Clean!T6)/RU_Clean!T6*100,"")</f>
        <v>8.51466414380322</v>
      </c>
      <c r="U18" s="12">
        <f>IF(AND(ISNUMBER(RU_Clean!U18),ISNUMBER(RU_Clean!U6)),(RU_Clean!U18-RU_Clean!U6)/RU_Clean!U6*100,"")</f>
        <v>8.88681010289991</v>
      </c>
      <c r="V18" s="12">
        <f>IF(AND(ISNUMBER(RU_Clean!V18),ISNUMBER(RU_Clean!V6)),(RU_Clean!V18-RU_Clean!V6)/RU_Clean!V6*100,"")</f>
        <v>6.88679245283019</v>
      </c>
      <c r="W18" s="12">
        <f>IF(AND(ISNUMBER(RU_Clean!W18),ISNUMBER(RU_Clean!W6)),(RU_Clean!W18-RU_Clean!W6)/RU_Clean!W6*100,"")</f>
        <v>8.52059925093634</v>
      </c>
      <c r="X18" s="12">
        <f>IF(AND(ISNUMBER(RU_Clean!X18),ISNUMBER(RU_Clean!X6)),(RU_Clean!X18-RU_Clean!X6)/RU_Clean!X6*100,"")</f>
        <v>12.0517928286853</v>
      </c>
      <c r="Y18" s="12">
        <f>IF(AND(ISNUMBER(RU_Clean!Y18),ISNUMBER(RU_Clean!Y6)),(RU_Clean!Y18-RU_Clean!Y6)/RU_Clean!Y6*100,"")</f>
        <v>6.03773584905661</v>
      </c>
      <c r="Z18" s="12">
        <f>IF(AND(ISNUMBER(RU_Clean!Z18),ISNUMBER(RU_Clean!Z6)),(RU_Clean!Z18-RU_Clean!Z6)/RU_Clean!Z6*100,"")</f>
        <v>7.22433460076045</v>
      </c>
      <c r="AA18" s="12">
        <f>IF(AND(ISNUMBER(RU_Clean!AA18),ISNUMBER(RU_Clean!AA6)),(RU_Clean!AA18-RU_Clean!AA6)/RU_Clean!AA6*100,"")</f>
        <v>5.93301435406699</v>
      </c>
      <c r="AB18" s="12">
        <f>IF(AND(ISNUMBER(RU_Clean!AB18),ISNUMBER(RU_Clean!AB6)),(RU_Clean!AB18-RU_Clean!AB6)/RU_Clean!AB6*100,"")</f>
        <v>6.62188099808061</v>
      </c>
      <c r="AC18" s="12">
        <f>IF(AND(ISNUMBER(RU_Clean!AC18),ISNUMBER(RU_Clean!AC6)),(RU_Clean!AC18-RU_Clean!AC6)/RU_Clean!AC6*100,"")</f>
        <v>6.27413127413127</v>
      </c>
      <c r="AD18" s="12">
        <f>IF(AND(ISNUMBER(RU_Clean!AD18),ISNUMBER(RU_Clean!AD6)),(RU_Clean!AD18-RU_Clean!AD6)/RU_Clean!AD6*100,"")</f>
        <v>7.60346487006736</v>
      </c>
      <c r="AE18" s="12">
        <f>IF(AND(ISNUMBER(RU_Clean!AE18),ISNUMBER(RU_Clean!AE6)),(RU_Clean!AE18-RU_Clean!AE6)/RU_Clean!AE6*100,"")</f>
        <v>4.01913875598086</v>
      </c>
      <c r="AF18" s="12">
        <f>IF(AND(ISNUMBER(RU_Clean!AF18),ISNUMBER(RU_Clean!AF6)),(RU_Clean!AF18-RU_Clean!AF6)/RU_Clean!AF6*100,"")</f>
        <v>6.22605363984674</v>
      </c>
      <c r="AG18" s="12">
        <f>IF(AND(ISNUMBER(RU_Clean!AG18),ISNUMBER(RU_Clean!AG6)),(RU_Clean!AG18-RU_Clean!AG6)/RU_Clean!AG6*100,"")</f>
        <v>7.88224121557455</v>
      </c>
      <c r="AH18" s="12">
        <f>IF(AND(ISNUMBER(RU_Clean!AH18),ISNUMBER(RU_Clean!AH6)),(RU_Clean!AH18-RU_Clean!AH6)/RU_Clean!AH6*100,"")</f>
        <v>6.82529743268627</v>
      </c>
    </row>
    <row r="19" spans="1:34">
      <c r="A19" s="6">
        <f>RU_Clean!A19</f>
        <v>2014</v>
      </c>
      <c r="B19" s="6">
        <f>RU_Clean!B19</f>
        <v>3</v>
      </c>
      <c r="C19" s="6" t="str">
        <f>RU_Clean!C19</f>
        <v>March</v>
      </c>
      <c r="D19" s="9">
        <f>RU_Clean!D19</f>
        <v>41699</v>
      </c>
      <c r="E19" s="6"/>
      <c r="F19" s="6"/>
      <c r="G19" s="12">
        <f>IF(AND(ISNUMBER(RU_Clean!G19),ISNUMBER(RU_Clean!G7)),(RU_Clean!G19-RU_Clean!G7)/RU_Clean!G7*100,"")</f>
        <v>8.34829443447037</v>
      </c>
      <c r="H19" s="12">
        <f>IF(AND(ISNUMBER(RU_Clean!H19),ISNUMBER(RU_Clean!H7)),(RU_Clean!H19-RU_Clean!H7)/RU_Clean!H7*100,"")</f>
        <v>8.75113947128532</v>
      </c>
      <c r="I19" s="12">
        <f>IF(AND(ISNUMBER(RU_Clean!I19),ISNUMBER(RU_Clean!I7)),(RU_Clean!I19-RU_Clean!I7)/RU_Clean!I7*100,"")</f>
        <v>8.81294964028777</v>
      </c>
      <c r="J19" s="12">
        <f>IF(AND(ISNUMBER(RU_Clean!J19),ISNUMBER(RU_Clean!J7)),(RU_Clean!J19-RU_Clean!J7)/RU_Clean!J7*100,"")</f>
        <v>10.4662226450999</v>
      </c>
      <c r="K19" s="12">
        <f>IF(AND(ISNUMBER(RU_Clean!K19),ISNUMBER(RU_Clean!K7)),(RU_Clean!K19-RU_Clean!K7)/RU_Clean!K7*100,"")</f>
        <v>1.90657769304099</v>
      </c>
      <c r="L19" s="12">
        <f>IF(AND(ISNUMBER(RU_Clean!L19),ISNUMBER(RU_Clean!L7)),(RU_Clean!L19-RU_Clean!L7)/RU_Clean!L7*100,"")</f>
        <v>12.7255460588794</v>
      </c>
      <c r="M19" s="12">
        <f>IF(AND(ISNUMBER(RU_Clean!M19),ISNUMBER(RU_Clean!M7)),(RU_Clean!M19-RU_Clean!M7)/RU_Clean!M7*100,"")</f>
        <v>13.7964774951076</v>
      </c>
      <c r="N19" s="12">
        <f>IF(AND(ISNUMBER(RU_Clean!N19),ISNUMBER(RU_Clean!N7)),(RU_Clean!N19-RU_Clean!N7)/RU_Clean!N7*100,"")</f>
        <v>4.57142857142857</v>
      </c>
      <c r="O19" s="12">
        <f>IF(AND(ISNUMBER(RU_Clean!O19),ISNUMBER(RU_Clean!O7)),(RU_Clean!O19-RU_Clean!O7)/RU_Clean!O7*100,"")</f>
        <v>-4.41458733205375</v>
      </c>
      <c r="P19" s="12">
        <f>IF(AND(ISNUMBER(RU_Clean!P19),ISNUMBER(RU_Clean!P7)),(RU_Clean!P19-RU_Clean!P7)/RU_Clean!P7*100,"")</f>
        <v>8.54368932038835</v>
      </c>
      <c r="Q19" s="12">
        <f>IF(AND(ISNUMBER(RU_Clean!Q19),ISNUMBER(RU_Clean!Q7)),(RU_Clean!Q19-RU_Clean!Q7)/RU_Clean!Q7*100,"")</f>
        <v>6.12052730696799</v>
      </c>
      <c r="R19" s="12">
        <f>IF(AND(ISNUMBER(RU_Clean!R19),ISNUMBER(RU_Clean!R7)),(RU_Clean!R19-RU_Clean!R7)/RU_Clean!R7*100,"")</f>
        <v>9.55004591368227</v>
      </c>
      <c r="S19" s="12">
        <f>IF(AND(ISNUMBER(RU_Clean!S19),ISNUMBER(RU_Clean!S7)),(RU_Clean!S19-RU_Clean!S7)/RU_Clean!S7*100,"")</f>
        <v>8.60617399438727</v>
      </c>
      <c r="T19" s="12">
        <f>IF(AND(ISNUMBER(RU_Clean!T19),ISNUMBER(RU_Clean!T7)),(RU_Clean!T19-RU_Clean!T7)/RU_Clean!T7*100,"")</f>
        <v>8.06754221388369</v>
      </c>
      <c r="U19" s="12">
        <f>IF(AND(ISNUMBER(RU_Clean!U19),ISNUMBER(RU_Clean!U7)),(RU_Clean!U19-RU_Clean!U7)/RU_Clean!U7*100,"")</f>
        <v>8.75232774674115</v>
      </c>
      <c r="V19" s="12">
        <f>IF(AND(ISNUMBER(RU_Clean!V19),ISNUMBER(RU_Clean!V7)),(RU_Clean!V19-RU_Clean!V7)/RU_Clean!V7*100,"")</f>
        <v>6.76056338028169</v>
      </c>
      <c r="W19" s="12">
        <f>IF(AND(ISNUMBER(RU_Clean!W19),ISNUMBER(RU_Clean!W7)),(RU_Clean!W19-RU_Clean!W7)/RU_Clean!W7*100,"")</f>
        <v>8.48089468779125</v>
      </c>
      <c r="X19" s="12">
        <f>IF(AND(ISNUMBER(RU_Clean!X19),ISNUMBER(RU_Clean!X7)),(RU_Clean!X19-RU_Clean!X7)/RU_Clean!X7*100,"")</f>
        <v>12.7490039840637</v>
      </c>
      <c r="Y19" s="12">
        <f>IF(AND(ISNUMBER(RU_Clean!Y19),ISNUMBER(RU_Clean!Y7)),(RU_Clean!Y19-RU_Clean!Y7)/RU_Clean!Y7*100,"")</f>
        <v>6.03204524033931</v>
      </c>
      <c r="Z19" s="12">
        <f>IF(AND(ISNUMBER(RU_Clean!Z19),ISNUMBER(RU_Clean!Z7)),(RU_Clean!Z19-RU_Clean!Z7)/RU_Clean!Z7*100,"")</f>
        <v>7.19696969696971</v>
      </c>
      <c r="AA19" s="12">
        <f>IF(AND(ISNUMBER(RU_Clean!AA19),ISNUMBER(RU_Clean!AA7)),(RU_Clean!AA19-RU_Clean!AA7)/RU_Clean!AA7*100,"")</f>
        <v>6.00571973307912</v>
      </c>
      <c r="AB19" s="12">
        <f>IF(AND(ISNUMBER(RU_Clean!AB19),ISNUMBER(RU_Clean!AB7)),(RU_Clean!AB19-RU_Clean!AB7)/RU_Clean!AB7*100,"")</f>
        <v>5.9942911512845</v>
      </c>
      <c r="AC19" s="12">
        <f>IF(AND(ISNUMBER(RU_Clean!AC19),ISNUMBER(RU_Clean!AC7)),(RU_Clean!AC19-RU_Clean!AC7)/RU_Clean!AC7*100,"")</f>
        <v>6.65380906460944</v>
      </c>
      <c r="AD19" s="12">
        <f>IF(AND(ISNUMBER(RU_Clean!AD19),ISNUMBER(RU_Clean!AD7)),(RU_Clean!AD19-RU_Clean!AD7)/RU_Clean!AD7*100,"")</f>
        <v>7.69230769230769</v>
      </c>
      <c r="AE19" s="12">
        <f>IF(AND(ISNUMBER(RU_Clean!AE19),ISNUMBER(RU_Clean!AE7)),(RU_Clean!AE19-RU_Clean!AE7)/RU_Clean!AE7*100,"")</f>
        <v>4.50623202301055</v>
      </c>
      <c r="AF19" s="12">
        <f>IF(AND(ISNUMBER(RU_Clean!AF19),ISNUMBER(RU_Clean!AF7)),(RU_Clean!AF19-RU_Clean!AF7)/RU_Clean!AF7*100,"")</f>
        <v>6.30372492836676</v>
      </c>
      <c r="AG19" s="12">
        <f>IF(AND(ISNUMBER(RU_Clean!AG19),ISNUMBER(RU_Clean!AG7)),(RU_Clean!AG19-RU_Clean!AG7)/RU_Clean!AG7*100,"")</f>
        <v>8.24644549763033</v>
      </c>
      <c r="AH19" s="12">
        <f>IF(AND(ISNUMBER(RU_Clean!AH19),ISNUMBER(RU_Clean!AH7)),(RU_Clean!AH19-RU_Clean!AH7)/RU_Clean!AH7*100,"")</f>
        <v>7.44655860934928</v>
      </c>
    </row>
    <row r="20" spans="1:34">
      <c r="A20" s="6">
        <f>RU_Clean!A20</f>
        <v>2014</v>
      </c>
      <c r="B20" s="6">
        <f>RU_Clean!B20</f>
        <v>4</v>
      </c>
      <c r="C20" s="6" t="str">
        <f>RU_Clean!C20</f>
        <v>April</v>
      </c>
      <c r="D20" s="9">
        <f>RU_Clean!D20</f>
        <v>41730</v>
      </c>
      <c r="E20" s="6"/>
      <c r="F20" s="6"/>
      <c r="G20" s="12">
        <f>IF(AND(ISNUMBER(RU_Clean!G20),ISNUMBER(RU_Clean!G8)),(RU_Clean!G20-RU_Clean!G8)/RU_Clean!G8*100,"")</f>
        <v>8.33333333333334</v>
      </c>
      <c r="H20" s="12">
        <f>IF(AND(ISNUMBER(RU_Clean!H20),ISNUMBER(RU_Clean!H8)),(RU_Clean!H20-RU_Clean!H8)/RU_Clean!H8*100,"")</f>
        <v>8.11541929666366</v>
      </c>
      <c r="I20" s="12">
        <f>IF(AND(ISNUMBER(RU_Clean!I20),ISNUMBER(RU_Clean!I8)),(RU_Clean!I20-RU_Clean!I8)/RU_Clean!I8*100,"")</f>
        <v>9.00562851782365</v>
      </c>
      <c r="J20" s="12">
        <f>IF(AND(ISNUMBER(RU_Clean!J20),ISNUMBER(RU_Clean!J8)),(RU_Clean!J20-RU_Clean!J8)/RU_Clean!J8*100,"")</f>
        <v>10.6906338694418</v>
      </c>
      <c r="K20" s="12">
        <f>IF(AND(ISNUMBER(RU_Clean!K20),ISNUMBER(RU_Clean!K8)),(RU_Clean!K20-RU_Clean!K8)/RU_Clean!K8*100,"")</f>
        <v>2.77777777777777</v>
      </c>
      <c r="L20" s="12">
        <f>IF(AND(ISNUMBER(RU_Clean!L20),ISNUMBER(RU_Clean!L8)),(RU_Clean!L20-RU_Clean!L8)/RU_Clean!L8*100,"")</f>
        <v>15.7943067033976</v>
      </c>
      <c r="M20" s="12">
        <f>IF(AND(ISNUMBER(RU_Clean!M20),ISNUMBER(RU_Clean!M8)),(RU_Clean!M20-RU_Clean!M8)/RU_Clean!M8*100,"")</f>
        <v>14.4075829383886</v>
      </c>
      <c r="N20" s="12">
        <f>IF(AND(ISNUMBER(RU_Clean!N20),ISNUMBER(RU_Clean!N8)),(RU_Clean!N20-RU_Clean!N8)/RU_Clean!N8*100,"")</f>
        <v>5.41310541310542</v>
      </c>
      <c r="O20" s="12">
        <f>IF(AND(ISNUMBER(RU_Clean!O20),ISNUMBER(RU_Clean!O8)),(RU_Clean!O20-RU_Clean!O8)/RU_Clean!O8*100,"")</f>
        <v>-1.64251207729469</v>
      </c>
      <c r="P20" s="12">
        <f>IF(AND(ISNUMBER(RU_Clean!P20),ISNUMBER(RU_Clean!P8)),(RU_Clean!P20-RU_Clean!P8)/RU_Clean!P8*100,"")</f>
        <v>9.0029041626331</v>
      </c>
      <c r="Q20" s="12">
        <f>IF(AND(ISNUMBER(RU_Clean!Q20),ISNUMBER(RU_Clean!Q8)),(RU_Clean!Q20-RU_Clean!Q8)/RU_Clean!Q8*100,"")</f>
        <v>5.59701492537313</v>
      </c>
      <c r="R20" s="12">
        <f>IF(AND(ISNUMBER(RU_Clean!R20),ISNUMBER(RU_Clean!R8)),(RU_Clean!R20-RU_Clean!R8)/RU_Clean!R8*100,"")</f>
        <v>9.3065693430657</v>
      </c>
      <c r="S20" s="12">
        <f>IF(AND(ISNUMBER(RU_Clean!S20),ISNUMBER(RU_Clean!S8)),(RU_Clean!S20-RU_Clean!S8)/RU_Clean!S8*100,"")</f>
        <v>9.19220055710305</v>
      </c>
      <c r="T20" s="12">
        <f>IF(AND(ISNUMBER(RU_Clean!T20),ISNUMBER(RU_Clean!T8)),(RU_Clean!T20-RU_Clean!T8)/RU_Clean!T8*100,"")</f>
        <v>7.90697674418605</v>
      </c>
      <c r="U20" s="12">
        <f>IF(AND(ISNUMBER(RU_Clean!U20),ISNUMBER(RU_Clean!U8)),(RU_Clean!U20-RU_Clean!U8)/RU_Clean!U8*100,"")</f>
        <v>8.70370370370371</v>
      </c>
      <c r="V20" s="12">
        <f>IF(AND(ISNUMBER(RU_Clean!V20),ISNUMBER(RU_Clean!V8)),(RU_Clean!V20-RU_Clean!V8)/RU_Clean!V8*100,"")</f>
        <v>7.10280373831775</v>
      </c>
      <c r="W20" s="12">
        <f>IF(AND(ISNUMBER(RU_Clean!W20),ISNUMBER(RU_Clean!W8)),(RU_Clean!W20-RU_Clean!W8)/RU_Clean!W8*100,"")</f>
        <v>8.43373493975903</v>
      </c>
      <c r="X20" s="12">
        <f>IF(AND(ISNUMBER(RU_Clean!X20),ISNUMBER(RU_Clean!X8)),(RU_Clean!X20-RU_Clean!X8)/RU_Clean!X8*100,"")</f>
        <v>13.3333333333333</v>
      </c>
      <c r="Y20" s="12">
        <f>IF(AND(ISNUMBER(RU_Clean!Y20),ISNUMBER(RU_Clean!Y8)),(RU_Clean!Y20-RU_Clean!Y8)/RU_Clean!Y8*100,"")</f>
        <v>5.63380281690141</v>
      </c>
      <c r="Z20" s="12">
        <f>IF(AND(ISNUMBER(RU_Clean!Z20),ISNUMBER(RU_Clean!Z8)),(RU_Clean!Z20-RU_Clean!Z8)/RU_Clean!Z8*100,"")</f>
        <v>6.86735653809972</v>
      </c>
      <c r="AA20" s="12">
        <f>IF(AND(ISNUMBER(RU_Clean!AA20),ISNUMBER(RU_Clean!AA8)),(RU_Clean!AA20-RU_Clean!AA8)/RU_Clean!AA8*100,"")</f>
        <v>5.88793922127256</v>
      </c>
      <c r="AB20" s="12">
        <f>IF(AND(ISNUMBER(RU_Clean!AB20),ISNUMBER(RU_Clean!AB8)),(RU_Clean!AB20-RU_Clean!AB8)/RU_Clean!AB8*100,"")</f>
        <v>6.20821394460363</v>
      </c>
      <c r="AC20" s="12">
        <f>IF(AND(ISNUMBER(RU_Clean!AC20),ISNUMBER(RU_Clean!AC8)),(RU_Clean!AC20-RU_Clean!AC8)/RU_Clean!AC8*100,"")</f>
        <v>6.42994241842611</v>
      </c>
      <c r="AD20" s="12">
        <f>IF(AND(ISNUMBER(RU_Clean!AD20),ISNUMBER(RU_Clean!AD8)),(RU_Clean!AD20-RU_Clean!AD8)/RU_Clean!AD8*100,"")</f>
        <v>7.33333333333334</v>
      </c>
      <c r="AE20" s="12">
        <f>IF(AND(ISNUMBER(RU_Clean!AE20),ISNUMBER(RU_Clean!AE8)),(RU_Clean!AE20-RU_Clean!AE8)/RU_Clean!AE8*100,"")</f>
        <v>5.92808551992225</v>
      </c>
      <c r="AF20" s="12">
        <f>IF(AND(ISNUMBER(RU_Clean!AF20),ISNUMBER(RU_Clean!AF8)),(RU_Clean!AF20-RU_Clean!AF8)/RU_Clean!AF8*100,"")</f>
        <v>6.39312977099237</v>
      </c>
      <c r="AG20" s="12">
        <f>IF(AND(ISNUMBER(RU_Clean!AG20),ISNUMBER(RU_Clean!AG8)),(RU_Clean!AG20-RU_Clean!AG8)/RU_Clean!AG8*100,"")</f>
        <v>8.48256361922714</v>
      </c>
      <c r="AH20" s="12">
        <f>IF(AND(ISNUMBER(RU_Clean!AH20),ISNUMBER(RU_Clean!AH8)),(RU_Clean!AH20-RU_Clean!AH8)/RU_Clean!AH8*100,"")</f>
        <v>8.10916179337232</v>
      </c>
    </row>
    <row r="21" spans="1:34">
      <c r="A21" s="6">
        <f>RU_Clean!A21</f>
        <v>2014</v>
      </c>
      <c r="B21" s="6">
        <f>RU_Clean!B21</f>
        <v>5</v>
      </c>
      <c r="C21" s="6" t="str">
        <f>RU_Clean!C21</f>
        <v>May</v>
      </c>
      <c r="D21" s="9">
        <f>RU_Clean!D21</f>
        <v>41760</v>
      </c>
      <c r="E21" s="6"/>
      <c r="F21" s="6"/>
      <c r="G21" s="12">
        <f>IF(AND(ISNUMBER(RU_Clean!G21),ISNUMBER(RU_Clean!G9)),(RU_Clean!G21-RU_Clean!G9)/RU_Clean!G9*100,"")</f>
        <v>7.83615316117542</v>
      </c>
      <c r="H21" s="12">
        <f>IF(AND(ISNUMBER(RU_Clean!H21),ISNUMBER(RU_Clean!H9)),(RU_Clean!H21-RU_Clean!H9)/RU_Clean!H9*100,"")</f>
        <v>9.25426774483378</v>
      </c>
      <c r="I21" s="12">
        <f>IF(AND(ISNUMBER(RU_Clean!I21),ISNUMBER(RU_Clean!I9)),(RU_Clean!I21-RU_Clean!I9)/RU_Clean!I9*100,"")</f>
        <v>10.6972301814709</v>
      </c>
      <c r="J21" s="12">
        <f>IF(AND(ISNUMBER(RU_Clean!J21),ISNUMBER(RU_Clean!J9)),(RU_Clean!J21-RU_Clean!J9)/RU_Clean!J9*100,"")</f>
        <v>10.8614232209738</v>
      </c>
      <c r="K21" s="12">
        <f>IF(AND(ISNUMBER(RU_Clean!K21),ISNUMBER(RU_Clean!K9)),(RU_Clean!K21-RU_Clean!K9)/RU_Clean!K9*100,"")</f>
        <v>3.65736284889316</v>
      </c>
      <c r="L21" s="12">
        <f>IF(AND(ISNUMBER(RU_Clean!L21),ISNUMBER(RU_Clean!L9)),(RU_Clean!L21-RU_Clean!L9)/RU_Clean!L9*100,"")</f>
        <v>16.8344007319305</v>
      </c>
      <c r="M21" s="12">
        <f>IF(AND(ISNUMBER(RU_Clean!M21),ISNUMBER(RU_Clean!M9)),(RU_Clean!M21-RU_Clean!M9)/RU_Clean!M9*100,"")</f>
        <v>10.7174490699734</v>
      </c>
      <c r="N21" s="12">
        <f>IF(AND(ISNUMBER(RU_Clean!N21),ISNUMBER(RU_Clean!N9)),(RU_Clean!N21-RU_Clean!N9)/RU_Clean!N9*100,"")</f>
        <v>5.765595463138</v>
      </c>
      <c r="O21" s="12">
        <f>IF(AND(ISNUMBER(RU_Clean!O21),ISNUMBER(RU_Clean!O9)),(RU_Clean!O21-RU_Clean!O9)/RU_Clean!O9*100,"")</f>
        <v>-0.290979631425797</v>
      </c>
      <c r="P21" s="12">
        <f>IF(AND(ISNUMBER(RU_Clean!P21),ISNUMBER(RU_Clean!P9)),(RU_Clean!P21-RU_Clean!P9)/RU_Clean!P9*100,"")</f>
        <v>8.72483221476511</v>
      </c>
      <c r="Q21" s="12">
        <f>IF(AND(ISNUMBER(RU_Clean!Q21),ISNUMBER(RU_Clean!Q9)),(RU_Clean!Q21-RU_Clean!Q9)/RU_Clean!Q9*100,"")</f>
        <v>5.18038852913969</v>
      </c>
      <c r="R21" s="12">
        <f>IF(AND(ISNUMBER(RU_Clean!R21),ISNUMBER(RU_Clean!R9)),(RU_Clean!R21-RU_Clean!R9)/RU_Clean!R9*100,"")</f>
        <v>8.95927601809955</v>
      </c>
      <c r="S21" s="12">
        <f>IF(AND(ISNUMBER(RU_Clean!S21),ISNUMBER(RU_Clean!S9)),(RU_Clean!S21-RU_Clean!S9)/RU_Clean!S9*100,"")</f>
        <v>8.88278388278388</v>
      </c>
      <c r="T21" s="12">
        <f>IF(AND(ISNUMBER(RU_Clean!T21),ISNUMBER(RU_Clean!T9)),(RU_Clean!T21-RU_Clean!T9)/RU_Clean!T9*100,"")</f>
        <v>7.55064456721916</v>
      </c>
      <c r="U21" s="12">
        <f>IF(AND(ISNUMBER(RU_Clean!U21),ISNUMBER(RU_Clean!U9)),(RU_Clean!U21-RU_Clean!U9)/RU_Clean!U9*100,"")</f>
        <v>8.55565777368905</v>
      </c>
      <c r="V21" s="12">
        <f>IF(AND(ISNUMBER(RU_Clean!V21),ISNUMBER(RU_Clean!V9)),(RU_Clean!V21-RU_Clean!V9)/RU_Clean!V9*100,"")</f>
        <v>7.26256983240223</v>
      </c>
      <c r="W21" s="12">
        <f>IF(AND(ISNUMBER(RU_Clean!W21),ISNUMBER(RU_Clean!W9)),(RU_Clean!W21-RU_Clean!W9)/RU_Clean!W9*100,"")</f>
        <v>8.38709677419354</v>
      </c>
      <c r="X21" s="12">
        <f>IF(AND(ISNUMBER(RU_Clean!X21),ISNUMBER(RU_Clean!X9)),(RU_Clean!X21-RU_Clean!X9)/RU_Clean!X9*100,"")</f>
        <v>13.7313432835821</v>
      </c>
      <c r="Y21" s="12">
        <f>IF(AND(ISNUMBER(RU_Clean!Y21),ISNUMBER(RU_Clean!Y9)),(RU_Clean!Y21-RU_Clean!Y9)/RU_Clean!Y9*100,"")</f>
        <v>4.7486033519553</v>
      </c>
      <c r="Z21" s="12">
        <f>IF(AND(ISNUMBER(RU_Clean!Z21),ISNUMBER(RU_Clean!Z9)),(RU_Clean!Z21-RU_Clean!Z9)/RU_Clean!Z9*100,"")</f>
        <v>6.73526660430308</v>
      </c>
      <c r="AA21" s="12">
        <f>IF(AND(ISNUMBER(RU_Clean!AA21),ISNUMBER(RU_Clean!AA9)),(RU_Clean!AA21-RU_Clean!AA9)/RU_Clean!AA9*100,"")</f>
        <v>5.57129367327667</v>
      </c>
      <c r="AB21" s="12">
        <f>IF(AND(ISNUMBER(RU_Clean!AB21),ISNUMBER(RU_Clean!AB9)),(RU_Clean!AB21-RU_Clean!AB9)/RU_Clean!AB9*100,"")</f>
        <v>7.01923076923077</v>
      </c>
      <c r="AC21" s="12">
        <f>IF(AND(ISNUMBER(RU_Clean!AC21),ISNUMBER(RU_Clean!AC9)),(RU_Clean!AC21-RU_Clean!AC9)/RU_Clean!AC9*100,"")</f>
        <v>6.10687022900764</v>
      </c>
      <c r="AD21" s="12">
        <f>IF(AND(ISNUMBER(RU_Clean!AD21),ISNUMBER(RU_Clean!AD9)),(RU_Clean!AD21-RU_Clean!AD9)/RU_Clean!AD9*100,"")</f>
        <v>7.00757575757576</v>
      </c>
      <c r="AE21" s="12">
        <f>IF(AND(ISNUMBER(RU_Clean!AE21),ISNUMBER(RU_Clean!AE9)),(RU_Clean!AE21-RU_Clean!AE9)/RU_Clean!AE9*100,"")</f>
        <v>6.64711632453568</v>
      </c>
      <c r="AF21" s="12">
        <f>IF(AND(ISNUMBER(RU_Clean!AF21),ISNUMBER(RU_Clean!AF9)),(RU_Clean!AF21-RU_Clean!AF9)/RU_Clean!AF9*100,"")</f>
        <v>6.6793893129771</v>
      </c>
      <c r="AG21" s="12">
        <f>IF(AND(ISNUMBER(RU_Clean!AG21),ISNUMBER(RU_Clean!AG9)),(RU_Clean!AG21-RU_Clean!AG9)/RU_Clean!AG9*100,"")</f>
        <v>8.32553788587464</v>
      </c>
      <c r="AH21" s="12">
        <f>IF(AND(ISNUMBER(RU_Clean!AH21),ISNUMBER(RU_Clean!AH9)),(RU_Clean!AH21-RU_Clean!AH9)/RU_Clean!AH9*100,"")</f>
        <v>8.24439288476416</v>
      </c>
    </row>
    <row r="22" spans="1:34">
      <c r="A22" s="6">
        <f>RU_Clean!A22</f>
        <v>2014</v>
      </c>
      <c r="B22" s="6">
        <f>RU_Clean!B22</f>
        <v>6</v>
      </c>
      <c r="C22" s="6" t="str">
        <f>RU_Clean!C22</f>
        <v>June</v>
      </c>
      <c r="D22" s="9">
        <f>RU_Clean!D22</f>
        <v>41791</v>
      </c>
      <c r="E22" s="6"/>
      <c r="F22" s="6"/>
      <c r="G22" s="12">
        <f>IF(AND(ISNUMBER(RU_Clean!G22),ISNUMBER(RU_Clean!G10)),(RU_Clean!G22-RU_Clean!G10)/RU_Clean!G10*100,"")</f>
        <v>6.76625659050967</v>
      </c>
      <c r="H22" s="12">
        <f>IF(AND(ISNUMBER(RU_Clean!H22),ISNUMBER(RU_Clean!H10)),(RU_Clean!H22-RU_Clean!H10)/RU_Clean!H10*100,"")</f>
        <v>7.13664055700608</v>
      </c>
      <c r="I22" s="12">
        <f>IF(AND(ISNUMBER(RU_Clean!I22),ISNUMBER(RU_Clean!I10)),(RU_Clean!I22-RU_Clean!I10)/RU_Clean!I10*100,"")</f>
        <v>5.46448087431694</v>
      </c>
      <c r="J22" s="12">
        <f>IF(AND(ISNUMBER(RU_Clean!J22),ISNUMBER(RU_Clean!J10)),(RU_Clean!J22-RU_Clean!J10)/RU_Clean!J10*100,"")</f>
        <v>10.9360518999073</v>
      </c>
      <c r="K22" s="12">
        <f>IF(AND(ISNUMBER(RU_Clean!K22),ISNUMBER(RU_Clean!K10)),(RU_Clean!K22-RU_Clean!K10)/RU_Clean!K10*100,"")</f>
        <v>3.45489443378118</v>
      </c>
      <c r="L22" s="12">
        <f>IF(AND(ISNUMBER(RU_Clean!L22),ISNUMBER(RU_Clean!L10)),(RU_Clean!L22-RU_Clean!L10)/RU_Clean!L10*100,"")</f>
        <v>15.8988256549232</v>
      </c>
      <c r="M22" s="12">
        <f>IF(AND(ISNUMBER(RU_Clean!M22),ISNUMBER(RU_Clean!M10)),(RU_Clean!M22-RU_Clean!M10)/RU_Clean!M10*100,"")</f>
        <v>4.26203630623519</v>
      </c>
      <c r="N22" s="12">
        <f>IF(AND(ISNUMBER(RU_Clean!N22),ISNUMBER(RU_Clean!N10)),(RU_Clean!N22-RU_Clean!N10)/RU_Clean!N10*100,"")</f>
        <v>5.73847601128881</v>
      </c>
      <c r="O22" s="12">
        <f>IF(AND(ISNUMBER(RU_Clean!O22),ISNUMBER(RU_Clean!O10)),(RU_Clean!O22-RU_Clean!O10)/RU_Clean!O10*100,"")</f>
        <v>-0.290697674418602</v>
      </c>
      <c r="P22" s="12">
        <f>IF(AND(ISNUMBER(RU_Clean!P22),ISNUMBER(RU_Clean!P10)),(RU_Clean!P22-RU_Clean!P10)/RU_Clean!P10*100,"")</f>
        <v>8.13623462630085</v>
      </c>
      <c r="Q22" s="12">
        <f>IF(AND(ISNUMBER(RU_Clean!Q22),ISNUMBER(RU_Clean!Q10)),(RU_Clean!Q22-RU_Clean!Q10)/RU_Clean!Q10*100,"")</f>
        <v>4.77064220183486</v>
      </c>
      <c r="R22" s="12">
        <f>IF(AND(ISNUMBER(RU_Clean!R22),ISNUMBER(RU_Clean!R10)),(RU_Clean!R22-RU_Clean!R10)/RU_Clean!R10*100,"")</f>
        <v>8.60215053763442</v>
      </c>
      <c r="S22" s="12">
        <f>IF(AND(ISNUMBER(RU_Clean!S22),ISNUMBER(RU_Clean!S10)),(RU_Clean!S22-RU_Clean!S10)/RU_Clean!S10*100,"")</f>
        <v>7.30837789661319</v>
      </c>
      <c r="T22" s="12">
        <f>IF(AND(ISNUMBER(RU_Clean!T22),ISNUMBER(RU_Clean!T10)),(RU_Clean!T22-RU_Clean!T10)/RU_Clean!T10*100,"")</f>
        <v>7.57990867579908</v>
      </c>
      <c r="U22" s="12">
        <f>IF(AND(ISNUMBER(RU_Clean!U22),ISNUMBER(RU_Clean!U10)),(RU_Clean!U22-RU_Clean!U10)/RU_Clean!U10*100,"")</f>
        <v>8.4931506849315</v>
      </c>
      <c r="V22" s="12">
        <f>IF(AND(ISNUMBER(RU_Clean!V22),ISNUMBER(RU_Clean!V10)),(RU_Clean!V22-RU_Clean!V10)/RU_Clean!V10*100,"")</f>
        <v>6.93802035152637</v>
      </c>
      <c r="W22" s="12">
        <f>IF(AND(ISNUMBER(RU_Clean!W22),ISNUMBER(RU_Clean!W10)),(RU_Clean!W22-RU_Clean!W10)/RU_Clean!W10*100,"")</f>
        <v>8.23421774931382</v>
      </c>
      <c r="X22" s="12">
        <f>IF(AND(ISNUMBER(RU_Clean!X22),ISNUMBER(RU_Clean!X10)),(RU_Clean!X22-RU_Clean!X10)/RU_Clean!X10*100,"")</f>
        <v>6.84803001876174</v>
      </c>
      <c r="Y22" s="12">
        <f>IF(AND(ISNUMBER(RU_Clean!Y22),ISNUMBER(RU_Clean!Y10)),(RU_Clean!Y22-RU_Clean!Y10)/RU_Clean!Y10*100,"")</f>
        <v>4.52446906740536</v>
      </c>
      <c r="Z22" s="12">
        <f>IF(AND(ISNUMBER(RU_Clean!Z22),ISNUMBER(RU_Clean!Z10)),(RU_Clean!Z22-RU_Clean!Z10)/RU_Clean!Z10*100,"")</f>
        <v>6.50557620817844</v>
      </c>
      <c r="AA22" s="12">
        <f>IF(AND(ISNUMBER(RU_Clean!AA22),ISNUMBER(RU_Clean!AA10)),(RU_Clean!AA22-RU_Clean!AA10)/RU_Clean!AA10*100,"")</f>
        <v>5.54511278195488</v>
      </c>
      <c r="AB22" s="12">
        <f>IF(AND(ISNUMBER(RU_Clean!AB22),ISNUMBER(RU_Clean!AB10)),(RU_Clean!AB22-RU_Clean!AB10)/RU_Clean!AB10*100,"")</f>
        <v>6.37488106565176</v>
      </c>
      <c r="AC22" s="12">
        <f>IF(AND(ISNUMBER(RU_Clean!AC22),ISNUMBER(RU_Clean!AC10)),(RU_Clean!AC22-RU_Clean!AC10)/RU_Clean!AC10*100,"")</f>
        <v>5.88235294117646</v>
      </c>
      <c r="AD22" s="12">
        <f>IF(AND(ISNUMBER(RU_Clean!AD22),ISNUMBER(RU_Clean!AD10)),(RU_Clean!AD22-RU_Clean!AD10)/RU_Clean!AD10*100,"")</f>
        <v>6.8901303538175</v>
      </c>
      <c r="AE22" s="12">
        <f>IF(AND(ISNUMBER(RU_Clean!AE22),ISNUMBER(RU_Clean!AE10)),(RU_Clean!AE22-RU_Clean!AE10)/RU_Clean!AE10*100,"")</f>
        <v>5.35019455252918</v>
      </c>
      <c r="AF22" s="12">
        <f>IF(AND(ISNUMBER(RU_Clean!AF22),ISNUMBER(RU_Clean!AF10)),(RU_Clean!AF22-RU_Clean!AF10)/RU_Clean!AF10*100,"")</f>
        <v>6.14366729678639</v>
      </c>
      <c r="AG22" s="12">
        <f>IF(AND(ISNUMBER(RU_Clean!AG22),ISNUMBER(RU_Clean!AG10)),(RU_Clean!AG22-RU_Clean!AG10)/RU_Clean!AG10*100,"")</f>
        <v>6.77035681610248</v>
      </c>
      <c r="AH22" s="12">
        <f>IF(AND(ISNUMBER(RU_Clean!AH22),ISNUMBER(RU_Clean!AH10)),(RU_Clean!AH22-RU_Clean!AH10)/RU_Clean!AH10*100,"")</f>
        <v>6.76084000604323</v>
      </c>
    </row>
    <row r="23" spans="1:34">
      <c r="A23" s="6">
        <f>RU_Clean!A23</f>
        <v>2014</v>
      </c>
      <c r="B23" s="6">
        <f>RU_Clean!B23</f>
        <v>7</v>
      </c>
      <c r="C23" s="6" t="str">
        <f>RU_Clean!C23</f>
        <v>July</v>
      </c>
      <c r="D23" s="9">
        <f>RU_Clean!D23</f>
        <v>41821</v>
      </c>
      <c r="E23" s="6"/>
      <c r="F23" s="6"/>
      <c r="G23" s="12">
        <f>IF(AND(ISNUMBER(RU_Clean!G23),ISNUMBER(RU_Clean!G11)),(RU_Clean!G23-RU_Clean!G11)/RU_Clean!G11*100,"")</f>
        <v>6.62020905923346</v>
      </c>
      <c r="H23" s="12">
        <f>IF(AND(ISNUMBER(RU_Clean!H23),ISNUMBER(RU_Clean!H11)),(RU_Clean!H23-RU_Clean!H11)/RU_Clean!H11*100,"")</f>
        <v>6.44329896907216</v>
      </c>
      <c r="I23" s="12">
        <f>IF(AND(ISNUMBER(RU_Clean!I23),ISNUMBER(RU_Clean!I11)),(RU_Clean!I23-RU_Clean!I11)/RU_Clean!I11*100,"")</f>
        <v>5.27256478999106</v>
      </c>
      <c r="J23" s="12">
        <f>IF(AND(ISNUMBER(RU_Clean!J23),ISNUMBER(RU_Clean!J11)),(RU_Clean!J23-RU_Clean!J11)/RU_Clean!J11*100,"")</f>
        <v>11.1111111111111</v>
      </c>
      <c r="K23" s="12">
        <f>IF(AND(ISNUMBER(RU_Clean!K23),ISNUMBER(RU_Clean!K11)),(RU_Clean!K23-RU_Clean!K11)/RU_Clean!K11*100,"")</f>
        <v>3.45158197507192</v>
      </c>
      <c r="L23" s="12">
        <f>IF(AND(ISNUMBER(RU_Clean!L23),ISNUMBER(RU_Clean!L11)),(RU_Clean!L23-RU_Clean!L11)/RU_Clean!L11*100,"")</f>
        <v>17.4574753804834</v>
      </c>
      <c r="M23" s="12">
        <f>IF(AND(ISNUMBER(RU_Clean!M23),ISNUMBER(RU_Clean!M11)),(RU_Clean!M23-RU_Clean!M11)/RU_Clean!M11*100,"")</f>
        <v>12.6428571428571</v>
      </c>
      <c r="N23" s="12">
        <f>IF(AND(ISNUMBER(RU_Clean!N23),ISNUMBER(RU_Clean!N11)),(RU_Clean!N23-RU_Clean!N11)/RU_Clean!N11*100,"")</f>
        <v>6.39097744360902</v>
      </c>
      <c r="O23" s="12">
        <f>IF(AND(ISNUMBER(RU_Clean!O23),ISNUMBER(RU_Clean!O11)),(RU_Clean!O23-RU_Clean!O11)/RU_Clean!O11*100,"")</f>
        <v>0.774443368828652</v>
      </c>
      <c r="P23" s="12">
        <f>IF(AND(ISNUMBER(RU_Clean!P23),ISNUMBER(RU_Clean!P11)),(RU_Clean!P23-RU_Clean!P11)/RU_Clean!P11*100,"")</f>
        <v>8.14606741573034</v>
      </c>
      <c r="Q23" s="12">
        <f>IF(AND(ISNUMBER(RU_Clean!Q23),ISNUMBER(RU_Clean!Q11)),(RU_Clean!Q23-RU_Clean!Q11)/RU_Clean!Q11*100,"")</f>
        <v>4.74452554744526</v>
      </c>
      <c r="R23" s="12">
        <f>IF(AND(ISNUMBER(RU_Clean!R23),ISNUMBER(RU_Clean!R11)),(RU_Clean!R23-RU_Clean!R11)/RU_Clean!R11*100,"")</f>
        <v>8.43694493783304</v>
      </c>
      <c r="S23" s="12">
        <f>IF(AND(ISNUMBER(RU_Clean!S23),ISNUMBER(RU_Clean!S11)),(RU_Clean!S23-RU_Clean!S11)/RU_Clean!S11*100,"")</f>
        <v>8.71839581517001</v>
      </c>
      <c r="T23" s="12">
        <f>IF(AND(ISNUMBER(RU_Clean!T23),ISNUMBER(RU_Clean!T11)),(RU_Clean!T23-RU_Clean!T11)/RU_Clean!T11*100,"")</f>
        <v>7.70625566636446</v>
      </c>
      <c r="U23" s="12">
        <f>IF(AND(ISNUMBER(RU_Clean!U23),ISNUMBER(RU_Clean!U11)),(RU_Clean!U23-RU_Clean!U11)/RU_Clean!U11*100,"")</f>
        <v>8.52994555353901</v>
      </c>
      <c r="V23" s="12">
        <f>IF(AND(ISNUMBER(RU_Clean!V23),ISNUMBER(RU_Clean!V11)),(RU_Clean!V23-RU_Clean!V11)/RU_Clean!V11*100,"")</f>
        <v>6.89338235294118</v>
      </c>
      <c r="W23" s="12">
        <f>IF(AND(ISNUMBER(RU_Clean!W23),ISNUMBER(RU_Clean!W11)),(RU_Clean!W23-RU_Clean!W11)/RU_Clean!W11*100,"")</f>
        <v>8.27272727272727</v>
      </c>
      <c r="X23" s="12">
        <f>IF(AND(ISNUMBER(RU_Clean!X23),ISNUMBER(RU_Clean!X11)),(RU_Clean!X23-RU_Clean!X11)/RU_Clean!X11*100,"")</f>
        <v>6.59238625812441</v>
      </c>
      <c r="Y23" s="12">
        <f>IF(AND(ISNUMBER(RU_Clean!Y23),ISNUMBER(RU_Clean!Y11)),(RU_Clean!Y23-RU_Clean!Y11)/RU_Clean!Y11*100,"")</f>
        <v>4.30402930402931</v>
      </c>
      <c r="Z23" s="12">
        <f>IF(AND(ISNUMBER(RU_Clean!Z23),ISNUMBER(RU_Clean!Z11)),(RU_Clean!Z23-RU_Clean!Z11)/RU_Clean!Z11*100,"")</f>
        <v>6.46950092421442</v>
      </c>
      <c r="AA23" s="12">
        <f>IF(AND(ISNUMBER(RU_Clean!AA23),ISNUMBER(RU_Clean!AA11)),(RU_Clean!AA23-RU_Clean!AA11)/RU_Clean!AA11*100,"")</f>
        <v>5.32710280373832</v>
      </c>
      <c r="AB23" s="12">
        <f>IF(AND(ISNUMBER(RU_Clean!AB23),ISNUMBER(RU_Clean!AB11)),(RU_Clean!AB23-RU_Clean!AB11)/RU_Clean!AB11*100,"")</f>
        <v>5.60224089635854</v>
      </c>
      <c r="AC23" s="12">
        <f>IF(AND(ISNUMBER(RU_Clean!AC23),ISNUMBER(RU_Clean!AC11)),(RU_Clean!AC23-RU_Clean!AC11)/RU_Clean!AC11*100,"")</f>
        <v>5.6550424128181</v>
      </c>
      <c r="AD23" s="12">
        <f>IF(AND(ISNUMBER(RU_Clean!AD23),ISNUMBER(RU_Clean!AD11)),(RU_Clean!AD23-RU_Clean!AD11)/RU_Clean!AD11*100,"")</f>
        <v>7.05774518790101</v>
      </c>
      <c r="AE23" s="12">
        <f>IF(AND(ISNUMBER(RU_Clean!AE23),ISNUMBER(RU_Clean!AE11)),(RU_Clean!AE23-RU_Clean!AE11)/RU_Clean!AE11*100,"")</f>
        <v>6.22568093385215</v>
      </c>
      <c r="AF23" s="12">
        <f>IF(AND(ISNUMBER(RU_Clean!AF23),ISNUMBER(RU_Clean!AF11)),(RU_Clean!AF23-RU_Clean!AF11)/RU_Clean!AF11*100,"")</f>
        <v>5.9869036482694</v>
      </c>
      <c r="AG23" s="12">
        <f>IF(AND(ISNUMBER(RU_Clean!AG23),ISNUMBER(RU_Clean!AG11)),(RU_Clean!AG23-RU_Clean!AG11)/RU_Clean!AG11*100,"")</f>
        <v>7.38738738738739</v>
      </c>
      <c r="AH23" s="12">
        <f>IF(AND(ISNUMBER(RU_Clean!AH23),ISNUMBER(RU_Clean!AH11)),(RU_Clean!AH23-RU_Clean!AH11)/RU_Clean!AH11*100,"")</f>
        <v>7.78941115318928</v>
      </c>
    </row>
    <row r="24" spans="1:34">
      <c r="A24" s="6">
        <f>RU_Clean!A24</f>
        <v>2014</v>
      </c>
      <c r="B24" s="6">
        <f>RU_Clean!B24</f>
        <v>8</v>
      </c>
      <c r="C24" s="6" t="str">
        <f>RU_Clean!C24</f>
        <v>August</v>
      </c>
      <c r="D24" s="9">
        <f>RU_Clean!D24</f>
        <v>41852</v>
      </c>
      <c r="E24" s="6"/>
      <c r="F24" s="6"/>
      <c r="G24" s="12">
        <f>IF(AND(ISNUMBER(RU_Clean!G24),ISNUMBER(RU_Clean!G12)),(RU_Clean!G24-RU_Clean!G12)/RU_Clean!G12*100,"")</f>
        <v>6.14186851211073</v>
      </c>
      <c r="H24" s="12">
        <f>IF(AND(ISNUMBER(RU_Clean!H24),ISNUMBER(RU_Clean!H12)),(RU_Clean!H24-RU_Clean!H12)/RU_Clean!H12*100,"")</f>
        <v>6.14334470989761</v>
      </c>
      <c r="I24" s="12">
        <f>IF(AND(ISNUMBER(RU_Clean!I24),ISNUMBER(RU_Clean!I12)),(RU_Clean!I24-RU_Clean!I12)/RU_Clean!I12*100,"")</f>
        <v>5.01342882721575</v>
      </c>
      <c r="J24" s="12">
        <f>IF(AND(ISNUMBER(RU_Clean!J24),ISNUMBER(RU_Clean!J12)),(RU_Clean!J24-RU_Clean!J12)/RU_Clean!J12*100,"")</f>
        <v>11.3138686131387</v>
      </c>
      <c r="K24" s="12">
        <f>IF(AND(ISNUMBER(RU_Clean!K24),ISNUMBER(RU_Clean!K12)),(RU_Clean!K24-RU_Clean!K12)/RU_Clean!K12*100,"")</f>
        <v>3.34928229665072</v>
      </c>
      <c r="L24" s="12">
        <f>IF(AND(ISNUMBER(RU_Clean!L24),ISNUMBER(RU_Clean!L12)),(RU_Clean!L24-RU_Clean!L12)/RU_Clean!L12*100,"")</f>
        <v>19.3989071038251</v>
      </c>
      <c r="M24" s="12">
        <f>IF(AND(ISNUMBER(RU_Clean!M24),ISNUMBER(RU_Clean!M12)),(RU_Clean!M24-RU_Clean!M12)/RU_Clean!M12*100,"")</f>
        <v>10.8036890645586</v>
      </c>
      <c r="N24" s="12">
        <f>IF(AND(ISNUMBER(RU_Clean!N24),ISNUMBER(RU_Clean!N12)),(RU_Clean!N24-RU_Clean!N12)/RU_Clean!N12*100,"")</f>
        <v>7.51173708920188</v>
      </c>
      <c r="O24" s="12">
        <f>IF(AND(ISNUMBER(RU_Clean!O24),ISNUMBER(RU_Clean!O12)),(RU_Clean!O24-RU_Clean!O12)/RU_Clean!O12*100,"")</f>
        <v>1.1639185257032</v>
      </c>
      <c r="P24" s="12">
        <f>IF(AND(ISNUMBER(RU_Clean!P24),ISNUMBER(RU_Clean!P12)),(RU_Clean!P24-RU_Clean!P12)/RU_Clean!P12*100,"")</f>
        <v>9.03165735567969</v>
      </c>
      <c r="Q24" s="12">
        <f>IF(AND(ISNUMBER(RU_Clean!Q24),ISNUMBER(RU_Clean!Q12)),(RU_Clean!Q24-RU_Clean!Q12)/RU_Clean!Q12*100,"")</f>
        <v>4.53720508166969</v>
      </c>
      <c r="R24" s="12">
        <f>IF(AND(ISNUMBER(RU_Clean!R24),ISNUMBER(RU_Clean!R12)),(RU_Clean!R24-RU_Clean!R12)/RU_Clean!R12*100,"")</f>
        <v>8.55379188712521</v>
      </c>
      <c r="S24" s="12">
        <f>IF(AND(ISNUMBER(RU_Clean!S24),ISNUMBER(RU_Clean!S12)),(RU_Clean!S24-RU_Clean!S12)/RU_Clean!S12*100,"")</f>
        <v>8.57632933104631</v>
      </c>
      <c r="T24" s="12">
        <f>IF(AND(ISNUMBER(RU_Clean!T24),ISNUMBER(RU_Clean!T12)),(RU_Clean!T24-RU_Clean!T12)/RU_Clean!T12*100,"")</f>
        <v>7.82374100719425</v>
      </c>
      <c r="U24" s="12">
        <f>IF(AND(ISNUMBER(RU_Clean!U24),ISNUMBER(RU_Clean!U12)),(RU_Clean!U24-RU_Clean!U12)/RU_Clean!U12*100,"")</f>
        <v>8.10810810810811</v>
      </c>
      <c r="V24" s="12">
        <f>IF(AND(ISNUMBER(RU_Clean!V24),ISNUMBER(RU_Clean!V12)),(RU_Clean!V24-RU_Clean!V12)/RU_Clean!V12*100,"")</f>
        <v>6.76416819012796</v>
      </c>
      <c r="W24" s="12">
        <f>IF(AND(ISNUMBER(RU_Clean!W24),ISNUMBER(RU_Clean!W12)),(RU_Clean!W24-RU_Clean!W12)/RU_Clean!W12*100,"")</f>
        <v>8.0397470641373</v>
      </c>
      <c r="X24" s="12">
        <f>IF(AND(ISNUMBER(RU_Clean!X24),ISNUMBER(RU_Clean!X12)),(RU_Clean!X24-RU_Clean!X12)/RU_Clean!X12*100,"")</f>
        <v>6.06060606060606</v>
      </c>
      <c r="Y24" s="12">
        <f>IF(AND(ISNUMBER(RU_Clean!Y24),ISNUMBER(RU_Clean!Y12)),(RU_Clean!Y24-RU_Clean!Y12)/RU_Clean!Y12*100,"")</f>
        <v>3.91978122151322</v>
      </c>
      <c r="Z24" s="12">
        <f>IF(AND(ISNUMBER(RU_Clean!Z24),ISNUMBER(RU_Clean!Z12)),(RU_Clean!Z24-RU_Clean!Z12)/RU_Clean!Z12*100,"")</f>
        <v>6.34774609015639</v>
      </c>
      <c r="AA24" s="12">
        <f>IF(AND(ISNUMBER(RU_Clean!AA24),ISNUMBER(RU_Clean!AA12)),(RU_Clean!AA24-RU_Clean!AA12)/RU_Clean!AA12*100,"")</f>
        <v>5.3953488372093</v>
      </c>
      <c r="AB24" s="12">
        <f>IF(AND(ISNUMBER(RU_Clean!AB24),ISNUMBER(RU_Clean!AB12)),(RU_Clean!AB24-RU_Clean!AB12)/RU_Clean!AB12*100,"")</f>
        <v>4.44444444444444</v>
      </c>
      <c r="AC24" s="12">
        <f>IF(AND(ISNUMBER(RU_Clean!AC24),ISNUMBER(RU_Clean!AC12)),(RU_Clean!AC24-RU_Clean!AC12)/RU_Clean!AC12*100,"")</f>
        <v>5.62851782363978</v>
      </c>
      <c r="AD24" s="12">
        <f>IF(AND(ISNUMBER(RU_Clean!AD24),ISNUMBER(RU_Clean!AD12)),(RU_Clean!AD24-RU_Clean!AD12)/RU_Clean!AD12*100,"")</f>
        <v>7.37033666969972</v>
      </c>
      <c r="AE24" s="12">
        <f>IF(AND(ISNUMBER(RU_Clean!AE24),ISNUMBER(RU_Clean!AE12)),(RU_Clean!AE24-RU_Clean!AE12)/RU_Clean!AE12*100,"")</f>
        <v>4.26944971537002</v>
      </c>
      <c r="AF24" s="12">
        <f>IF(AND(ISNUMBER(RU_Clean!AF24),ISNUMBER(RU_Clean!AF12)),(RU_Clean!AF24-RU_Clean!AF12)/RU_Clean!AF12*100,"")</f>
        <v>5.37534754402224</v>
      </c>
      <c r="AG24" s="12">
        <f>IF(AND(ISNUMBER(RU_Clean!AG24),ISNUMBER(RU_Clean!AG12)),(RU_Clean!AG24-RU_Clean!AG12)/RU_Clean!AG12*100,"")</f>
        <v>7.02846975088967</v>
      </c>
      <c r="AH24" s="12">
        <f>IF(AND(ISNUMBER(RU_Clean!AH24),ISNUMBER(RU_Clean!AH12)),(RU_Clean!AH24-RU_Clean!AH12)/RU_Clean!AH12*100,"")</f>
        <v>7.87037037037035</v>
      </c>
    </row>
    <row r="25" spans="1:34">
      <c r="A25" s="6">
        <f>RU_Clean!A25</f>
        <v>2014</v>
      </c>
      <c r="B25" s="6">
        <f>RU_Clean!B25</f>
        <v>9</v>
      </c>
      <c r="C25" s="6" t="str">
        <f>RU_Clean!C25</f>
        <v>September</v>
      </c>
      <c r="D25" s="9">
        <f>RU_Clean!D25</f>
        <v>41883</v>
      </c>
      <c r="E25" s="6"/>
      <c r="F25" s="6"/>
      <c r="G25" s="12">
        <f>IF(AND(ISNUMBER(RU_Clean!G25),ISNUMBER(RU_Clean!G13)),(RU_Clean!G25-RU_Clean!G13)/RU_Clean!G13*100,"")</f>
        <v>5.58419243986254</v>
      </c>
      <c r="H25" s="12">
        <f>IF(AND(ISNUMBER(RU_Clean!H25),ISNUMBER(RU_Clean!H13)),(RU_Clean!H25-RU_Clean!H13)/RU_Clean!H13*100,"")</f>
        <v>5.64585115483319</v>
      </c>
      <c r="I25" s="12">
        <f>IF(AND(ISNUMBER(RU_Clean!I25),ISNUMBER(RU_Clean!I13)),(RU_Clean!I25-RU_Clean!I13)/RU_Clean!I13*100,"")</f>
        <v>4.45235975066785</v>
      </c>
      <c r="J25" s="12">
        <f>IF(AND(ISNUMBER(RU_Clean!J25),ISNUMBER(RU_Clean!J13)),(RU_Clean!J25-RU_Clean!J13)/RU_Clean!J13*100,"")</f>
        <v>11.0407239819005</v>
      </c>
      <c r="K25" s="12">
        <f>IF(AND(ISNUMBER(RU_Clean!K25),ISNUMBER(RU_Clean!K13)),(RU_Clean!K25-RU_Clean!K13)/RU_Clean!K13*100,"")</f>
        <v>2.46913580246914</v>
      </c>
      <c r="L25" s="12">
        <f>IF(AND(ISNUMBER(RU_Clean!L25),ISNUMBER(RU_Clean!L13)),(RU_Clean!L25-RU_Clean!L13)/RU_Clean!L13*100,"")</f>
        <v>18.6393289841566</v>
      </c>
      <c r="M25" s="12">
        <f>IF(AND(ISNUMBER(RU_Clean!M25),ISNUMBER(RU_Clean!M13)),(RU_Clean!M25-RU_Clean!M13)/RU_Clean!M13*100,"")</f>
        <v>0.745804847731503</v>
      </c>
      <c r="N25" s="12">
        <f>IF(AND(ISNUMBER(RU_Clean!N25),ISNUMBER(RU_Clean!N13)),(RU_Clean!N25-RU_Clean!N13)/RU_Clean!N13*100,"")</f>
        <v>7.93650793650794</v>
      </c>
      <c r="O25" s="12">
        <f>IF(AND(ISNUMBER(RU_Clean!O25),ISNUMBER(RU_Clean!O13)),(RU_Clean!O25-RU_Clean!O13)/RU_Clean!O13*100,"")</f>
        <v>0.67895247332687</v>
      </c>
      <c r="P25" s="12">
        <f>IF(AND(ISNUMBER(RU_Clean!P25),ISNUMBER(RU_Clean!P13)),(RU_Clean!P25-RU_Clean!P13)/RU_Clean!P13*100,"")</f>
        <v>8.58725761772853</v>
      </c>
      <c r="Q25" s="12">
        <f>IF(AND(ISNUMBER(RU_Clean!Q25),ISNUMBER(RU_Clean!Q13)),(RU_Clean!Q25-RU_Clean!Q13)/RU_Clean!Q13*100,"")</f>
        <v>4.6070460704607</v>
      </c>
      <c r="R25" s="12">
        <f>IF(AND(ISNUMBER(RU_Clean!R25),ISNUMBER(RU_Clean!R13)),(RU_Clean!R25-RU_Clean!R13)/RU_Clean!R13*100,"")</f>
        <v>8.02792321116929</v>
      </c>
      <c r="S25" s="12">
        <f>IF(AND(ISNUMBER(RU_Clean!S25),ISNUMBER(RU_Clean!S13)),(RU_Clean!S25-RU_Clean!S13)/RU_Clean!S13*100,"")</f>
        <v>6.33981403212172</v>
      </c>
      <c r="T25" s="12">
        <f>IF(AND(ISNUMBER(RU_Clean!T25),ISNUMBER(RU_Clean!T13)),(RU_Clean!T25-RU_Clean!T13)/RU_Clean!T13*100,"")</f>
        <v>7.85714285714285</v>
      </c>
      <c r="U25" s="12">
        <f>IF(AND(ISNUMBER(RU_Clean!U25),ISNUMBER(RU_Clean!U13)),(RU_Clean!U25-RU_Clean!U13)/RU_Clean!U13*100,"")</f>
        <v>7.57575757575758</v>
      </c>
      <c r="V25" s="12">
        <f>IF(AND(ISNUMBER(RU_Clean!V25),ISNUMBER(RU_Clean!V13)),(RU_Clean!V25-RU_Clean!V13)/RU_Clean!V13*100,"")</f>
        <v>6.15942028985507</v>
      </c>
      <c r="W25" s="12">
        <f>IF(AND(ISNUMBER(RU_Clean!W25),ISNUMBER(RU_Clean!W13)),(RU_Clean!W25-RU_Clean!W13)/RU_Clean!W13*100,"")</f>
        <v>7.32797140303842</v>
      </c>
      <c r="X25" s="12">
        <f>IF(AND(ISNUMBER(RU_Clean!X25),ISNUMBER(RU_Clean!X13)),(RU_Clean!X25-RU_Clean!X13)/RU_Clean!X13*100,"")</f>
        <v>5.83409298085687</v>
      </c>
      <c r="Y25" s="12">
        <f>IF(AND(ISNUMBER(RU_Clean!Y25),ISNUMBER(RU_Clean!Y13)),(RU_Clean!Y25-RU_Clean!Y13)/RU_Clean!Y13*100,"")</f>
        <v>3.43891402714932</v>
      </c>
      <c r="Z25" s="12">
        <f>IF(AND(ISNUMBER(RU_Clean!Z25),ISNUMBER(RU_Clean!Z13)),(RU_Clean!Z25-RU_Clean!Z13)/RU_Clean!Z13*100,"")</f>
        <v>5.93065693430657</v>
      </c>
      <c r="AA25" s="12">
        <f>IF(AND(ISNUMBER(RU_Clean!AA25),ISNUMBER(RU_Clean!AA13)),(RU_Clean!AA25-RU_Clean!AA13)/RU_Clean!AA13*100,"")</f>
        <v>5.18038852913969</v>
      </c>
      <c r="AB25" s="12">
        <f>IF(AND(ISNUMBER(RU_Clean!AB25),ISNUMBER(RU_Clean!AB13)),(RU_Clean!AB25-RU_Clean!AB13)/RU_Clean!AB13*100,"")</f>
        <v>1.9108280254777</v>
      </c>
      <c r="AC25" s="12">
        <f>IF(AND(ISNUMBER(RU_Clean!AC25),ISNUMBER(RU_Clean!AC13)),(RU_Clean!AC25-RU_Clean!AC13)/RU_Clean!AC13*100,"")</f>
        <v>5.20930232558139</v>
      </c>
      <c r="AD25" s="12">
        <f>IF(AND(ISNUMBER(RU_Clean!AD25),ISNUMBER(RU_Clean!AD13)),(RU_Clean!AD25-RU_Clean!AD13)/RU_Clean!AD13*100,"")</f>
        <v>7.23327305605787</v>
      </c>
      <c r="AE25" s="12">
        <f>IF(AND(ISNUMBER(RU_Clean!AE25),ISNUMBER(RU_Clean!AE13)),(RU_Clean!AE25-RU_Clean!AE13)/RU_Clean!AE13*100,"")</f>
        <v>2.52808988764045</v>
      </c>
      <c r="AF25" s="12">
        <f>IF(AND(ISNUMBER(RU_Clean!AF25),ISNUMBER(RU_Clean!AF13)),(RU_Clean!AF25-RU_Clean!AF13)/RU_Clean!AF13*100,"")</f>
        <v>4.31192660550459</v>
      </c>
      <c r="AG25" s="12">
        <f>IF(AND(ISNUMBER(RU_Clean!AG25),ISNUMBER(RU_Clean!AG13)),(RU_Clean!AG25-RU_Clean!AG13)/RU_Clean!AG13*100,"")</f>
        <v>5.62884784520668</v>
      </c>
      <c r="AH25" s="12">
        <f>IF(AND(ISNUMBER(RU_Clean!AH25),ISNUMBER(RU_Clean!AH13)),(RU_Clean!AH25-RU_Clean!AH13)/RU_Clean!AH13*100,"")</f>
        <v>6.32736274938109</v>
      </c>
    </row>
    <row r="26" spans="1:34">
      <c r="A26" s="6">
        <f>RU_Clean!A26</f>
        <v>2014</v>
      </c>
      <c r="B26" s="6">
        <f>RU_Clean!B26</f>
        <v>10</v>
      </c>
      <c r="C26" s="6" t="str">
        <f>RU_Clean!C26</f>
        <v>October</v>
      </c>
      <c r="D26" s="9">
        <f>RU_Clean!D26</f>
        <v>41913</v>
      </c>
      <c r="E26" s="6"/>
      <c r="F26" s="6"/>
      <c r="G26" s="12">
        <f>IF(AND(ISNUMBER(RU_Clean!G26),ISNUMBER(RU_Clean!G14)),(RU_Clean!G26-RU_Clean!G14)/RU_Clean!G14*100,"")</f>
        <v>5.20922288642187</v>
      </c>
      <c r="H26" s="12">
        <f>IF(AND(ISNUMBER(RU_Clean!H26),ISNUMBER(RU_Clean!H14)),(RU_Clean!H26-RU_Clean!H14)/RU_Clean!H14*100,"")</f>
        <v>6.44883920894239</v>
      </c>
      <c r="I26" s="12">
        <f>IF(AND(ISNUMBER(RU_Clean!I26),ISNUMBER(RU_Clean!I14)),(RU_Clean!I26-RU_Clean!I14)/RU_Clean!I14*100,"")</f>
        <v>4.23654015887025</v>
      </c>
      <c r="J26" s="12">
        <f>IF(AND(ISNUMBER(RU_Clean!J26),ISNUMBER(RU_Clean!J14)),(RU_Clean!J26-RU_Clean!J14)/RU_Clean!J14*100,"")</f>
        <v>10.7913669064748</v>
      </c>
      <c r="K26" s="12">
        <f>IF(AND(ISNUMBER(RU_Clean!K26),ISNUMBER(RU_Clean!K14)),(RU_Clean!K26-RU_Clean!K14)/RU_Clean!K14*100,"")</f>
        <v>2.08136234626301</v>
      </c>
      <c r="L26" s="12">
        <f>IF(AND(ISNUMBER(RU_Clean!L26),ISNUMBER(RU_Clean!L14)),(RU_Clean!L26-RU_Clean!L14)/RU_Clean!L14*100,"")</f>
        <v>15.0136487716106</v>
      </c>
      <c r="M26" s="12">
        <f>IF(AND(ISNUMBER(RU_Clean!M26),ISNUMBER(RU_Clean!M14)),(RU_Clean!M26-RU_Clean!M14)/RU_Clean!M14*100,"")</f>
        <v>-8.41121495327102</v>
      </c>
      <c r="N26" s="12">
        <f>IF(AND(ISNUMBER(RU_Clean!N26),ISNUMBER(RU_Clean!N14)),(RU_Clean!N26-RU_Clean!N14)/RU_Clean!N14*100,"")</f>
        <v>8.20130475302889</v>
      </c>
      <c r="O26" s="12">
        <f>IF(AND(ISNUMBER(RU_Clean!O26),ISNUMBER(RU_Clean!O14)),(RU_Clean!O26-RU_Clean!O14)/RU_Clean!O14*100,"")</f>
        <v>0.389483933787723</v>
      </c>
      <c r="P26" s="12">
        <f>IF(AND(ISNUMBER(RU_Clean!P26),ISNUMBER(RU_Clean!P14)),(RU_Clean!P26-RU_Clean!P14)/RU_Clean!P14*100,"")</f>
        <v>8.64765409383624</v>
      </c>
      <c r="Q26" s="12">
        <f>IF(AND(ISNUMBER(RU_Clean!Q26),ISNUMBER(RU_Clean!Q14)),(RU_Clean!Q26-RU_Clean!Q14)/RU_Clean!Q14*100,"")</f>
        <v>4.40647482014388</v>
      </c>
      <c r="R26" s="12">
        <f>IF(AND(ISNUMBER(RU_Clean!R26),ISNUMBER(RU_Clean!R14)),(RU_Clean!R26-RU_Clean!R14)/RU_Clean!R14*100,"")</f>
        <v>7.88561525129982</v>
      </c>
      <c r="S26" s="12">
        <f>IF(AND(ISNUMBER(RU_Clean!S26),ISNUMBER(RU_Clean!S14)),(RU_Clean!S26-RU_Clean!S14)/RU_Clean!S14*100,"")</f>
        <v>4.3261231281198</v>
      </c>
      <c r="T26" s="12">
        <f>IF(AND(ISNUMBER(RU_Clean!T26),ISNUMBER(RU_Clean!T14)),(RU_Clean!T26-RU_Clean!T14)/RU_Clean!T14*100,"")</f>
        <v>7.64444444444444</v>
      </c>
      <c r="U26" s="12">
        <f>IF(AND(ISNUMBER(RU_Clean!U26),ISNUMBER(RU_Clean!U14)),(RU_Clean!U26-RU_Clean!U14)/RU_Clean!U14*100,"")</f>
        <v>7.3321554770318</v>
      </c>
      <c r="V26" s="12">
        <f>IF(AND(ISNUMBER(RU_Clean!V26),ISNUMBER(RU_Clean!V14)),(RU_Clean!V26-RU_Clean!V14)/RU_Clean!V14*100,"")</f>
        <v>6.20503597122301</v>
      </c>
      <c r="W26" s="12">
        <f>IF(AND(ISNUMBER(RU_Clean!W26),ISNUMBER(RU_Clean!W14)),(RU_Clean!W26-RU_Clean!W14)/RU_Clean!W14*100,"")</f>
        <v>7.26950354609929</v>
      </c>
      <c r="X26" s="12">
        <f>IF(AND(ISNUMBER(RU_Clean!X26),ISNUMBER(RU_Clean!X14)),(RU_Clean!X26-RU_Clean!X14)/RU_Clean!X14*100,"")</f>
        <v>5.61085972850679</v>
      </c>
      <c r="Y26" s="12">
        <f>IF(AND(ISNUMBER(RU_Clean!Y26),ISNUMBER(RU_Clean!Y14)),(RU_Clean!Y26-RU_Clean!Y14)/RU_Clean!Y14*100,"")</f>
        <v>3.42651036970243</v>
      </c>
      <c r="Z26" s="12">
        <f>IF(AND(ISNUMBER(RU_Clean!Z26),ISNUMBER(RU_Clean!Z14)),(RU_Clean!Z26-RU_Clean!Z14)/RU_Clean!Z14*100,"")</f>
        <v>5.8023572076156</v>
      </c>
      <c r="AA26" s="12">
        <f>IF(AND(ISNUMBER(RU_Clean!AA26),ISNUMBER(RU_Clean!AA14)),(RU_Clean!AA26-RU_Clean!AA14)/RU_Clean!AA14*100,"")</f>
        <v>5.24861878453039</v>
      </c>
      <c r="AB26" s="12">
        <f>IF(AND(ISNUMBER(RU_Clean!AB26),ISNUMBER(RU_Clean!AB14)),(RU_Clean!AB26-RU_Clean!AB14)/RU_Clean!AB14*100,"")</f>
        <v>2.10045662100456</v>
      </c>
      <c r="AC26" s="12">
        <f>IF(AND(ISNUMBER(RU_Clean!AC26),ISNUMBER(RU_Clean!AC14)),(RU_Clean!AC26-RU_Clean!AC14)/RU_Clean!AC14*100,"")</f>
        <v>4.81036077705828</v>
      </c>
      <c r="AD26" s="12">
        <f>IF(AND(ISNUMBER(RU_Clean!AD26),ISNUMBER(RU_Clean!AD14)),(RU_Clean!AD26-RU_Clean!AD14)/RU_Clean!AD14*100,"")</f>
        <v>7.22021660649819</v>
      </c>
      <c r="AE26" s="12">
        <f>IF(AND(ISNUMBER(RU_Clean!AE26),ISNUMBER(RU_Clean!AE14)),(RU_Clean!AE26-RU_Clean!AE14)/RU_Clean!AE14*100,"")</f>
        <v>2.048417132216</v>
      </c>
      <c r="AF26" s="12">
        <f>IF(AND(ISNUMBER(RU_Clean!AF26),ISNUMBER(RU_Clean!AF14)),(RU_Clean!AF26-RU_Clean!AF14)/RU_Clean!AF14*100,"")</f>
        <v>4.30402930402931</v>
      </c>
      <c r="AG26" s="12">
        <f>IF(AND(ISNUMBER(RU_Clean!AG26),ISNUMBER(RU_Clean!AG14)),(RU_Clean!AG26-RU_Clean!AG14)/RU_Clean!AG14*100,"")</f>
        <v>4.61672473867596</v>
      </c>
      <c r="AH26" s="12">
        <f>IF(AND(ISNUMBER(RU_Clean!AH26),ISNUMBER(RU_Clean!AH14)),(RU_Clean!AH26-RU_Clean!AH14)/RU_Clean!AH14*100,"")</f>
        <v>4.84172661870502</v>
      </c>
    </row>
    <row r="27" spans="1:34">
      <c r="A27" s="6">
        <f>RU_Clean!A27</f>
        <v>2014</v>
      </c>
      <c r="B27" s="6">
        <f>RU_Clean!B27</f>
        <v>11</v>
      </c>
      <c r="C27" s="6" t="str">
        <f>RU_Clean!C27</f>
        <v>November</v>
      </c>
      <c r="D27" s="9">
        <f>RU_Clean!D27</f>
        <v>41944</v>
      </c>
      <c r="E27" s="6"/>
      <c r="F27" s="6"/>
      <c r="G27" s="12">
        <f>IF(AND(ISNUMBER(RU_Clean!G27),ISNUMBER(RU_Clean!G15)),(RU_Clean!G27-RU_Clean!G15)/RU_Clean!G15*100,"")</f>
        <v>4.4030482641829</v>
      </c>
      <c r="H27" s="12">
        <f>IF(AND(ISNUMBER(RU_Clean!H27),ISNUMBER(RU_Clean!H15)),(RU_Clean!H27-RU_Clean!H15)/RU_Clean!H15*100,"")</f>
        <v>7.19237435008665</v>
      </c>
      <c r="I27" s="12">
        <f>IF(AND(ISNUMBER(RU_Clean!I27),ISNUMBER(RU_Clean!I15)),(RU_Clean!I27-RU_Clean!I15)/RU_Clean!I15*100,"")</f>
        <v>1.93765796124684</v>
      </c>
      <c r="J27" s="12">
        <f>IF(AND(ISNUMBER(RU_Clean!J27),ISNUMBER(RU_Clean!J15)),(RU_Clean!J27-RU_Clean!J15)/RU_Clean!J15*100,"")</f>
        <v>10.4</v>
      </c>
      <c r="K27" s="12">
        <f>IF(AND(ISNUMBER(RU_Clean!K27),ISNUMBER(RU_Clean!K15)),(RU_Clean!K27-RU_Clean!K15)/RU_Clean!K15*100,"")</f>
        <v>0.936329588014981</v>
      </c>
      <c r="L27" s="12">
        <f>IF(AND(ISNUMBER(RU_Clean!L27),ISNUMBER(RU_Clean!L15)),(RU_Clean!L27-RU_Clean!L15)/RU_Clean!L15*100,"")</f>
        <v>10.7488986784141</v>
      </c>
      <c r="M27" s="12">
        <f>IF(AND(ISNUMBER(RU_Clean!M27),ISNUMBER(RU_Clean!M15)),(RU_Clean!M27-RU_Clean!M15)/RU_Clean!M15*100,"")</f>
        <v>-16.7667941015838</v>
      </c>
      <c r="N27" s="12">
        <f>IF(AND(ISNUMBER(RU_Clean!N27),ISNUMBER(RU_Clean!N15)),(RU_Clean!N27-RU_Clean!N15)/RU_Clean!N15*100,"")</f>
        <v>8.31792975970425</v>
      </c>
      <c r="O27" s="12">
        <f>IF(AND(ISNUMBER(RU_Clean!O27),ISNUMBER(RU_Clean!O15)),(RU_Clean!O27-RU_Clean!O15)/RU_Clean!O15*100,"")</f>
        <v>-0.0978473581213391</v>
      </c>
      <c r="P27" s="12">
        <f>IF(AND(ISNUMBER(RU_Clean!P27),ISNUMBER(RU_Clean!P15)),(RU_Clean!P27-RU_Clean!P15)/RU_Clean!P15*100,"")</f>
        <v>8.50091407678245</v>
      </c>
      <c r="Q27" s="12">
        <f>IF(AND(ISNUMBER(RU_Clean!Q27),ISNUMBER(RU_Clean!Q15)),(RU_Clean!Q27-RU_Clean!Q15)/RU_Clean!Q15*100,"")</f>
        <v>4.1144901610018</v>
      </c>
      <c r="R27" s="12">
        <f>IF(AND(ISNUMBER(RU_Clean!R27),ISNUMBER(RU_Clean!R15)),(RU_Clean!R27-RU_Clean!R15)/RU_Clean!R15*100,"")</f>
        <v>7.81115879828326</v>
      </c>
      <c r="S27" s="12">
        <f>IF(AND(ISNUMBER(RU_Clean!S27),ISNUMBER(RU_Clean!S15)),(RU_Clean!S27-RU_Clean!S15)/RU_Clean!S15*100,"")</f>
        <v>2.03915171288744</v>
      </c>
      <c r="T27" s="12">
        <f>IF(AND(ISNUMBER(RU_Clean!T27),ISNUMBER(RU_Clean!T15)),(RU_Clean!T27-RU_Clean!T15)/RU_Clean!T15*100,"")</f>
        <v>7.95755968169761</v>
      </c>
      <c r="U27" s="12">
        <f>IF(AND(ISNUMBER(RU_Clean!U27),ISNUMBER(RU_Clean!U15)),(RU_Clean!U27-RU_Clean!U15)/RU_Clean!U15*100,"")</f>
        <v>6.91768826619964</v>
      </c>
      <c r="V27" s="12">
        <f>IF(AND(ISNUMBER(RU_Clean!V27),ISNUMBER(RU_Clean!V15)),(RU_Clean!V27-RU_Clean!V15)/RU_Clean!V15*100,"")</f>
        <v>5.80875781948168</v>
      </c>
      <c r="W27" s="12">
        <f>IF(AND(ISNUMBER(RU_Clean!W27),ISNUMBER(RU_Clean!W15)),(RU_Clean!W27-RU_Clean!W15)/RU_Clean!W15*100,"")</f>
        <v>6.85413005272408</v>
      </c>
      <c r="X27" s="12">
        <f>IF(AND(ISNUMBER(RU_Clean!X27),ISNUMBER(RU_Clean!X15)),(RU_Clean!X27-RU_Clean!X15)/RU_Clean!X15*100,"")</f>
        <v>5.4005400540054</v>
      </c>
      <c r="Y27" s="12">
        <f>IF(AND(ISNUMBER(RU_Clean!Y27),ISNUMBER(RU_Clean!Y15)),(RU_Clean!Y27-RU_Clean!Y15)/RU_Clean!Y15*100,"")</f>
        <v>3.49462365591398</v>
      </c>
      <c r="Z27" s="12">
        <f>IF(AND(ISNUMBER(RU_Clean!Z27),ISNUMBER(RU_Clean!Z15)),(RU_Clean!Z27-RU_Clean!Z15)/RU_Clean!Z15*100,"")</f>
        <v>5.58055805580558</v>
      </c>
      <c r="AA27" s="12">
        <f>IF(AND(ISNUMBER(RU_Clean!AA27),ISNUMBER(RU_Clean!AA15)),(RU_Clean!AA27-RU_Clean!AA15)/RU_Clean!AA15*100,"")</f>
        <v>5.032021957914</v>
      </c>
      <c r="AB27" s="12">
        <f>IF(AND(ISNUMBER(RU_Clean!AB27),ISNUMBER(RU_Clean!AB15)),(RU_Clean!AB27-RU_Clean!AB15)/RU_Clean!AB15*100,"")</f>
        <v>1.18721461187214</v>
      </c>
      <c r="AC27" s="12">
        <f>IF(AND(ISNUMBER(RU_Clean!AC27),ISNUMBER(RU_Clean!AC15)),(RU_Clean!AC27-RU_Clean!AC15)/RU_Clean!AC15*100,"")</f>
        <v>4.69613259668509</v>
      </c>
      <c r="AD27" s="12">
        <f>IF(AND(ISNUMBER(RU_Clean!AD27),ISNUMBER(RU_Clean!AD15)),(RU_Clean!AD27-RU_Clean!AD15)/RU_Clean!AD15*100,"")</f>
        <v>7.01438848920863</v>
      </c>
      <c r="AE27" s="12">
        <f>IF(AND(ISNUMBER(RU_Clean!AE27),ISNUMBER(RU_Clean!AE15)),(RU_Clean!AE27-RU_Clean!AE15)/RU_Clean!AE15*100,"")</f>
        <v>0.925069380203515</v>
      </c>
      <c r="AF27" s="12">
        <f>IF(AND(ISNUMBER(RU_Clean!AF27),ISNUMBER(RU_Clean!AF15)),(RU_Clean!AF27-RU_Clean!AF15)/RU_Clean!AF15*100,"")</f>
        <v>3.73746581586143</v>
      </c>
      <c r="AG27" s="12">
        <f>IF(AND(ISNUMBER(RU_Clean!AG27),ISNUMBER(RU_Clean!AG15)),(RU_Clean!AG27-RU_Clean!AG15)/RU_Clean!AG15*100,"")</f>
        <v>3.26741186586414</v>
      </c>
      <c r="AH27" s="12">
        <f>IF(AND(ISNUMBER(RU_Clean!AH27),ISNUMBER(RU_Clean!AH15)),(RU_Clean!AH27-RU_Clean!AH15)/RU_Clean!AH15*100,"")</f>
        <v>2.95862166360684</v>
      </c>
    </row>
    <row r="28" spans="1:34">
      <c r="A28" s="6">
        <f>RU_Clean!A28</f>
        <v>2014</v>
      </c>
      <c r="B28" s="6">
        <f>RU_Clean!B28</f>
        <v>12</v>
      </c>
      <c r="C28" s="6" t="str">
        <f>RU_Clean!C28</f>
        <v>December</v>
      </c>
      <c r="D28" s="9">
        <f>RU_Clean!D28</f>
        <v>41974</v>
      </c>
      <c r="E28" s="6"/>
      <c r="F28" s="6"/>
      <c r="G28" s="12">
        <f>IF(AND(ISNUMBER(RU_Clean!G28),ISNUMBER(RU_Clean!G16)),(RU_Clean!G28-RU_Clean!G16)/RU_Clean!G16*100,"")</f>
        <v>3.19059613769942</v>
      </c>
      <c r="H28" s="12">
        <f>IF(AND(ISNUMBER(RU_Clean!H28),ISNUMBER(RU_Clean!H16)),(RU_Clean!H28-RU_Clean!H16)/RU_Clean!H16*100,"")</f>
        <v>5.56983718937446</v>
      </c>
      <c r="I28" s="12">
        <f>IF(AND(ISNUMBER(RU_Clean!I28),ISNUMBER(RU_Clean!I16)),(RU_Clean!I28-RU_Clean!I16)/RU_Clean!I16*100,"")</f>
        <v>0</v>
      </c>
      <c r="J28" s="12">
        <f>IF(AND(ISNUMBER(RU_Clean!J28),ISNUMBER(RU_Clean!J16)),(RU_Clean!J28-RU_Clean!J16)/RU_Clean!J16*100,"")</f>
        <v>9.78835978835978</v>
      </c>
      <c r="K28" s="12">
        <f>IF(AND(ISNUMBER(RU_Clean!K28),ISNUMBER(RU_Clean!K16)),(RU_Clean!K28-RU_Clean!K16)/RU_Clean!K16*100,"")</f>
        <v>0.279589934762346</v>
      </c>
      <c r="L28" s="12">
        <f>IF(AND(ISNUMBER(RU_Clean!L28),ISNUMBER(RU_Clean!L16)),(RU_Clean!L28-RU_Clean!L16)/RU_Clean!L16*100,"")</f>
        <v>10.9443954104148</v>
      </c>
      <c r="M28" s="12">
        <f>IF(AND(ISNUMBER(RU_Clean!M28),ISNUMBER(RU_Clean!M16)),(RU_Clean!M28-RU_Clean!M16)/RU_Clean!M16*100,"")</f>
        <v>-3.37001375515819</v>
      </c>
      <c r="N28" s="12">
        <f>IF(AND(ISNUMBER(RU_Clean!N28),ISNUMBER(RU_Clean!N16)),(RU_Clean!N28-RU_Clean!N16)/RU_Clean!N16*100,"")</f>
        <v>8.18767249310027</v>
      </c>
      <c r="O28" s="12">
        <f>IF(AND(ISNUMBER(RU_Clean!O28),ISNUMBER(RU_Clean!O16)),(RU_Clean!O28-RU_Clean!O16)/RU_Clean!O16*100,"")</f>
        <v>-0.886699507389168</v>
      </c>
      <c r="P28" s="12">
        <f>IF(AND(ISNUMBER(RU_Clean!P28),ISNUMBER(RU_Clean!P16)),(RU_Clean!P28-RU_Clean!P16)/RU_Clean!P16*100,"")</f>
        <v>7.78280542986425</v>
      </c>
      <c r="Q28" s="12">
        <f>IF(AND(ISNUMBER(RU_Clean!Q28),ISNUMBER(RU_Clean!Q16)),(RU_Clean!Q28-RU_Clean!Q16)/RU_Clean!Q16*100,"")</f>
        <v>4.19268510258698</v>
      </c>
      <c r="R28" s="12">
        <f>IF(AND(ISNUMBER(RU_Clean!R28),ISNUMBER(RU_Clean!R16)),(RU_Clean!R28-RU_Clean!R16)/RU_Clean!R16*100,"")</f>
        <v>7.41056218057921</v>
      </c>
      <c r="S28" s="12">
        <f>IF(AND(ISNUMBER(RU_Clean!S28),ISNUMBER(RU_Clean!S16)),(RU_Clean!S28-RU_Clean!S16)/RU_Clean!S16*100,"")</f>
        <v>4.39189189189188</v>
      </c>
      <c r="T28" s="12">
        <f>IF(AND(ISNUMBER(RU_Clean!T28),ISNUMBER(RU_Clean!T16)),(RU_Clean!T28-RU_Clean!T16)/RU_Clean!T16*100,"")</f>
        <v>7.89473684210526</v>
      </c>
      <c r="U28" s="12">
        <f>IF(AND(ISNUMBER(RU_Clean!U28),ISNUMBER(RU_Clean!U16)),(RU_Clean!U28-RU_Clean!U16)/RU_Clean!U16*100,"")</f>
        <v>6.4236111111111</v>
      </c>
      <c r="V28" s="12">
        <f>IF(AND(ISNUMBER(RU_Clean!V28),ISNUMBER(RU_Clean!V16)),(RU_Clean!V28-RU_Clean!V16)/RU_Clean!V16*100,"")</f>
        <v>5.23513753327417</v>
      </c>
      <c r="W28" s="12">
        <f>IF(AND(ISNUMBER(RU_Clean!W28),ISNUMBER(RU_Clean!W16)),(RU_Clean!W28-RU_Clean!W16)/RU_Clean!W16*100,"")</f>
        <v>6.27177700348432</v>
      </c>
      <c r="X28" s="12">
        <f>IF(AND(ISNUMBER(RU_Clean!X28),ISNUMBER(RU_Clean!X16)),(RU_Clean!X28-RU_Clean!X16)/RU_Clean!X16*100,"")</f>
        <v>5.2393857271906</v>
      </c>
      <c r="Y28" s="12">
        <f>IF(AND(ISNUMBER(RU_Clean!Y28),ISNUMBER(RU_Clean!Y16)),(RU_Clean!Y28-RU_Clean!Y16)/RU_Clean!Y16*100,"")</f>
        <v>3.3958891867739</v>
      </c>
      <c r="Z28" s="12">
        <f>IF(AND(ISNUMBER(RU_Clean!Z28),ISNUMBER(RU_Clean!Z16)),(RU_Clean!Z28-RU_Clean!Z16)/RU_Clean!Z16*100,"")</f>
        <v>5.19247985675917</v>
      </c>
      <c r="AA28" s="12">
        <f>IF(AND(ISNUMBER(RU_Clean!AA28),ISNUMBER(RU_Clean!AA16)),(RU_Clean!AA28-RU_Clean!AA16)/RU_Clean!AA16*100,"")</f>
        <v>4.92251595259799</v>
      </c>
      <c r="AB28" s="12">
        <f>IF(AND(ISNUMBER(RU_Clean!AB28),ISNUMBER(RU_Clean!AB16)),(RU_Clean!AB28-RU_Clean!AB16)/RU_Clean!AB16*100,"")</f>
        <v>0.273224043715844</v>
      </c>
      <c r="AC28" s="12">
        <f>IF(AND(ISNUMBER(RU_Clean!AC28),ISNUMBER(RU_Clean!AC16)),(RU_Clean!AC28-RU_Clean!AC16)/RU_Clean!AC16*100,"")</f>
        <v>4.4954128440367</v>
      </c>
      <c r="AD28" s="12">
        <f>IF(AND(ISNUMBER(RU_Clean!AD28),ISNUMBER(RU_Clean!AD16)),(RU_Clean!AD28-RU_Clean!AD16)/RU_Clean!AD16*100,"")</f>
        <v>7.17488789237668</v>
      </c>
      <c r="AE28" s="12">
        <f>IF(AND(ISNUMBER(RU_Clean!AE28),ISNUMBER(RU_Clean!AE16)),(RU_Clean!AE28-RU_Clean!AE16)/RU_Clean!AE16*100,"")</f>
        <v>1.76088971269693</v>
      </c>
      <c r="AF28" s="12">
        <f>IF(AND(ISNUMBER(RU_Clean!AF28),ISNUMBER(RU_Clean!AF16)),(RU_Clean!AF28-RU_Clean!AF16)/RU_Clean!AF16*100,"")</f>
        <v>3.45454545454545</v>
      </c>
      <c r="AG28" s="12">
        <f>IF(AND(ISNUMBER(RU_Clean!AG28),ISNUMBER(RU_Clean!AG16)),(RU_Clean!AG28-RU_Clean!AG16)/RU_Clean!AG16*100,"")</f>
        <v>4.27947598253276</v>
      </c>
      <c r="AH28" s="12">
        <f>IF(AND(ISNUMBER(RU_Clean!AH28),ISNUMBER(RU_Clean!AH16)),(RU_Clean!AH28-RU_Clean!AH16)/RU_Clean!AH16*100,"")</f>
        <v>4.26236590107278</v>
      </c>
    </row>
    <row r="29" spans="1:34">
      <c r="A29" s="6">
        <f>RU_Clean!A29</f>
        <v>2015</v>
      </c>
      <c r="B29" s="6">
        <f>RU_Clean!B29</f>
        <v>1</v>
      </c>
      <c r="C29" s="6" t="str">
        <f>RU_Clean!C29</f>
        <v>January</v>
      </c>
      <c r="D29" s="9">
        <f>RU_Clean!D29</f>
        <v>42005</v>
      </c>
      <c r="E29" s="6"/>
      <c r="F29" s="6"/>
      <c r="G29" s="12">
        <f>IF(AND(ISNUMBER(RU_Clean!G29),ISNUMBER(RU_Clean!G17)),(RU_Clean!G29-RU_Clean!G17)/RU_Clean!G17*100,"")</f>
        <v>3.17725752508362</v>
      </c>
      <c r="H29" s="12">
        <f>IF(AND(ISNUMBER(RU_Clean!H29),ISNUMBER(RU_Clean!H17)),(RU_Clean!H29-RU_Clean!H17)/RU_Clean!H17*100,"")</f>
        <v>4.2929292929293</v>
      </c>
      <c r="I29" s="12">
        <f>IF(AND(ISNUMBER(RU_Clean!I29),ISNUMBER(RU_Clean!I17)),(RU_Clean!I29-RU_Clean!I17)/RU_Clean!I17*100,"")</f>
        <v>-0.241740531829168</v>
      </c>
      <c r="J29" s="12">
        <f>IF(AND(ISNUMBER(RU_Clean!J29),ISNUMBER(RU_Clean!J17)),(RU_Clean!J29-RU_Clean!J17)/RU_Clean!J17*100,"")</f>
        <v>9.55302366345312</v>
      </c>
      <c r="K29" s="12">
        <f>IF(AND(ISNUMBER(RU_Clean!K29),ISNUMBER(RU_Clean!K17)),(RU_Clean!K29-RU_Clean!K17)/RU_Clean!K17*100,"")</f>
        <v>1.59176029962547</v>
      </c>
      <c r="L29" s="12">
        <f>IF(AND(ISNUMBER(RU_Clean!L29),ISNUMBER(RU_Clean!L17)),(RU_Clean!L29-RU_Clean!L17)/RU_Clean!L17*100,"")</f>
        <v>10.7989464442493</v>
      </c>
      <c r="M29" s="12">
        <f>IF(AND(ISNUMBER(RU_Clean!M29),ISNUMBER(RU_Clean!M17)),(RU_Clean!M29-RU_Clean!M17)/RU_Clean!M17*100,"")</f>
        <v>8.8379705400982</v>
      </c>
      <c r="N29" s="12">
        <f>IF(AND(ISNUMBER(RU_Clean!N29),ISNUMBER(RU_Clean!N17)),(RU_Clean!N29-RU_Clean!N17)/RU_Clean!N17*100,"")</f>
        <v>9.36639118457299</v>
      </c>
      <c r="O29" s="12">
        <f>IF(AND(ISNUMBER(RU_Clean!O29),ISNUMBER(RU_Clean!O17)),(RU_Clean!O29-RU_Clean!O17)/RU_Clean!O17*100,"")</f>
        <v>-1.19760479041916</v>
      </c>
      <c r="P29" s="12">
        <f>IF(AND(ISNUMBER(RU_Clean!P29),ISNUMBER(RU_Clean!P17)),(RU_Clean!P29-RU_Clean!P17)/RU_Clean!P17*100,"")</f>
        <v>8.37837837837838</v>
      </c>
      <c r="Q29" s="12">
        <f>IF(AND(ISNUMBER(RU_Clean!Q29),ISNUMBER(RU_Clean!Q17)),(RU_Clean!Q29-RU_Clean!Q17)/RU_Clean!Q17*100,"")</f>
        <v>4.45235975066785</v>
      </c>
      <c r="R29" s="12">
        <f>IF(AND(ISNUMBER(RU_Clean!R29),ISNUMBER(RU_Clean!R17)),(RU_Clean!R29-RU_Clean!R17)/RU_Clean!R17*100,"")</f>
        <v>7.28196443691787</v>
      </c>
      <c r="S29" s="12">
        <f>IF(AND(ISNUMBER(RU_Clean!S29),ISNUMBER(RU_Clean!S17)),(RU_Clean!S29-RU_Clean!S17)/RU_Clean!S17*100,"")</f>
        <v>6.30397236614853</v>
      </c>
      <c r="T29" s="12">
        <f>IF(AND(ISNUMBER(RU_Clean!T29),ISNUMBER(RU_Clean!T17)),(RU_Clean!T29-RU_Clean!T17)/RU_Clean!T17*100,"")</f>
        <v>8.29694323144105</v>
      </c>
      <c r="U29" s="12">
        <f>IF(AND(ISNUMBER(RU_Clean!U29),ISNUMBER(RU_Clean!U17)),(RU_Clean!U29-RU_Clean!U17)/RU_Clean!U17*100,"")</f>
        <v>6.30397236614853</v>
      </c>
      <c r="V29" s="12">
        <f>IF(AND(ISNUMBER(RU_Clean!V29),ISNUMBER(RU_Clean!V17)),(RU_Clean!V29-RU_Clean!V17)/RU_Clean!V17*100,"")</f>
        <v>5.3886925795053</v>
      </c>
      <c r="W29" s="12">
        <f>IF(AND(ISNUMBER(RU_Clean!W29),ISNUMBER(RU_Clean!W17)),(RU_Clean!W29-RU_Clean!W17)/RU_Clean!W17*100,"")</f>
        <v>6.15251299826689</v>
      </c>
      <c r="X29" s="12">
        <f>IF(AND(ISNUMBER(RU_Clean!X29),ISNUMBER(RU_Clean!X17)),(RU_Clean!X29-RU_Clean!X17)/RU_Clean!X17*100,"")</f>
        <v>5.10752688172043</v>
      </c>
      <c r="Y29" s="12">
        <f>IF(AND(ISNUMBER(RU_Clean!Y29),ISNUMBER(RU_Clean!Y17)),(RU_Clean!Y29-RU_Clean!Y17)/RU_Clean!Y17*100,"")</f>
        <v>3.83244206773618</v>
      </c>
      <c r="Z29" s="12">
        <f>IF(AND(ISNUMBER(RU_Clean!Z29),ISNUMBER(RU_Clean!Z17)),(RU_Clean!Z29-RU_Clean!Z17)/RU_Clean!Z17*100,"")</f>
        <v>5.16473731077471</v>
      </c>
      <c r="AA29" s="12">
        <f>IF(AND(ISNUMBER(RU_Clean!AA29),ISNUMBER(RU_Clean!AA17)),(RU_Clean!AA29-RU_Clean!AA17)/RU_Clean!AA17*100,"")</f>
        <v>4.71441523118767</v>
      </c>
      <c r="AB29" s="12">
        <f>IF(AND(ISNUMBER(RU_Clean!AB29),ISNUMBER(RU_Clean!AB17)),(RU_Clean!AB29-RU_Clean!AB17)/RU_Clean!AB17*100,"")</f>
        <v>-1.1743450767841</v>
      </c>
      <c r="AC29" s="12">
        <f>IF(AND(ISNUMBER(RU_Clean!AC29),ISNUMBER(RU_Clean!AC17)),(RU_Clean!AC29-RU_Clean!AC17)/RU_Clean!AC17*100,"")</f>
        <v>4.19325432999088</v>
      </c>
      <c r="AD29" s="12">
        <f>IF(AND(ISNUMBER(RU_Clean!AD29),ISNUMBER(RU_Clean!AD17)),(RU_Clean!AD29-RU_Clean!AD17)/RU_Clean!AD17*100,"")</f>
        <v>7.25806451612904</v>
      </c>
      <c r="AE29" s="12">
        <f>IF(AND(ISNUMBER(RU_Clean!AE29),ISNUMBER(RU_Clean!AE17)),(RU_Clean!AE29-RU_Clean!AE17)/RU_Clean!AE17*100,"")</f>
        <v>2.31053604436229</v>
      </c>
      <c r="AF29" s="12">
        <f>IF(AND(ISNUMBER(RU_Clean!AF29),ISNUMBER(RU_Clean!AF17)),(RU_Clean!AF29-RU_Clean!AF17)/RU_Clean!AF17*100,"")</f>
        <v>3.0741410488246</v>
      </c>
      <c r="AG29" s="12">
        <f>IF(AND(ISNUMBER(RU_Clean!AG29),ISNUMBER(RU_Clean!AG17)),(RU_Clean!AG29-RU_Clean!AG17)/RU_Clean!AG17*100,"")</f>
        <v>5.19366197183099</v>
      </c>
      <c r="AH29" s="12">
        <f>IF(AND(ISNUMBER(RU_Clean!AH29),ISNUMBER(RU_Clean!AH17)),(RU_Clean!AH29-RU_Clean!AH17)/RU_Clean!AH17*100,"")</f>
        <v>5.56204379562046</v>
      </c>
    </row>
    <row r="30" spans="1:34">
      <c r="A30" s="6">
        <f>RU_Clean!A30</f>
        <v>2015</v>
      </c>
      <c r="B30" s="6">
        <f>RU_Clean!B30</f>
        <v>2</v>
      </c>
      <c r="C30" s="6" t="str">
        <f>RU_Clean!C30</f>
        <v>February</v>
      </c>
      <c r="D30" s="9">
        <f>RU_Clean!D30</f>
        <v>42036</v>
      </c>
      <c r="E30" s="6"/>
      <c r="F30" s="6"/>
      <c r="G30" s="12">
        <f>IF(AND(ISNUMBER(RU_Clean!G30),ISNUMBER(RU_Clean!G18)),(RU_Clean!G30-RU_Clean!G18)/RU_Clean!G18*100,"")</f>
        <v>2.91181364392679</v>
      </c>
      <c r="H30" s="12">
        <f>IF(AND(ISNUMBER(RU_Clean!H30),ISNUMBER(RU_Clean!H18)),(RU_Clean!H30-RU_Clean!H18)/RU_Clean!H18*100,"")</f>
        <v>4.94966442953019</v>
      </c>
      <c r="I30" s="12">
        <f>IF(AND(ISNUMBER(RU_Clean!I30),ISNUMBER(RU_Clean!I18)),(RU_Clean!I30-RU_Clean!I18)/RU_Clean!I18*100,"")</f>
        <v>-1.14285714285715</v>
      </c>
      <c r="J30" s="12">
        <f>IF(AND(ISNUMBER(RU_Clean!J30),ISNUMBER(RU_Clean!J18)),(RU_Clean!J30-RU_Clean!J18)/RU_Clean!J18*100,"")</f>
        <v>9.20938314509123</v>
      </c>
      <c r="K30" s="12">
        <f>IF(AND(ISNUMBER(RU_Clean!K30),ISNUMBER(RU_Clean!K18)),(RU_Clean!K30-RU_Clean!K18)/RU_Clean!K18*100,"")</f>
        <v>2.34521575984991</v>
      </c>
      <c r="L30" s="12">
        <f>IF(AND(ISNUMBER(RU_Clean!L30),ISNUMBER(RU_Clean!L18)),(RU_Clean!L30-RU_Clean!L18)/RU_Clean!L18*100,"")</f>
        <v>9.01213171577122</v>
      </c>
      <c r="M30" s="12">
        <f>IF(AND(ISNUMBER(RU_Clean!M30),ISNUMBER(RU_Clean!M18)),(RU_Clean!M30-RU_Clean!M18)/RU_Clean!M18*100,"")</f>
        <v>13.0131004366812</v>
      </c>
      <c r="N30" s="12">
        <f>IF(AND(ISNUMBER(RU_Clean!N30),ISNUMBER(RU_Clean!N18)),(RU_Clean!N30-RU_Clean!N18)/RU_Clean!N18*100,"")</f>
        <v>10.6129917657823</v>
      </c>
      <c r="O30" s="12">
        <f>IF(AND(ISNUMBER(RU_Clean!O30),ISNUMBER(RU_Clean!O18)),(RU_Clean!O30-RU_Clean!O18)/RU_Clean!O18*100,"")</f>
        <v>-0.907258064516135</v>
      </c>
      <c r="P30" s="12">
        <f>IF(AND(ISNUMBER(RU_Clean!P30),ISNUMBER(RU_Clean!P18)),(RU_Clean!P30-RU_Clean!P18)/RU_Clean!P18*100,"")</f>
        <v>9.15619389587073</v>
      </c>
      <c r="Q30" s="12">
        <f>IF(AND(ISNUMBER(RU_Clean!Q30),ISNUMBER(RU_Clean!Q18)),(RU_Clean!Q30-RU_Clean!Q18)/RU_Clean!Q18*100,"")</f>
        <v>4.79573712255773</v>
      </c>
      <c r="R30" s="12">
        <f>IF(AND(ISNUMBER(RU_Clean!R30),ISNUMBER(RU_Clean!R18)),(RU_Clean!R30-RU_Clean!R18)/RU_Clean!R18*100,"")</f>
        <v>7.40740740740741</v>
      </c>
      <c r="S30" s="12">
        <f>IF(AND(ISNUMBER(RU_Clean!S30),ISNUMBER(RU_Clean!S18)),(RU_Clean!S30-RU_Clean!S18)/RU_Clean!S18*100,"")</f>
        <v>6.76496097137901</v>
      </c>
      <c r="T30" s="12">
        <f>IF(AND(ISNUMBER(RU_Clean!T30),ISNUMBER(RU_Clean!T18)),(RU_Clean!T30-RU_Clean!T18)/RU_Clean!T18*100,"")</f>
        <v>9.15431560592851</v>
      </c>
      <c r="U30" s="12">
        <f>IF(AND(ISNUMBER(RU_Clean!U30),ISNUMBER(RU_Clean!U18)),(RU_Clean!U30-RU_Clean!U18)/RU_Clean!U18*100,"")</f>
        <v>6.3573883161512</v>
      </c>
      <c r="V30" s="12">
        <f>IF(AND(ISNUMBER(RU_Clean!V30),ISNUMBER(RU_Clean!V18)),(RU_Clean!V30-RU_Clean!V18)/RU_Clean!V18*100,"")</f>
        <v>6.00176522506619</v>
      </c>
      <c r="W30" s="12">
        <f>IF(AND(ISNUMBER(RU_Clean!W30),ISNUMBER(RU_Clean!W18)),(RU_Clean!W30-RU_Clean!W18)/RU_Clean!W18*100,"")</f>
        <v>6.38481449525452</v>
      </c>
      <c r="X30" s="12">
        <f>IF(AND(ISNUMBER(RU_Clean!X30),ISNUMBER(RU_Clean!X18)),(RU_Clean!X30-RU_Clean!X18)/RU_Clean!X18*100,"")</f>
        <v>4.97777777777777</v>
      </c>
      <c r="Y30" s="12">
        <f>IF(AND(ISNUMBER(RU_Clean!Y30),ISNUMBER(RU_Clean!Y18)),(RU_Clean!Y30-RU_Clean!Y18)/RU_Clean!Y18*100,"")</f>
        <v>4.7153024911032</v>
      </c>
      <c r="Z30" s="12">
        <f>IF(AND(ISNUMBER(RU_Clean!Z30),ISNUMBER(RU_Clean!Z18)),(RU_Clean!Z30-RU_Clean!Z18)/RU_Clean!Z18*100,"")</f>
        <v>5.23049645390071</v>
      </c>
      <c r="AA30" s="12">
        <f>IF(AND(ISNUMBER(RU_Clean!AA30),ISNUMBER(RU_Clean!AA18)),(RU_Clean!AA30-RU_Clean!AA18)/RU_Clean!AA18*100,"")</f>
        <v>5.0587172538392</v>
      </c>
      <c r="AB30" s="12">
        <f>IF(AND(ISNUMBER(RU_Clean!AB30),ISNUMBER(RU_Clean!AB18)),(RU_Clean!AB30-RU_Clean!AB18)/RU_Clean!AB18*100,"")</f>
        <v>-2.16021602160215</v>
      </c>
      <c r="AC30" s="12">
        <f>IF(AND(ISNUMBER(RU_Clean!AC30),ISNUMBER(RU_Clean!AC18)),(RU_Clean!AC30-RU_Clean!AC18)/RU_Clean!AC18*100,"")</f>
        <v>4.35967302452317</v>
      </c>
      <c r="AD30" s="12">
        <f>IF(AND(ISNUMBER(RU_Clean!AD30),ISNUMBER(RU_Clean!AD18)),(RU_Clean!AD30-RU_Clean!AD18)/RU_Clean!AD18*100,"")</f>
        <v>7.06618962432916</v>
      </c>
      <c r="AE30" s="12">
        <f>IF(AND(ISNUMBER(RU_Clean!AE30),ISNUMBER(RU_Clean!AE18)),(RU_Clean!AE30-RU_Clean!AE18)/RU_Clean!AE18*100,"")</f>
        <v>2.29990800367985</v>
      </c>
      <c r="AF30" s="12">
        <f>IF(AND(ISNUMBER(RU_Clean!AF30),ISNUMBER(RU_Clean!AF18)),(RU_Clean!AF30-RU_Clean!AF18)/RU_Clean!AF18*100,"")</f>
        <v>2.88548241659151</v>
      </c>
      <c r="AG30" s="12">
        <f>IF(AND(ISNUMBER(RU_Clean!AG30),ISNUMBER(RU_Clean!AG18)),(RU_Clean!AG30-RU_Clean!AG18)/RU_Clean!AG18*100,"")</f>
        <v>5.36971830985916</v>
      </c>
      <c r="AH30" s="12">
        <f>IF(AND(ISNUMBER(RU_Clean!AH30),ISNUMBER(RU_Clean!AH18)),(RU_Clean!AH30-RU_Clean!AH18)/RU_Clean!AH18*100,"")</f>
        <v>5.97157092614301</v>
      </c>
    </row>
    <row r="31" spans="1:34">
      <c r="A31" s="6">
        <f>RU_Clean!A31</f>
        <v>2015</v>
      </c>
      <c r="B31" s="6">
        <f>RU_Clean!B31</f>
        <v>3</v>
      </c>
      <c r="C31" s="6" t="str">
        <f>RU_Clean!C31</f>
        <v>March</v>
      </c>
      <c r="D31" s="9">
        <f>RU_Clean!D31</f>
        <v>42064</v>
      </c>
      <c r="E31" s="6"/>
      <c r="F31" s="6"/>
      <c r="G31" s="12">
        <f>IF(AND(ISNUMBER(RU_Clean!G31),ISNUMBER(RU_Clean!G19)),(RU_Clean!G31-RU_Clean!G19)/RU_Clean!G19*100,"")</f>
        <v>2.31980115990058</v>
      </c>
      <c r="H31" s="12">
        <f>IF(AND(ISNUMBER(RU_Clean!H31),ISNUMBER(RU_Clean!H19)),(RU_Clean!H31-RU_Clean!H19)/RU_Clean!H19*100,"")</f>
        <v>5.11316010058676</v>
      </c>
      <c r="I31" s="12">
        <f>IF(AND(ISNUMBER(RU_Clean!I31),ISNUMBER(RU_Clean!I19)),(RU_Clean!I31-RU_Clean!I19)/RU_Clean!I19*100,"")</f>
        <v>-3.47107438016529</v>
      </c>
      <c r="J31" s="12">
        <f>IF(AND(ISNUMBER(RU_Clean!J31),ISNUMBER(RU_Clean!J19)),(RU_Clean!J31-RU_Clean!J19)/RU_Clean!J19*100,"")</f>
        <v>8.52713178294574</v>
      </c>
      <c r="K31" s="12">
        <f>IF(AND(ISNUMBER(RU_Clean!K31),ISNUMBER(RU_Clean!K19)),(RU_Clean!K31-RU_Clean!K19)/RU_Clean!K19*100,"")</f>
        <v>2.15154349859682</v>
      </c>
      <c r="L31" s="12">
        <f>IF(AND(ISNUMBER(RU_Clean!L31),ISNUMBER(RU_Clean!L19)),(RU_Clean!L31-RU_Clean!L19)/RU_Clean!L19*100,"")</f>
        <v>7.49789385004212</v>
      </c>
      <c r="M31" s="12">
        <f>IF(AND(ISNUMBER(RU_Clean!M31),ISNUMBER(RU_Clean!M19)),(RU_Clean!M31-RU_Clean!M19)/RU_Clean!M19*100,"")</f>
        <v>11.0920034393809</v>
      </c>
      <c r="N31" s="12">
        <f>IF(AND(ISNUMBER(RU_Clean!N31),ISNUMBER(RU_Clean!N19)),(RU_Clean!N31-RU_Clean!N19)/RU_Clean!N19*100,"")</f>
        <v>11.4754098360656</v>
      </c>
      <c r="O31" s="12">
        <f>IF(AND(ISNUMBER(RU_Clean!O31),ISNUMBER(RU_Clean!O19)),(RU_Clean!O31-RU_Clean!O19)/RU_Clean!O19*100,"")</f>
        <v>-2.61044176706827</v>
      </c>
      <c r="P31" s="12">
        <f>IF(AND(ISNUMBER(RU_Clean!P31),ISNUMBER(RU_Clean!P19)),(RU_Clean!P31-RU_Clean!P19)/RU_Clean!P19*100,"")</f>
        <v>9.2128801431127</v>
      </c>
      <c r="Q31" s="12">
        <f>IF(AND(ISNUMBER(RU_Clean!Q31),ISNUMBER(RU_Clean!Q19)),(RU_Clean!Q31-RU_Clean!Q19)/RU_Clean!Q19*100,"")</f>
        <v>4.79148181011534</v>
      </c>
      <c r="R31" s="12">
        <f>IF(AND(ISNUMBER(RU_Clean!R31),ISNUMBER(RU_Clean!R19)),(RU_Clean!R31-RU_Clean!R19)/RU_Clean!R19*100,"")</f>
        <v>7.62782900251468</v>
      </c>
      <c r="S31" s="12">
        <f>IF(AND(ISNUMBER(RU_Clean!S31),ISNUMBER(RU_Clean!S19)),(RU_Clean!S31-RU_Clean!S19)/RU_Clean!S19*100,"")</f>
        <v>6.28768303186909</v>
      </c>
      <c r="T31" s="12">
        <f>IF(AND(ISNUMBER(RU_Clean!T31),ISNUMBER(RU_Clean!T19)),(RU_Clean!T31-RU_Clean!T19)/RU_Clean!T19*100,"")</f>
        <v>9.20138888888888</v>
      </c>
      <c r="U31" s="12">
        <f>IF(AND(ISNUMBER(RU_Clean!U31),ISNUMBER(RU_Clean!U19)),(RU_Clean!U31-RU_Clean!U19)/RU_Clean!U19*100,"")</f>
        <v>6.42123287671233</v>
      </c>
      <c r="V31" s="12">
        <f>IF(AND(ISNUMBER(RU_Clean!V31),ISNUMBER(RU_Clean!V19)),(RU_Clean!V31-RU_Clean!V19)/RU_Clean!V19*100,"")</f>
        <v>5.89270008795075</v>
      </c>
      <c r="W31" s="12">
        <f>IF(AND(ISNUMBER(RU_Clean!W31),ISNUMBER(RU_Clean!W19)),(RU_Clean!W31-RU_Clean!W19)/RU_Clean!W19*100,"")</f>
        <v>6.27147766323024</v>
      </c>
      <c r="X31" s="12">
        <f>IF(AND(ISNUMBER(RU_Clean!X31),ISNUMBER(RU_Clean!X19)),(RU_Clean!X31-RU_Clean!X19)/RU_Clean!X19*100,"")</f>
        <v>4.77031802120141</v>
      </c>
      <c r="Y31" s="12">
        <f>IF(AND(ISNUMBER(RU_Clean!Y31),ISNUMBER(RU_Clean!Y19)),(RU_Clean!Y31-RU_Clean!Y19)/RU_Clean!Y19*100,"")</f>
        <v>5.15555555555555</v>
      </c>
      <c r="Z31" s="12">
        <f>IF(AND(ISNUMBER(RU_Clean!Z31),ISNUMBER(RU_Clean!Z19)),(RU_Clean!Z31-RU_Clean!Z19)/RU_Clean!Z19*100,"")</f>
        <v>5.30035335689046</v>
      </c>
      <c r="AA31" s="12">
        <f>IF(AND(ISNUMBER(RU_Clean!AA31),ISNUMBER(RU_Clean!AA19)),(RU_Clean!AA31-RU_Clean!AA19)/RU_Clean!AA19*100,"")</f>
        <v>4.94604316546763</v>
      </c>
      <c r="AB31" s="12">
        <f>IF(AND(ISNUMBER(RU_Clean!AB31),ISNUMBER(RU_Clean!AB19)),(RU_Clean!AB31-RU_Clean!AB19)/RU_Clean!AB19*100,"")</f>
        <v>-1.34649910233393</v>
      </c>
      <c r="AC31" s="12">
        <f>IF(AND(ISNUMBER(RU_Clean!AC31),ISNUMBER(RU_Clean!AC19)),(RU_Clean!AC31-RU_Clean!AC19)/RU_Clean!AC19*100,"")</f>
        <v>4.33996383363473</v>
      </c>
      <c r="AD31" s="12">
        <f>IF(AND(ISNUMBER(RU_Clean!AD31),ISNUMBER(RU_Clean!AD19)),(RU_Clean!AD31-RU_Clean!AD19)/RU_Clean!AD19*100,"")</f>
        <v>7.23214285714285</v>
      </c>
      <c r="AE31" s="12">
        <f>IF(AND(ISNUMBER(RU_Clean!AE31),ISNUMBER(RU_Clean!AE19)),(RU_Clean!AE31-RU_Clean!AE19)/RU_Clean!AE19*100,"")</f>
        <v>1.8348623853211</v>
      </c>
      <c r="AF31" s="12">
        <f>IF(AND(ISNUMBER(RU_Clean!AF31),ISNUMBER(RU_Clean!AF19)),(RU_Clean!AF31-RU_Clean!AF19)/RU_Clean!AF19*100,"")</f>
        <v>3.05480682839174</v>
      </c>
      <c r="AG31" s="12">
        <f>IF(AND(ISNUMBER(RU_Clean!AG31),ISNUMBER(RU_Clean!AG19)),(RU_Clean!AG31-RU_Clean!AG19)/RU_Clean!AG19*100,"")</f>
        <v>5.25394045534151</v>
      </c>
      <c r="AH31" s="12">
        <f>IF(AND(ISNUMBER(RU_Clean!AH31),ISNUMBER(RU_Clean!AH19)),(RU_Clean!AH31-RU_Clean!AH19)/RU_Clean!AH19*100,"")</f>
        <v>5.35636204634893</v>
      </c>
    </row>
    <row r="32" spans="1:34">
      <c r="A32" s="6">
        <f>RU_Clean!A32</f>
        <v>2015</v>
      </c>
      <c r="B32" s="6">
        <f>RU_Clean!B32</f>
        <v>4</v>
      </c>
      <c r="C32" s="6" t="str">
        <f>RU_Clean!C32</f>
        <v>April</v>
      </c>
      <c r="D32" s="9">
        <f>RU_Clean!D32</f>
        <v>42095</v>
      </c>
      <c r="E32" s="6"/>
      <c r="F32" s="6"/>
      <c r="G32" s="12">
        <f>IF(AND(ISNUMBER(RU_Clean!G32),ISNUMBER(RU_Clean!G20)),(RU_Clean!G32-RU_Clean!G20)/RU_Clean!G20*100,"")</f>
        <v>2.1505376344086</v>
      </c>
      <c r="H32" s="12">
        <f>IF(AND(ISNUMBER(RU_Clean!H32),ISNUMBER(RU_Clean!H20)),(RU_Clean!H32-RU_Clean!H20)/RU_Clean!H20*100,"")</f>
        <v>5.42118432026689</v>
      </c>
      <c r="I32" s="12">
        <f>IF(AND(ISNUMBER(RU_Clean!I32),ISNUMBER(RU_Clean!I20)),(RU_Clean!I32-RU_Clean!I20)/RU_Clean!I20*100,"")</f>
        <v>-1.54905335628227</v>
      </c>
      <c r="J32" s="12">
        <f>IF(AND(ISNUMBER(RU_Clean!J32),ISNUMBER(RU_Clean!J20)),(RU_Clean!J32-RU_Clean!J20)/RU_Clean!J20*100,"")</f>
        <v>8.2051282051282</v>
      </c>
      <c r="K32" s="12">
        <f>IF(AND(ISNUMBER(RU_Clean!K32),ISNUMBER(RU_Clean!K20)),(RU_Clean!K32-RU_Clean!K20)/RU_Clean!K20*100,"")</f>
        <v>1.77073625349488</v>
      </c>
      <c r="L32" s="12">
        <f>IF(AND(ISNUMBER(RU_Clean!L32),ISNUMBER(RU_Clean!L20)),(RU_Clean!L32-RU_Clean!L20)/RU_Clean!L20*100,"")</f>
        <v>5.07533703409993</v>
      </c>
      <c r="M32" s="12">
        <f>IF(AND(ISNUMBER(RU_Clean!M32),ISNUMBER(RU_Clean!M20)),(RU_Clean!M32-RU_Clean!M20)/RU_Clean!M20*100,"")</f>
        <v>6.54515327257663</v>
      </c>
      <c r="N32" s="12">
        <f>IF(AND(ISNUMBER(RU_Clean!N32),ISNUMBER(RU_Clean!N20)),(RU_Clean!N32-RU_Clean!N20)/RU_Clean!N20*100,"")</f>
        <v>12.4324324324324</v>
      </c>
      <c r="O32" s="12">
        <f>IF(AND(ISNUMBER(RU_Clean!O32),ISNUMBER(RU_Clean!O20)),(RU_Clean!O32-RU_Clean!O20)/RU_Clean!O20*100,"")</f>
        <v>-5.99214145383104</v>
      </c>
      <c r="P32" s="12">
        <f>IF(AND(ISNUMBER(RU_Clean!P32),ISNUMBER(RU_Clean!P20)),(RU_Clean!P32-RU_Clean!P20)/RU_Clean!P20*100,"")</f>
        <v>8.70337477797514</v>
      </c>
      <c r="Q32" s="12">
        <f>IF(AND(ISNUMBER(RU_Clean!Q32),ISNUMBER(RU_Clean!Q20)),(RU_Clean!Q32-RU_Clean!Q20)/RU_Clean!Q20*100,"")</f>
        <v>4.68197879858657</v>
      </c>
      <c r="R32" s="12">
        <f>IF(AND(ISNUMBER(RU_Clean!R32),ISNUMBER(RU_Clean!R20)),(RU_Clean!R32-RU_Clean!R20)/RU_Clean!R20*100,"")</f>
        <v>7.76293823038397</v>
      </c>
      <c r="S32" s="12">
        <f>IF(AND(ISNUMBER(RU_Clean!S32),ISNUMBER(RU_Clean!S20)),(RU_Clean!S32-RU_Clean!S20)/RU_Clean!S20*100,"")</f>
        <v>5.4421768707483</v>
      </c>
      <c r="T32" s="12">
        <f>IF(AND(ISNUMBER(RU_Clean!T32),ISNUMBER(RU_Clean!T20)),(RU_Clean!T32-RU_Clean!T20)/RU_Clean!T20*100,"")</f>
        <v>9.39655172413794</v>
      </c>
      <c r="U32" s="12">
        <f>IF(AND(ISNUMBER(RU_Clean!U32),ISNUMBER(RU_Clean!U20)),(RU_Clean!U32-RU_Clean!U20)/RU_Clean!U20*100,"")</f>
        <v>6.21805792163543</v>
      </c>
      <c r="V32" s="12">
        <f>IF(AND(ISNUMBER(RU_Clean!V32),ISNUMBER(RU_Clean!V20)),(RU_Clean!V32-RU_Clean!V20)/RU_Clean!V20*100,"")</f>
        <v>5.41012216404887</v>
      </c>
      <c r="W32" s="12">
        <f>IF(AND(ISNUMBER(RU_Clean!W32),ISNUMBER(RU_Clean!W20)),(RU_Clean!W32-RU_Clean!W20)/RU_Clean!W20*100,"")</f>
        <v>6.06837606837606</v>
      </c>
      <c r="X32" s="12">
        <f>IF(AND(ISNUMBER(RU_Clean!X32),ISNUMBER(RU_Clean!X20)),(RU_Clean!X32-RU_Clean!X20)/RU_Clean!X20*100,"")</f>
        <v>4.65320456540825</v>
      </c>
      <c r="Y32" s="12">
        <f>IF(AND(ISNUMBER(RU_Clean!Y32),ISNUMBER(RU_Clean!Y20)),(RU_Clean!Y32-RU_Clean!Y20)/RU_Clean!Y20*100,"")</f>
        <v>5.51111111111111</v>
      </c>
      <c r="Z32" s="12">
        <f>IF(AND(ISNUMBER(RU_Clean!Z32),ISNUMBER(RU_Clean!Z20)),(RU_Clean!Z32-RU_Clean!Z20)/RU_Clean!Z20*100,"")</f>
        <v>5.36971830985916</v>
      </c>
      <c r="AA32" s="12">
        <f>IF(AND(ISNUMBER(RU_Clean!AA32),ISNUMBER(RU_Clean!AA20)),(RU_Clean!AA32-RU_Clean!AA20)/RU_Clean!AA20*100,"")</f>
        <v>5.02242152466367</v>
      </c>
      <c r="AB32" s="12">
        <f>IF(AND(ISNUMBER(RU_Clean!AB32),ISNUMBER(RU_Clean!AB20)),(RU_Clean!AB32-RU_Clean!AB20)/RU_Clean!AB20*100,"")</f>
        <v>-0.989208633093533</v>
      </c>
      <c r="AC32" s="12">
        <f>IF(AND(ISNUMBER(RU_Clean!AC32),ISNUMBER(RU_Clean!AC20)),(RU_Clean!AC32-RU_Clean!AC20)/RU_Clean!AC20*100,"")</f>
        <v>4.50856627592426</v>
      </c>
      <c r="AD32" s="12">
        <f>IF(AND(ISNUMBER(RU_Clean!AD32),ISNUMBER(RU_Clean!AD20)),(RU_Clean!AD32-RU_Clean!AD20)/RU_Clean!AD20*100,"")</f>
        <v>7.36468500443655</v>
      </c>
      <c r="AE32" s="12">
        <f>IF(AND(ISNUMBER(RU_Clean!AE32),ISNUMBER(RU_Clean!AE20)),(RU_Clean!AE32-RU_Clean!AE20)/RU_Clean!AE20*100,"")</f>
        <v>2.47706422018349</v>
      </c>
      <c r="AF32" s="12">
        <f>IF(AND(ISNUMBER(RU_Clean!AF32),ISNUMBER(RU_Clean!AF20)),(RU_Clean!AF32-RU_Clean!AF20)/RU_Clean!AF20*100,"")</f>
        <v>3.2286995515695</v>
      </c>
      <c r="AG32" s="12">
        <f>IF(AND(ISNUMBER(RU_Clean!AG32),ISNUMBER(RU_Clean!AG20)),(RU_Clean!AG32-RU_Clean!AG20)/RU_Clean!AG20*100,"")</f>
        <v>4.86533449174632</v>
      </c>
      <c r="AH32" s="12">
        <f>IF(AND(ISNUMBER(RU_Clean!AH32),ISNUMBER(RU_Clean!AH20)),(RU_Clean!AH32-RU_Clean!AH20)/RU_Clean!AH20*100,"")</f>
        <v>4.70248827984133</v>
      </c>
    </row>
    <row r="33" spans="1:34">
      <c r="A33" s="6">
        <f>RU_Clean!A33</f>
        <v>2015</v>
      </c>
      <c r="B33" s="6">
        <f>RU_Clean!B33</f>
        <v>5</v>
      </c>
      <c r="C33" s="6" t="str">
        <f>RU_Clean!C33</f>
        <v>May</v>
      </c>
      <c r="D33" s="9">
        <f>RU_Clean!D33</f>
        <v>42125</v>
      </c>
      <c r="E33" s="6"/>
      <c r="F33" s="6"/>
      <c r="G33" s="12">
        <f>IF(AND(ISNUMBER(RU_Clean!G33),ISNUMBER(RU_Clean!G21)),(RU_Clean!G33-RU_Clean!G21)/RU_Clean!G21*100,"")</f>
        <v>2.06440957886045</v>
      </c>
      <c r="H33" s="12">
        <f>IF(AND(ISNUMBER(RU_Clean!H33),ISNUMBER(RU_Clean!H21)),(RU_Clean!H33-RU_Clean!H21)/RU_Clean!H21*100,"")</f>
        <v>5.26315789473685</v>
      </c>
      <c r="I33" s="12">
        <f>IF(AND(ISNUMBER(RU_Clean!I33),ISNUMBER(RU_Clean!I21)),(RU_Clean!I33-RU_Clean!I21)/RU_Clean!I21*100,"")</f>
        <v>-0.776531492666096</v>
      </c>
      <c r="J33" s="12">
        <f>IF(AND(ISNUMBER(RU_Clean!J33),ISNUMBER(RU_Clean!J21)),(RU_Clean!J33-RU_Clean!J21)/RU_Clean!J21*100,"")</f>
        <v>7.51689189189188</v>
      </c>
      <c r="K33" s="12">
        <f>IF(AND(ISNUMBER(RU_Clean!K33),ISNUMBER(RU_Clean!K21)),(RU_Clean!K33-RU_Clean!K21)/RU_Clean!K21*100,"")</f>
        <v>1.94986072423398</v>
      </c>
      <c r="L33" s="12">
        <f>IF(AND(ISNUMBER(RU_Clean!L33),ISNUMBER(RU_Clean!L21)),(RU_Clean!L33-RU_Clean!L21)/RU_Clean!L21*100,"")</f>
        <v>3.8371182458888</v>
      </c>
      <c r="M33" s="12">
        <f>IF(AND(ISNUMBER(RU_Clean!M33),ISNUMBER(RU_Clean!M21)),(RU_Clean!M33-RU_Clean!M21)/RU_Clean!M21*100,"")</f>
        <v>4.72000000000001</v>
      </c>
      <c r="N33" s="12">
        <f>IF(AND(ISNUMBER(RU_Clean!N33),ISNUMBER(RU_Clean!N21)),(RU_Clean!N33-RU_Clean!N21)/RU_Clean!N21*100,"")</f>
        <v>16.6219839142091</v>
      </c>
      <c r="O33" s="12">
        <f>IF(AND(ISNUMBER(RU_Clean!O33),ISNUMBER(RU_Clean!O21)),(RU_Clean!O33-RU_Clean!O21)/RU_Clean!O21*100,"")</f>
        <v>-7.29571984435798</v>
      </c>
      <c r="P33" s="12">
        <f>IF(AND(ISNUMBER(RU_Clean!P33),ISNUMBER(RU_Clean!P21)),(RU_Clean!P33-RU_Clean!P21)/RU_Clean!P21*100,"")</f>
        <v>8.81834215167548</v>
      </c>
      <c r="Q33" s="12">
        <f>IF(AND(ISNUMBER(RU_Clean!Q33),ISNUMBER(RU_Clean!Q21)),(RU_Clean!Q33-RU_Clean!Q21)/RU_Clean!Q21*100,"")</f>
        <v>4.83729111697449</v>
      </c>
      <c r="R33" s="12">
        <f>IF(AND(ISNUMBER(RU_Clean!R33),ISNUMBER(RU_Clean!R21)),(RU_Clean!R33-RU_Clean!R21)/RU_Clean!R21*100,"")</f>
        <v>7.80730897009967</v>
      </c>
      <c r="S33" s="12">
        <f>IF(AND(ISNUMBER(RU_Clean!S33),ISNUMBER(RU_Clean!S21)),(RU_Clean!S33-RU_Clean!S21)/RU_Clean!S21*100,"")</f>
        <v>5.13036164844407</v>
      </c>
      <c r="T33" s="12">
        <f>IF(AND(ISNUMBER(RU_Clean!T33),ISNUMBER(RU_Clean!T21)),(RU_Clean!T33-RU_Clean!T21)/RU_Clean!T21*100,"")</f>
        <v>9.50342465753425</v>
      </c>
      <c r="U33" s="12">
        <f>IF(AND(ISNUMBER(RU_Clean!U33),ISNUMBER(RU_Clean!U21)),(RU_Clean!U33-RU_Clean!U21)/RU_Clean!U21*100,"")</f>
        <v>6.27118644067797</v>
      </c>
      <c r="V33" s="12">
        <f>IF(AND(ISNUMBER(RU_Clean!V33),ISNUMBER(RU_Clean!V21)),(RU_Clean!V33-RU_Clean!V21)/RU_Clean!V21*100,"")</f>
        <v>5.29513888888888</v>
      </c>
      <c r="W33" s="12">
        <f>IF(AND(ISNUMBER(RU_Clean!W33),ISNUMBER(RU_Clean!W21)),(RU_Clean!W33-RU_Clean!W21)/RU_Clean!W21*100,"")</f>
        <v>6.0374149659864</v>
      </c>
      <c r="X33" s="12">
        <f>IF(AND(ISNUMBER(RU_Clean!X33),ISNUMBER(RU_Clean!X21)),(RU_Clean!X33-RU_Clean!X21)/RU_Clean!X21*100,"")</f>
        <v>4.63692038495188</v>
      </c>
      <c r="Y33" s="12">
        <f>IF(AND(ISNUMBER(RU_Clean!Y33),ISNUMBER(RU_Clean!Y21)),(RU_Clean!Y33-RU_Clean!Y21)/RU_Clean!Y21*100,"")</f>
        <v>5.95555555555556</v>
      </c>
      <c r="Z33" s="12">
        <f>IF(AND(ISNUMBER(RU_Clean!Z33),ISNUMBER(RU_Clean!Z21)),(RU_Clean!Z33-RU_Clean!Z21)/RU_Clean!Z21*100,"")</f>
        <v>5.34618755477652</v>
      </c>
      <c r="AA33" s="12">
        <f>IF(AND(ISNUMBER(RU_Clean!AA33),ISNUMBER(RU_Clean!AA21)),(RU_Clean!AA33-RU_Clean!AA21)/RU_Clean!AA21*100,"")</f>
        <v>5.27728085867621</v>
      </c>
      <c r="AB33" s="12">
        <f>IF(AND(ISNUMBER(RU_Clean!AB33),ISNUMBER(RU_Clean!AB21)),(RU_Clean!AB33-RU_Clean!AB21)/RU_Clean!AB21*100,"")</f>
        <v>0.628930817610065</v>
      </c>
      <c r="AC33" s="12">
        <f>IF(AND(ISNUMBER(RU_Clean!AC33),ISNUMBER(RU_Clean!AC21)),(RU_Clean!AC33-RU_Clean!AC21)/RU_Clean!AC21*100,"")</f>
        <v>4.58633093525179</v>
      </c>
      <c r="AD33" s="12">
        <f>IF(AND(ISNUMBER(RU_Clean!AD33),ISNUMBER(RU_Clean!AD21)),(RU_Clean!AD33-RU_Clean!AD21)/RU_Clean!AD21*100,"")</f>
        <v>7.43362831858408</v>
      </c>
      <c r="AE33" s="12">
        <f>IF(AND(ISNUMBER(RU_Clean!AE33),ISNUMBER(RU_Clean!AE21)),(RU_Clean!AE33-RU_Clean!AE21)/RU_Clean!AE21*100,"")</f>
        <v>2.93308890925756</v>
      </c>
      <c r="AF33" s="12">
        <f>IF(AND(ISNUMBER(RU_Clean!AF33),ISNUMBER(RU_Clean!AF21)),(RU_Clean!AF33-RU_Clean!AF21)/RU_Clean!AF21*100,"")</f>
        <v>3.84615384615384</v>
      </c>
      <c r="AG33" s="12">
        <f>IF(AND(ISNUMBER(RU_Clean!AG33),ISNUMBER(RU_Clean!AG21)),(RU_Clean!AG33-RU_Clean!AG21)/RU_Clean!AG21*100,"")</f>
        <v>5.00863557858376</v>
      </c>
      <c r="AH33" s="12">
        <f>IF(AND(ISNUMBER(RU_Clean!AH33),ISNUMBER(RU_Clean!AH21)),(RU_Clean!AH33-RU_Clean!AH21)/RU_Clean!AH21*100,"")</f>
        <v>4.70134324092596</v>
      </c>
    </row>
    <row r="34" spans="1:34">
      <c r="A34" s="6">
        <f>RU_Clean!A34</f>
        <v>2015</v>
      </c>
      <c r="B34" s="6">
        <f>RU_Clean!B34</f>
        <v>6</v>
      </c>
      <c r="C34" s="6" t="str">
        <f>RU_Clean!C34</f>
        <v>June</v>
      </c>
      <c r="D34" s="9">
        <f>RU_Clean!D34</f>
        <v>42156</v>
      </c>
      <c r="E34" s="6"/>
      <c r="F34" s="6"/>
      <c r="G34" s="12">
        <f>IF(AND(ISNUMBER(RU_Clean!G34),ISNUMBER(RU_Clean!G22)),(RU_Clean!G34-RU_Clean!G22)/RU_Clean!G22*100,"")</f>
        <v>1.97530864197531</v>
      </c>
      <c r="H34" s="12">
        <f>IF(AND(ISNUMBER(RU_Clean!H34),ISNUMBER(RU_Clean!H22)),(RU_Clean!H34-RU_Clean!H22)/RU_Clean!H22*100,"")</f>
        <v>7.06742485783917</v>
      </c>
      <c r="I34" s="12">
        <f>IF(AND(ISNUMBER(RU_Clean!I34),ISNUMBER(RU_Clean!I22)),(RU_Clean!I34-RU_Clean!I22)/RU_Clean!I22*100,"")</f>
        <v>5.00863557858376</v>
      </c>
      <c r="J34" s="12">
        <f>IF(AND(ISNUMBER(RU_Clean!J34),ISNUMBER(RU_Clean!J22)),(RU_Clean!J34-RU_Clean!J22)/RU_Clean!J22*100,"")</f>
        <v>7.10108604845446</v>
      </c>
      <c r="K34" s="12">
        <f>IF(AND(ISNUMBER(RU_Clean!K34),ISNUMBER(RU_Clean!K22)),(RU_Clean!K34-RU_Clean!K22)/RU_Clean!K22*100,"")</f>
        <v>3.06122448979592</v>
      </c>
      <c r="L34" s="12">
        <f>IF(AND(ISNUMBER(RU_Clean!L34),ISNUMBER(RU_Clean!L22)),(RU_Clean!L34-RU_Clean!L22)/RU_Clean!L22*100,"")</f>
        <v>3.50740452065471</v>
      </c>
      <c r="M34" s="12">
        <f>IF(AND(ISNUMBER(RU_Clean!M34),ISNUMBER(RU_Clean!M22)),(RU_Clean!M34-RU_Clean!M22)/RU_Clean!M22*100,"")</f>
        <v>5.29901589704769</v>
      </c>
      <c r="N34" s="12">
        <f>IF(AND(ISNUMBER(RU_Clean!N34),ISNUMBER(RU_Clean!N22)),(RU_Clean!N34-RU_Clean!N22)/RU_Clean!N22*100,"")</f>
        <v>22.2419928825623</v>
      </c>
      <c r="O34" s="12">
        <f>IF(AND(ISNUMBER(RU_Clean!O34),ISNUMBER(RU_Clean!O22)),(RU_Clean!O34-RU_Clean!O22)/RU_Clean!O22*100,"")</f>
        <v>-8.55199222546162</v>
      </c>
      <c r="P34" s="12">
        <f>IF(AND(ISNUMBER(RU_Clean!P34),ISNUMBER(RU_Clean!P22)),(RU_Clean!P34-RU_Clean!P22)/RU_Clean!P22*100,"")</f>
        <v>9.79877515310586</v>
      </c>
      <c r="Q34" s="12">
        <f>IF(AND(ISNUMBER(RU_Clean!Q34),ISNUMBER(RU_Clean!Q22)),(RU_Clean!Q34-RU_Clean!Q22)/RU_Clean!Q22*100,"")</f>
        <v>4.90367775831873</v>
      </c>
      <c r="R34" s="12">
        <f>IF(AND(ISNUMBER(RU_Clean!R34),ISNUMBER(RU_Clean!R22)),(RU_Clean!R34-RU_Clean!R22)/RU_Clean!R22*100,"")</f>
        <v>8.00330033003301</v>
      </c>
      <c r="S34" s="12">
        <f>IF(AND(ISNUMBER(RU_Clean!S34),ISNUMBER(RU_Clean!S22)),(RU_Clean!S34-RU_Clean!S22)/RU_Clean!S22*100,"")</f>
        <v>5.73089700996677</v>
      </c>
      <c r="T34" s="12">
        <f>IF(AND(ISNUMBER(RU_Clean!T34),ISNUMBER(RU_Clean!T22)),(RU_Clean!T34-RU_Clean!T22)/RU_Clean!T22*100,"")</f>
        <v>9.6774193548387</v>
      </c>
      <c r="U34" s="12">
        <f>IF(AND(ISNUMBER(RU_Clean!U34),ISNUMBER(RU_Clean!U22)),(RU_Clean!U34-RU_Clean!U22)/RU_Clean!U22*100,"")</f>
        <v>6.3973063973064</v>
      </c>
      <c r="V34" s="12">
        <f>IF(AND(ISNUMBER(RU_Clean!V34),ISNUMBER(RU_Clean!V22)),(RU_Clean!V34-RU_Clean!V22)/RU_Clean!V22*100,"")</f>
        <v>5.5363321799308</v>
      </c>
      <c r="W34" s="12">
        <f>IF(AND(ISNUMBER(RU_Clean!W34),ISNUMBER(RU_Clean!W22)),(RU_Clean!W34-RU_Clean!W22)/RU_Clean!W22*100,"")</f>
        <v>6.25528317836011</v>
      </c>
      <c r="X34" s="12">
        <f>IF(AND(ISNUMBER(RU_Clean!X34),ISNUMBER(RU_Clean!X22)),(RU_Clean!X34-RU_Clean!X22)/RU_Clean!X22*100,"")</f>
        <v>4.4776119402985</v>
      </c>
      <c r="Y34" s="12">
        <f>IF(AND(ISNUMBER(RU_Clean!Y34),ISNUMBER(RU_Clean!Y22)),(RU_Clean!Y34-RU_Clean!Y22)/RU_Clean!Y22*100,"")</f>
        <v>5.8303886925795</v>
      </c>
      <c r="Z34" s="12">
        <f>IF(AND(ISNUMBER(RU_Clean!Z34),ISNUMBER(RU_Clean!Z22)),(RU_Clean!Z34-RU_Clean!Z22)/RU_Clean!Z22*100,"")</f>
        <v>5.67190226876091</v>
      </c>
      <c r="AA34" s="12">
        <f>IF(AND(ISNUMBER(RU_Clean!AA34),ISNUMBER(RU_Clean!AA22)),(RU_Clean!AA34-RU_Clean!AA22)/RU_Clean!AA22*100,"")</f>
        <v>5.52092609082814</v>
      </c>
      <c r="AB34" s="12">
        <f>IF(AND(ISNUMBER(RU_Clean!AB34),ISNUMBER(RU_Clean!AB22)),(RU_Clean!AB34-RU_Clean!AB22)/RU_Clean!AB22*100,"")</f>
        <v>0.983899821109131</v>
      </c>
      <c r="AC34" s="12">
        <f>IF(AND(ISNUMBER(RU_Clean!AC34),ISNUMBER(RU_Clean!AC22)),(RU_Clean!AC34-RU_Clean!AC22)/RU_Clean!AC22*100,"")</f>
        <v>4.74910394265234</v>
      </c>
      <c r="AD34" s="12">
        <f>IF(AND(ISNUMBER(RU_Clean!AD34),ISNUMBER(RU_Clean!AD22)),(RU_Clean!AD34-RU_Clean!AD22)/RU_Clean!AD22*100,"")</f>
        <v>7.22996515679442</v>
      </c>
      <c r="AE34" s="12">
        <f>IF(AND(ISNUMBER(RU_Clean!AE34),ISNUMBER(RU_Clean!AE22)),(RU_Clean!AE34-RU_Clean!AE22)/RU_Clean!AE22*100,"")</f>
        <v>4.15512465373961</v>
      </c>
      <c r="AF34" s="12">
        <f>IF(AND(ISNUMBER(RU_Clean!AF34),ISNUMBER(RU_Clean!AF22)),(RU_Clean!AF34-RU_Clean!AF22)/RU_Clean!AF22*100,"")</f>
        <v>4.18521816562779</v>
      </c>
      <c r="AG34" s="12">
        <f>IF(AND(ISNUMBER(RU_Clean!AG34),ISNUMBER(RU_Clean!AG22)),(RU_Clean!AG34-RU_Clean!AG22)/RU_Clean!AG22*100,"")</f>
        <v>5.39845758354755</v>
      </c>
      <c r="AH34" s="12">
        <f>IF(AND(ISNUMBER(RU_Clean!AH34),ISNUMBER(RU_Clean!AH22)),(RU_Clean!AH34-RU_Clean!AH22)/RU_Clean!AH22*100,"")</f>
        <v>5.86570437982027</v>
      </c>
    </row>
    <row r="35" spans="1:34">
      <c r="A35" s="6">
        <f>RU_Clean!A35</f>
        <v>2015</v>
      </c>
      <c r="B35" s="6">
        <f>RU_Clean!B35</f>
        <v>7</v>
      </c>
      <c r="C35" s="6" t="str">
        <f>RU_Clean!C35</f>
        <v>July</v>
      </c>
      <c r="D35" s="9">
        <f>RU_Clean!D35</f>
        <v>42186</v>
      </c>
      <c r="E35" s="6"/>
      <c r="F35" s="6"/>
      <c r="G35" s="12">
        <f>IF(AND(ISNUMBER(RU_Clean!G35),ISNUMBER(RU_Clean!G23)),(RU_Clean!G35-RU_Clean!G23)/RU_Clean!G23*100,"")</f>
        <v>1.06209150326797</v>
      </c>
      <c r="H35" s="12">
        <f>IF(AND(ISNUMBER(RU_Clean!H35),ISNUMBER(RU_Clean!H23)),(RU_Clean!H35-RU_Clean!H23)/RU_Clean!H23*100,"")</f>
        <v>6.9410815173527</v>
      </c>
      <c r="I35" s="12">
        <f>IF(AND(ISNUMBER(RU_Clean!I35),ISNUMBER(RU_Clean!I23)),(RU_Clean!I35-RU_Clean!I23)/RU_Clean!I23*100,"")</f>
        <v>2.71646859083192</v>
      </c>
      <c r="J35" s="12">
        <f>IF(AND(ISNUMBER(RU_Clean!J35),ISNUMBER(RU_Clean!J23)),(RU_Clean!J35-RU_Clean!J23)/RU_Clean!J23*100,"")</f>
        <v>6.03305785123968</v>
      </c>
      <c r="K35" s="12">
        <f>IF(AND(ISNUMBER(RU_Clean!K35),ISNUMBER(RU_Clean!K23)),(RU_Clean!K35-RU_Clean!K23)/RU_Clean!K23*100,"")</f>
        <v>2.78035217794254</v>
      </c>
      <c r="L35" s="12">
        <f>IF(AND(ISNUMBER(RU_Clean!L35),ISNUMBER(RU_Clean!L23)),(RU_Clean!L35-RU_Clean!L23)/RU_Clean!L23*100,"")</f>
        <v>1.44817073170732</v>
      </c>
      <c r="M35" s="12">
        <f>IF(AND(ISNUMBER(RU_Clean!M35),ISNUMBER(RU_Clean!M23)),(RU_Clean!M35-RU_Clean!M23)/RU_Clean!M23*100,"")</f>
        <v>-7.98985415345593</v>
      </c>
      <c r="N35" s="12">
        <f>IF(AND(ISNUMBER(RU_Clean!N35),ISNUMBER(RU_Clean!N23)),(RU_Clean!N35-RU_Clean!N23)/RU_Clean!N23*100,"")</f>
        <v>22.8798586572438</v>
      </c>
      <c r="O35" s="12">
        <f>IF(AND(ISNUMBER(RU_Clean!O35),ISNUMBER(RU_Clean!O23)),(RU_Clean!O35-RU_Clean!O23)/RU_Clean!O23*100,"")</f>
        <v>-12.2958693563881</v>
      </c>
      <c r="P35" s="12">
        <f>IF(AND(ISNUMBER(RU_Clean!P35),ISNUMBER(RU_Clean!P23)),(RU_Clean!P35-RU_Clean!P23)/RU_Clean!P23*100,"")</f>
        <v>9.17748917748917</v>
      </c>
      <c r="Q35" s="12">
        <f>IF(AND(ISNUMBER(RU_Clean!Q35),ISNUMBER(RU_Clean!Q23)),(RU_Clean!Q35-RU_Clean!Q23)/RU_Clean!Q23*100,"")</f>
        <v>4.4425087108014</v>
      </c>
      <c r="R35" s="12">
        <f>IF(AND(ISNUMBER(RU_Clean!R35),ISNUMBER(RU_Clean!R23)),(RU_Clean!R35-RU_Clean!R23)/RU_Clean!R23*100,"")</f>
        <v>7.61670761670763</v>
      </c>
      <c r="S35" s="12">
        <f>IF(AND(ISNUMBER(RU_Clean!S35),ISNUMBER(RU_Clean!S23)),(RU_Clean!S35-RU_Clean!S23)/RU_Clean!S23*100,"")</f>
        <v>2.80673616680031</v>
      </c>
      <c r="T35" s="12">
        <f>IF(AND(ISNUMBER(RU_Clean!T35),ISNUMBER(RU_Clean!T23)),(RU_Clean!T35-RU_Clean!T23)/RU_Clean!T23*100,"")</f>
        <v>9.76430976430977</v>
      </c>
      <c r="U35" s="12">
        <f>IF(AND(ISNUMBER(RU_Clean!U35),ISNUMBER(RU_Clean!U23)),(RU_Clean!U35-RU_Clean!U23)/RU_Clean!U23*100,"")</f>
        <v>5.93645484949834</v>
      </c>
      <c r="V35" s="12">
        <f>IF(AND(ISNUMBER(RU_Clean!V35),ISNUMBER(RU_Clean!V23)),(RU_Clean!V35-RU_Clean!V23)/RU_Clean!V23*100,"")</f>
        <v>5.15907136715391</v>
      </c>
      <c r="W35" s="12">
        <f>IF(AND(ISNUMBER(RU_Clean!W35),ISNUMBER(RU_Clean!W23)),(RU_Clean!W35-RU_Clean!W23)/RU_Clean!W23*100,"")</f>
        <v>5.87741393786734</v>
      </c>
      <c r="X35" s="12">
        <f>IF(AND(ISNUMBER(RU_Clean!X35),ISNUMBER(RU_Clean!X23)),(RU_Clean!X35-RU_Clean!X23)/RU_Clean!X23*100,"")</f>
        <v>4.4425087108014</v>
      </c>
      <c r="Y35" s="12">
        <f>IF(AND(ISNUMBER(RU_Clean!Y35),ISNUMBER(RU_Clean!Y23)),(RU_Clean!Y35-RU_Clean!Y23)/RU_Clean!Y23*100,"")</f>
        <v>5.4433713784021</v>
      </c>
      <c r="Z35" s="12">
        <f>IF(AND(ISNUMBER(RU_Clean!Z35),ISNUMBER(RU_Clean!Z23)),(RU_Clean!Z35-RU_Clean!Z23)/RU_Clean!Z23*100,"")</f>
        <v>5.29513888888888</v>
      </c>
      <c r="AA35" s="12">
        <f>IF(AND(ISNUMBER(RU_Clean!AA35),ISNUMBER(RU_Clean!AA23)),(RU_Clean!AA35-RU_Clean!AA23)/RU_Clean!AA23*100,"")</f>
        <v>5.59006211180124</v>
      </c>
      <c r="AB35" s="12">
        <f>IF(AND(ISNUMBER(RU_Clean!AB35),ISNUMBER(RU_Clean!AB23)),(RU_Clean!AB35-RU_Clean!AB23)/RU_Clean!AB23*100,"")</f>
        <v>-0.353669319186553</v>
      </c>
      <c r="AC35" s="12">
        <f>IF(AND(ISNUMBER(RU_Clean!AC35),ISNUMBER(RU_Clean!AC23)),(RU_Clean!AC35-RU_Clean!AC23)/RU_Clean!AC23*100,"")</f>
        <v>4.54950936663694</v>
      </c>
      <c r="AD35" s="12">
        <f>IF(AND(ISNUMBER(RU_Clean!AD35),ISNUMBER(RU_Clean!AD23)),(RU_Clean!AD35-RU_Clean!AD23)/RU_Clean!AD23*100,"")</f>
        <v>6.5068493150685</v>
      </c>
      <c r="AE35" s="12">
        <f>IF(AND(ISNUMBER(RU_Clean!AE35),ISNUMBER(RU_Clean!AE23)),(RU_Clean!AE35-RU_Clean!AE23)/RU_Clean!AE23*100,"")</f>
        <v>2.83882783882783</v>
      </c>
      <c r="AF35" s="12">
        <f>IF(AND(ISNUMBER(RU_Clean!AF35),ISNUMBER(RU_Clean!AF23)),(RU_Clean!AF35-RU_Clean!AF23)/RU_Clean!AF23*100,"")</f>
        <v>3.44218887908209</v>
      </c>
      <c r="AG35" s="12">
        <f>IF(AND(ISNUMBER(RU_Clean!AG35),ISNUMBER(RU_Clean!AG23)),(RU_Clean!AG35-RU_Clean!AG23)/RU_Clean!AG23*100,"")</f>
        <v>3.69127516778523</v>
      </c>
      <c r="AH35" s="12">
        <f>IF(AND(ISNUMBER(RU_Clean!AH35),ISNUMBER(RU_Clean!AH23)),(RU_Clean!AH35-RU_Clean!AH23)/RU_Clean!AH23*100,"")</f>
        <v>3.49958666299257</v>
      </c>
    </row>
    <row r="36" spans="1:34">
      <c r="A36" s="6">
        <f>RU_Clean!A36</f>
        <v>2015</v>
      </c>
      <c r="B36" s="6">
        <f>RU_Clean!B36</f>
        <v>8</v>
      </c>
      <c r="C36" s="6" t="str">
        <f>RU_Clean!C36</f>
        <v>August</v>
      </c>
      <c r="D36" s="9">
        <f>RU_Clean!D36</f>
        <v>42217</v>
      </c>
      <c r="E36" s="6"/>
      <c r="F36" s="6"/>
      <c r="G36" s="12">
        <f>IF(AND(ISNUMBER(RU_Clean!G36),ISNUMBER(RU_Clean!G24)),(RU_Clean!G36-RU_Clean!G24)/RU_Clean!G24*100,"")</f>
        <v>1.22249388753056</v>
      </c>
      <c r="H36" s="12">
        <f>IF(AND(ISNUMBER(RU_Clean!H36),ISNUMBER(RU_Clean!H24)),(RU_Clean!H36-RU_Clean!H24)/RU_Clean!H24*100,"")</f>
        <v>5.62700964630225</v>
      </c>
      <c r="I36" s="12">
        <f>IF(AND(ISNUMBER(RU_Clean!I36),ISNUMBER(RU_Clean!I24)),(RU_Clean!I36-RU_Clean!I24)/RU_Clean!I24*100,"")</f>
        <v>2.38704177323103</v>
      </c>
      <c r="J36" s="12">
        <f>IF(AND(ISNUMBER(RU_Clean!J36),ISNUMBER(RU_Clean!J24)),(RU_Clean!J36-RU_Clean!J24)/RU_Clean!J24*100,"")</f>
        <v>5.32786885245902</v>
      </c>
      <c r="K36" s="12">
        <f>IF(AND(ISNUMBER(RU_Clean!K36),ISNUMBER(RU_Clean!K24)),(RU_Clean!K36-RU_Clean!K24)/RU_Clean!K24*100,"")</f>
        <v>3.14814814814815</v>
      </c>
      <c r="L36" s="12">
        <f>IF(AND(ISNUMBER(RU_Clean!L36),ISNUMBER(RU_Clean!L24)),(RU_Clean!L36-RU_Clean!L24)/RU_Clean!L24*100,"")</f>
        <v>0.915331807780333</v>
      </c>
      <c r="M36" s="12">
        <f>IF(AND(ISNUMBER(RU_Clean!M36),ISNUMBER(RU_Clean!M24)),(RU_Clean!M36-RU_Clean!M24)/RU_Clean!M24*100,"")</f>
        <v>-6.30202140309156</v>
      </c>
      <c r="N36" s="12">
        <f>IF(AND(ISNUMBER(RU_Clean!N36),ISNUMBER(RU_Clean!N24)),(RU_Clean!N36-RU_Clean!N24)/RU_Clean!N24*100,"")</f>
        <v>25.764192139738</v>
      </c>
      <c r="O36" s="12">
        <f>IF(AND(ISNUMBER(RU_Clean!O36),ISNUMBER(RU_Clean!O24)),(RU_Clean!O36-RU_Clean!O24)/RU_Clean!O24*100,"")</f>
        <v>-13.2310642377756</v>
      </c>
      <c r="P36" s="12">
        <f>IF(AND(ISNUMBER(RU_Clean!P36),ISNUMBER(RU_Clean!P24)),(RU_Clean!P36-RU_Clean!P24)/RU_Clean!P24*100,"")</f>
        <v>8.28351836037575</v>
      </c>
      <c r="Q36" s="12">
        <f>IF(AND(ISNUMBER(RU_Clean!Q36),ISNUMBER(RU_Clean!Q24)),(RU_Clean!Q36-RU_Clean!Q24)/RU_Clean!Q24*100,"")</f>
        <v>4.51388888888889</v>
      </c>
      <c r="R36" s="12">
        <f>IF(AND(ISNUMBER(RU_Clean!R36),ISNUMBER(RU_Clean!R24)),(RU_Clean!R36-RU_Clean!R24)/RU_Clean!R24*100,"")</f>
        <v>7.31112916328189</v>
      </c>
      <c r="S36" s="12">
        <f>IF(AND(ISNUMBER(RU_Clean!S36),ISNUMBER(RU_Clean!S24)),(RU_Clean!S36-RU_Clean!S24)/RU_Clean!S24*100,"")</f>
        <v>2.92259083728279</v>
      </c>
      <c r="T36" s="12">
        <f>IF(AND(ISNUMBER(RU_Clean!T36),ISNUMBER(RU_Clean!T24)),(RU_Clean!T36-RU_Clean!T24)/RU_Clean!T24*100,"")</f>
        <v>9.42452043369473</v>
      </c>
      <c r="U36" s="12">
        <f>IF(AND(ISNUMBER(RU_Clean!U36),ISNUMBER(RU_Clean!U24)),(RU_Clean!U36-RU_Clean!U24)/RU_Clean!U24*100,"")</f>
        <v>6</v>
      </c>
      <c r="V36" s="12">
        <f>IF(AND(ISNUMBER(RU_Clean!V36),ISNUMBER(RU_Clean!V24)),(RU_Clean!V36-RU_Clean!V24)/RU_Clean!V24*100,"")</f>
        <v>5.22260273972604</v>
      </c>
      <c r="W36" s="12">
        <f>IF(AND(ISNUMBER(RU_Clean!W36),ISNUMBER(RU_Clean!W24)),(RU_Clean!W36-RU_Clean!W24)/RU_Clean!W24*100,"")</f>
        <v>5.85284280936455</v>
      </c>
      <c r="X36" s="12">
        <f>IF(AND(ISNUMBER(RU_Clean!X36),ISNUMBER(RU_Clean!X24)),(RU_Clean!X36-RU_Clean!X24)/RU_Clean!X24*100,"")</f>
        <v>4.67532467532468</v>
      </c>
      <c r="Y36" s="12">
        <f>IF(AND(ISNUMBER(RU_Clean!Y36),ISNUMBER(RU_Clean!Y24)),(RU_Clean!Y36-RU_Clean!Y24)/RU_Clean!Y24*100,"")</f>
        <v>5.78947368421052</v>
      </c>
      <c r="Z36" s="12">
        <f>IF(AND(ISNUMBER(RU_Clean!Z36),ISNUMBER(RU_Clean!Z24)),(RU_Clean!Z36-RU_Clean!Z24)/RU_Clean!Z24*100,"")</f>
        <v>5.5363321799308</v>
      </c>
      <c r="AA36" s="12">
        <f>IF(AND(ISNUMBER(RU_Clean!AA36),ISNUMBER(RU_Clean!AA24)),(RU_Clean!AA36-RU_Clean!AA24)/RU_Clean!AA24*100,"")</f>
        <v>5.38393645189762</v>
      </c>
      <c r="AB36" s="12">
        <f>IF(AND(ISNUMBER(RU_Clean!AB36),ISNUMBER(RU_Clean!AB24)),(RU_Clean!AB36-RU_Clean!AB24)/RU_Clean!AB24*100,"")</f>
        <v>-0.975177304964534</v>
      </c>
      <c r="AC36" s="12">
        <f>IF(AND(ISNUMBER(RU_Clean!AC36),ISNUMBER(RU_Clean!AC24)),(RU_Clean!AC36-RU_Clean!AC24)/RU_Clean!AC24*100,"")</f>
        <v>4.61811722912967</v>
      </c>
      <c r="AD36" s="12">
        <f>IF(AND(ISNUMBER(RU_Clean!AD36),ISNUMBER(RU_Clean!AD24)),(RU_Clean!AD36-RU_Clean!AD24)/RU_Clean!AD24*100,"")</f>
        <v>6.01694915254237</v>
      </c>
      <c r="AE36" s="12">
        <f>IF(AND(ISNUMBER(RU_Clean!AE36),ISNUMBER(RU_Clean!AE24)),(RU_Clean!AE36-RU_Clean!AE24)/RU_Clean!AE24*100,"")</f>
        <v>2.1838034576888</v>
      </c>
      <c r="AF36" s="12">
        <f>IF(AND(ISNUMBER(RU_Clean!AF36),ISNUMBER(RU_Clean!AF24)),(RU_Clean!AF36-RU_Clean!AF24)/RU_Clean!AF24*100,"")</f>
        <v>3.07827616534741</v>
      </c>
      <c r="AG36" s="12">
        <f>IF(AND(ISNUMBER(RU_Clean!AG36),ISNUMBER(RU_Clean!AG24)),(RU_Clean!AG36-RU_Clean!AG24)/RU_Clean!AG24*100,"")</f>
        <v>3.74064837905237</v>
      </c>
      <c r="AH36" s="12">
        <f>IF(AND(ISNUMBER(RU_Clean!AH36),ISNUMBER(RU_Clean!AH24)),(RU_Clean!AH36-RU_Clean!AH24)/RU_Clean!AH24*100,"")</f>
        <v>3.50160092649364</v>
      </c>
    </row>
    <row r="37" spans="1:34">
      <c r="A37" s="6">
        <f>RU_Clean!A37</f>
        <v>2015</v>
      </c>
      <c r="B37" s="6">
        <f>RU_Clean!B37</f>
        <v>9</v>
      </c>
      <c r="C37" s="6" t="str">
        <f>RU_Clean!C37</f>
        <v>September</v>
      </c>
      <c r="D37" s="9">
        <f>RU_Clean!D37</f>
        <v>42248</v>
      </c>
      <c r="E37" s="6"/>
      <c r="F37" s="6"/>
      <c r="G37" s="12">
        <f>IF(AND(ISNUMBER(RU_Clean!G37),ISNUMBER(RU_Clean!G25)),(RU_Clean!G37-RU_Clean!G25)/RU_Clean!G25*100,"")</f>
        <v>1.38323840520748</v>
      </c>
      <c r="H37" s="12">
        <f>IF(AND(ISNUMBER(RU_Clean!H37),ISNUMBER(RU_Clean!H25)),(RU_Clean!H37-RU_Clean!H25)/RU_Clean!H25*100,"")</f>
        <v>5.58704453441296</v>
      </c>
      <c r="I37" s="12">
        <f>IF(AND(ISNUMBER(RU_Clean!I37),ISNUMBER(RU_Clean!I25)),(RU_Clean!I37-RU_Clean!I25)/RU_Clean!I25*100,"")</f>
        <v>1.19352088661552</v>
      </c>
      <c r="J37" s="12">
        <f>IF(AND(ISNUMBER(RU_Clean!J37),ISNUMBER(RU_Clean!J25)),(RU_Clean!J37-RU_Clean!J25)/RU_Clean!J25*100,"")</f>
        <v>5.05297473512633</v>
      </c>
      <c r="K37" s="12">
        <f>IF(AND(ISNUMBER(RU_Clean!K37),ISNUMBER(RU_Clean!K25)),(RU_Clean!K37-RU_Clean!K25)/RU_Clean!K25*100,"")</f>
        <v>3.70713623725672</v>
      </c>
      <c r="L37" s="12">
        <f>IF(AND(ISNUMBER(RU_Clean!L37),ISNUMBER(RU_Clean!L25)),(RU_Clean!L37-RU_Clean!L25)/RU_Clean!L25*100,"")</f>
        <v>0.864100549882175</v>
      </c>
      <c r="M37" s="12">
        <f>IF(AND(ISNUMBER(RU_Clean!M37),ISNUMBER(RU_Clean!M25)),(RU_Clean!M37-RU_Clean!M25)/RU_Clean!M25*100,"")</f>
        <v>0.0616903146206011</v>
      </c>
      <c r="N37" s="12">
        <f>IF(AND(ISNUMBER(RU_Clean!N37),ISNUMBER(RU_Clean!N25)),(RU_Clean!N37-RU_Clean!N25)/RU_Clean!N25*100,"")</f>
        <v>29.757785467128</v>
      </c>
      <c r="O37" s="12">
        <f>IF(AND(ISNUMBER(RU_Clean!O37),ISNUMBER(RU_Clean!O25)),(RU_Clean!O37-RU_Clean!O25)/RU_Clean!O25*100,"")</f>
        <v>-12.9094412331406</v>
      </c>
      <c r="P37" s="12">
        <f>IF(AND(ISNUMBER(RU_Clean!P37),ISNUMBER(RU_Clean!P25)),(RU_Clean!P37-RU_Clean!P25)/RU_Clean!P25*100,"")</f>
        <v>9.18367346938776</v>
      </c>
      <c r="Q37" s="12">
        <f>IF(AND(ISNUMBER(RU_Clean!Q37),ISNUMBER(RU_Clean!Q25)),(RU_Clean!Q37-RU_Clean!Q25)/RU_Clean!Q25*100,"")</f>
        <v>4.23143350604491</v>
      </c>
      <c r="R37" s="12">
        <f>IF(AND(ISNUMBER(RU_Clean!R37),ISNUMBER(RU_Clean!R25)),(RU_Clean!R37-RU_Clean!R25)/RU_Clean!R25*100,"")</f>
        <v>7.02746365105008</v>
      </c>
      <c r="S37" s="12">
        <f>IF(AND(ISNUMBER(RU_Clean!S37),ISNUMBER(RU_Clean!S25)),(RU_Clean!S37-RU_Clean!S25)/RU_Clean!S25*100,"")</f>
        <v>4.29252782193958</v>
      </c>
      <c r="T37" s="12">
        <f>IF(AND(ISNUMBER(RU_Clean!T37),ISNUMBER(RU_Clean!T25)),(RU_Clean!T37-RU_Clean!T25)/RU_Clean!T25*100,"")</f>
        <v>9.27152317880795</v>
      </c>
      <c r="U37" s="12">
        <f>IF(AND(ISNUMBER(RU_Clean!U37),ISNUMBER(RU_Clean!U25)),(RU_Clean!U37-RU_Clean!U25)/RU_Clean!U25*100,"")</f>
        <v>5.96520298260149</v>
      </c>
      <c r="V37" s="12">
        <f>IF(AND(ISNUMBER(RU_Clean!V37),ISNUMBER(RU_Clean!V25)),(RU_Clean!V37-RU_Clean!V25)/RU_Clean!V25*100,"")</f>
        <v>5.2901023890785</v>
      </c>
      <c r="W37" s="12">
        <f>IF(AND(ISNUMBER(RU_Clean!W37),ISNUMBER(RU_Clean!W25)),(RU_Clean!W37-RU_Clean!W25)/RU_Clean!W25*100,"")</f>
        <v>5.91174021648627</v>
      </c>
      <c r="X37" s="12">
        <f>IF(AND(ISNUMBER(RU_Clean!X37),ISNUMBER(RU_Clean!X25)),(RU_Clean!X37-RU_Clean!X25)/RU_Clean!X25*100,"")</f>
        <v>4.73729543496985</v>
      </c>
      <c r="Y37" s="12">
        <f>IF(AND(ISNUMBER(RU_Clean!Y37),ISNUMBER(RU_Clean!Y25)),(RU_Clean!Y37-RU_Clean!Y25)/RU_Clean!Y25*100,"")</f>
        <v>5.33683289588802</v>
      </c>
      <c r="Z37" s="12">
        <f>IF(AND(ISNUMBER(RU_Clean!Z37),ISNUMBER(RU_Clean!Z25)),(RU_Clean!Z37-RU_Clean!Z25)/RU_Clean!Z25*100,"")</f>
        <v>5.59862187769165</v>
      </c>
      <c r="AA37" s="12">
        <f>IF(AND(ISNUMBER(RU_Clean!AA37),ISNUMBER(RU_Clean!AA25)),(RU_Clean!AA37-RU_Clean!AA25)/RU_Clean!AA25*100,"")</f>
        <v>5.36499560246262</v>
      </c>
      <c r="AB37" s="12">
        <f>IF(AND(ISNUMBER(RU_Clean!AB37),ISNUMBER(RU_Clean!AB25)),(RU_Clean!AB37-RU_Clean!AB25)/RU_Clean!AB25*100,"")</f>
        <v>-0.625000000000003</v>
      </c>
      <c r="AC37" s="12">
        <f>IF(AND(ISNUMBER(RU_Clean!AC37),ISNUMBER(RU_Clean!AC25)),(RU_Clean!AC37-RU_Clean!AC25)/RU_Clean!AC25*100,"")</f>
        <v>4.59770114942529</v>
      </c>
      <c r="AD37" s="12">
        <f>IF(AND(ISNUMBER(RU_Clean!AD37),ISNUMBER(RU_Clean!AD25)),(RU_Clean!AD37-RU_Clean!AD25)/RU_Clean!AD25*100,"")</f>
        <v>5.98650927487353</v>
      </c>
      <c r="AE37" s="12">
        <f>IF(AND(ISNUMBER(RU_Clean!AE37),ISNUMBER(RU_Clean!AE25)),(RU_Clean!AE37-RU_Clean!AE25)/RU_Clean!AE25*100,"")</f>
        <v>3.56164383561644</v>
      </c>
      <c r="AF37" s="12">
        <f>IF(AND(ISNUMBER(RU_Clean!AF37),ISNUMBER(RU_Clean!AF25)),(RU_Clean!AF37-RU_Clean!AF25)/RU_Clean!AF25*100,"")</f>
        <v>3.34212840809147</v>
      </c>
      <c r="AG37" s="12">
        <f>IF(AND(ISNUMBER(RU_Clean!AG37),ISNUMBER(RU_Clean!AG25)),(RU_Clean!AG37-RU_Clean!AG25)/RU_Clean!AG25*100,"")</f>
        <v>4.41298917568694</v>
      </c>
      <c r="AH37" s="12">
        <f>IF(AND(ISNUMBER(RU_Clean!AH37),ISNUMBER(RU_Clean!AH25)),(RU_Clean!AH37-RU_Clean!AH25)/RU_Clean!AH25*100,"")</f>
        <v>4.57440252003016</v>
      </c>
    </row>
    <row r="38" spans="1:34">
      <c r="A38" s="6">
        <f>RU_Clean!A38</f>
        <v>2015</v>
      </c>
      <c r="B38" s="6">
        <f>RU_Clean!B38</f>
        <v>10</v>
      </c>
      <c r="C38" s="6" t="str">
        <f>RU_Clean!C38</f>
        <v>October</v>
      </c>
      <c r="D38" s="9">
        <f>RU_Clean!D38</f>
        <v>42278</v>
      </c>
      <c r="E38" s="6"/>
      <c r="F38" s="6"/>
      <c r="G38" s="12">
        <f>IF(AND(ISNUMBER(RU_Clean!G38),ISNUMBER(RU_Clean!G26)),(RU_Clean!G38-RU_Clean!G26)/RU_Clean!G26*100,"")</f>
        <v>1.46103896103896</v>
      </c>
      <c r="H38" s="12">
        <f>IF(AND(ISNUMBER(RU_Clean!H38),ISNUMBER(RU_Clean!H26)),(RU_Clean!H38-RU_Clean!H26)/RU_Clean!H26*100,"")</f>
        <v>4.84652665589662</v>
      </c>
      <c r="I38" s="12">
        <f>IF(AND(ISNUMBER(RU_Clean!I38),ISNUMBER(RU_Clean!I26)),(RU_Clean!I38-RU_Clean!I26)/RU_Clean!I26*100,"")</f>
        <v>0.677392040643532</v>
      </c>
      <c r="J38" s="12">
        <f>IF(AND(ISNUMBER(RU_Clean!J38),ISNUMBER(RU_Clean!J26)),(RU_Clean!J38-RU_Clean!J26)/RU_Clean!J26*100,"")</f>
        <v>4.78896103896103</v>
      </c>
      <c r="K38" s="12">
        <f>IF(AND(ISNUMBER(RU_Clean!K38),ISNUMBER(RU_Clean!K26)),(RU_Clean!K38-RU_Clean!K26)/RU_Clean!K26*100,"")</f>
        <v>5.00463392029656</v>
      </c>
      <c r="L38" s="12">
        <f>IF(AND(ISNUMBER(RU_Clean!L38),ISNUMBER(RU_Clean!L26)),(RU_Clean!L38-RU_Clean!L26)/RU_Clean!L26*100,"")</f>
        <v>2.05696202531645</v>
      </c>
      <c r="M38" s="12">
        <f>IF(AND(ISNUMBER(RU_Clean!M38),ISNUMBER(RU_Clean!M26)),(RU_Clean!M38-RU_Clean!M26)/RU_Clean!M26*100,"")</f>
        <v>2.29591836734693</v>
      </c>
      <c r="N38" s="12">
        <f>IF(AND(ISNUMBER(RU_Clean!N38),ISNUMBER(RU_Clean!N26)),(RU_Clean!N38-RU_Clean!N26)/RU_Clean!N26*100,"")</f>
        <v>42.3772609819122</v>
      </c>
      <c r="O38" s="12">
        <f>IF(AND(ISNUMBER(RU_Clean!O38),ISNUMBER(RU_Clean!O26)),(RU_Clean!O38-RU_Clean!O26)/RU_Clean!O26*100,"")</f>
        <v>-10.4752667313288</v>
      </c>
      <c r="P38" s="12">
        <f>IF(AND(ISNUMBER(RU_Clean!P38),ISNUMBER(RU_Clean!P26)),(RU_Clean!P38-RU_Clean!P26)/RU_Clean!P26*100,"")</f>
        <v>9.82218458933107</v>
      </c>
      <c r="Q38" s="12">
        <f>IF(AND(ISNUMBER(RU_Clean!Q38),ISNUMBER(RU_Clean!Q26)),(RU_Clean!Q38-RU_Clean!Q26)/RU_Clean!Q26*100,"")</f>
        <v>4.30663221360896</v>
      </c>
      <c r="R38" s="12">
        <f>IF(AND(ISNUMBER(RU_Clean!R38),ISNUMBER(RU_Clean!R26)),(RU_Clean!R38-RU_Clean!R26)/RU_Clean!R26*100,"")</f>
        <v>6.82730923694779</v>
      </c>
      <c r="S38" s="12">
        <f>IF(AND(ISNUMBER(RU_Clean!S38),ISNUMBER(RU_Clean!S26)),(RU_Clean!S38-RU_Clean!S26)/RU_Clean!S26*100,"")</f>
        <v>5.34290271132376</v>
      </c>
      <c r="T38" s="12">
        <f>IF(AND(ISNUMBER(RU_Clean!T38),ISNUMBER(RU_Clean!T26)),(RU_Clean!T38-RU_Clean!T26)/RU_Clean!T26*100,"")</f>
        <v>9.41370767960364</v>
      </c>
      <c r="U38" s="12">
        <f>IF(AND(ISNUMBER(RU_Clean!U38),ISNUMBER(RU_Clean!U26)),(RU_Clean!U38-RU_Clean!U26)/RU_Clean!U26*100,"")</f>
        <v>5.76131687242798</v>
      </c>
      <c r="V38" s="12">
        <f>IF(AND(ISNUMBER(RU_Clean!V38),ISNUMBER(RU_Clean!V26)),(RU_Clean!V38-RU_Clean!V26)/RU_Clean!V26*100,"")</f>
        <v>4.8264182895851</v>
      </c>
      <c r="W38" s="12">
        <f>IF(AND(ISNUMBER(RU_Clean!W38),ISNUMBER(RU_Clean!W26)),(RU_Clean!W38-RU_Clean!W26)/RU_Clean!W26*100,"")</f>
        <v>5.6198347107438</v>
      </c>
      <c r="X38" s="12">
        <f>IF(AND(ISNUMBER(RU_Clean!X38),ISNUMBER(RU_Clean!X26)),(RU_Clean!X38-RU_Clean!X26)/RU_Clean!X26*100,"")</f>
        <v>4.88431876606684</v>
      </c>
      <c r="Y38" s="12">
        <f>IF(AND(ISNUMBER(RU_Clean!Y38),ISNUMBER(RU_Clean!Y26)),(RU_Clean!Y38-RU_Clean!Y26)/RU_Clean!Y26*100,"")</f>
        <v>5.3182214472537</v>
      </c>
      <c r="Z38" s="12">
        <f>IF(AND(ISNUMBER(RU_Clean!Z38),ISNUMBER(RU_Clean!Z26)),(RU_Clean!Z38-RU_Clean!Z26)/RU_Clean!Z26*100,"")</f>
        <v>5.39845758354755</v>
      </c>
      <c r="AA38" s="12">
        <f>IF(AND(ISNUMBER(RU_Clean!AA38),ISNUMBER(RU_Clean!AA26)),(RU_Clean!AA38-RU_Clean!AA26)/RU_Clean!AA26*100,"")</f>
        <v>5.33683289588802</v>
      </c>
      <c r="AB38" s="12">
        <f>IF(AND(ISNUMBER(RU_Clean!AB38),ISNUMBER(RU_Clean!AB26)),(RU_Clean!AB38-RU_Clean!AB26)/RU_Clean!AB26*100,"")</f>
        <v>-0.357781753130583</v>
      </c>
      <c r="AC38" s="12">
        <f>IF(AND(ISNUMBER(RU_Clean!AC38),ISNUMBER(RU_Clean!AC26)),(RU_Clean!AC38-RU_Clean!AC26)/RU_Clean!AC26*100,"")</f>
        <v>4.76610767872904</v>
      </c>
      <c r="AD38" s="12">
        <f>IF(AND(ISNUMBER(RU_Clean!AD38),ISNUMBER(RU_Clean!AD26)),(RU_Clean!AD38-RU_Clean!AD26)/RU_Clean!AD26*100,"")</f>
        <v>5.97643097643098</v>
      </c>
      <c r="AE38" s="12">
        <f>IF(AND(ISNUMBER(RU_Clean!AE38),ISNUMBER(RU_Clean!AE26)),(RU_Clean!AE38-RU_Clean!AE26)/RU_Clean!AE26*100,"")</f>
        <v>3.92335766423359</v>
      </c>
      <c r="AF38" s="12">
        <f>IF(AND(ISNUMBER(RU_Clean!AF38),ISNUMBER(RU_Clean!AF26)),(RU_Clean!AF38-RU_Clean!AF26)/RU_Clean!AF26*100,"")</f>
        <v>3.51185250219491</v>
      </c>
      <c r="AG38" s="12">
        <f>IF(AND(ISNUMBER(RU_Clean!AG38),ISNUMBER(RU_Clean!AG26)),(RU_Clean!AG38-RU_Clean!AG26)/RU_Clean!AG26*100,"")</f>
        <v>4.99583680266445</v>
      </c>
      <c r="AH38" s="12">
        <f>IF(AND(ISNUMBER(RU_Clean!AH38),ISNUMBER(RU_Clean!AH26)),(RU_Clean!AH38-RU_Clean!AH26)/RU_Clean!AH26*100,"")</f>
        <v>6.14835654978384</v>
      </c>
    </row>
    <row r="39" spans="1:34">
      <c r="A39" s="6">
        <f>RU_Clean!A39</f>
        <v>2015</v>
      </c>
      <c r="B39" s="6">
        <f>RU_Clean!B39</f>
        <v>11</v>
      </c>
      <c r="C39" s="6" t="str">
        <f>RU_Clean!C39</f>
        <v>November</v>
      </c>
      <c r="D39" s="9">
        <f>RU_Clean!D39</f>
        <v>42309</v>
      </c>
      <c r="E39" s="6"/>
      <c r="F39" s="6"/>
      <c r="G39" s="12">
        <f>IF(AND(ISNUMBER(RU_Clean!G39),ISNUMBER(RU_Clean!G27)),(RU_Clean!G39-RU_Clean!G27)/RU_Clean!G27*100,"")</f>
        <v>1.70316301703164</v>
      </c>
      <c r="H39" s="12">
        <f>IF(AND(ISNUMBER(RU_Clean!H39),ISNUMBER(RU_Clean!H27)),(RU_Clean!H39-RU_Clean!H27)/RU_Clean!H27*100,"")</f>
        <v>5.3354890864996</v>
      </c>
      <c r="I39" s="12">
        <f>IF(AND(ISNUMBER(RU_Clean!I39),ISNUMBER(RU_Clean!I27)),(RU_Clean!I39-RU_Clean!I27)/RU_Clean!I27*100,"")</f>
        <v>0.495867768595037</v>
      </c>
      <c r="J39" s="12">
        <f>IF(AND(ISNUMBER(RU_Clean!J39),ISNUMBER(RU_Clean!J27)),(RU_Clean!J39-RU_Clean!J27)/RU_Clean!J27*100,"")</f>
        <v>4.0257648953301</v>
      </c>
      <c r="K39" s="12">
        <f>IF(AND(ISNUMBER(RU_Clean!K39),ISNUMBER(RU_Clean!K27)),(RU_Clean!K39-RU_Clean!K27)/RU_Clean!K27*100,"")</f>
        <v>6.58627087198517</v>
      </c>
      <c r="L39" s="12">
        <f>IF(AND(ISNUMBER(RU_Clean!L39),ISNUMBER(RU_Clean!L27)),(RU_Clean!L39-RU_Clean!L27)/RU_Clean!L27*100,"")</f>
        <v>1.98886237072393</v>
      </c>
      <c r="M39" s="12">
        <f>IF(AND(ISNUMBER(RU_Clean!M39),ISNUMBER(RU_Clean!M27)),(RU_Clean!M39-RU_Clean!M27)/RU_Clean!M27*100,"")</f>
        <v>3.93700787401575</v>
      </c>
      <c r="N39" s="12">
        <f>IF(AND(ISNUMBER(RU_Clean!N39),ISNUMBER(RU_Clean!N27)),(RU_Clean!N39-RU_Clean!N27)/RU_Clean!N27*100,"")</f>
        <v>46.0750853242321</v>
      </c>
      <c r="O39" s="12">
        <f>IF(AND(ISNUMBER(RU_Clean!O39),ISNUMBER(RU_Clean!O27)),(RU_Clean!O39-RU_Clean!O27)/RU_Clean!O27*100,"")</f>
        <v>-8.61900097943193</v>
      </c>
      <c r="P39" s="12">
        <f>IF(AND(ISNUMBER(RU_Clean!P39),ISNUMBER(RU_Clean!P27)),(RU_Clean!P39-RU_Clean!P27)/RU_Clean!P27*100,"")</f>
        <v>10.530749789385</v>
      </c>
      <c r="Q39" s="12">
        <f>IF(AND(ISNUMBER(RU_Clean!Q39),ISNUMBER(RU_Clean!Q27)),(RU_Clean!Q39-RU_Clean!Q27)/RU_Clean!Q27*100,"")</f>
        <v>4.55326460481099</v>
      </c>
      <c r="R39" s="12">
        <f>IF(AND(ISNUMBER(RU_Clean!R39),ISNUMBER(RU_Clean!R27)),(RU_Clean!R39-RU_Clean!R27)/RU_Clean!R27*100,"")</f>
        <v>6.68789808917198</v>
      </c>
      <c r="S39" s="12">
        <f>IF(AND(ISNUMBER(RU_Clean!S39),ISNUMBER(RU_Clean!S27)),(RU_Clean!S39-RU_Clean!S27)/RU_Clean!S27*100,"")</f>
        <v>6.07513988808952</v>
      </c>
      <c r="T39" s="12">
        <f>IF(AND(ISNUMBER(RU_Clean!T39),ISNUMBER(RU_Clean!T27)),(RU_Clean!T39-RU_Clean!T27)/RU_Clean!T27*100,"")</f>
        <v>9.41850941850942</v>
      </c>
      <c r="U39" s="12">
        <f>IF(AND(ISNUMBER(RU_Clean!U39),ISNUMBER(RU_Clean!U27)),(RU_Clean!U39-RU_Clean!U27)/RU_Clean!U27*100,"")</f>
        <v>5.89680589680591</v>
      </c>
      <c r="V39" s="12">
        <f>IF(AND(ISNUMBER(RU_Clean!V39),ISNUMBER(RU_Clean!V27)),(RU_Clean!V39-RU_Clean!V27)/RU_Clean!V27*100,"")</f>
        <v>5.15202702702702</v>
      </c>
      <c r="W39" s="12">
        <f>IF(AND(ISNUMBER(RU_Clean!W39),ISNUMBER(RU_Clean!W27)),(RU_Clean!W39-RU_Clean!W27)/RU_Clean!W27*100,"")</f>
        <v>5.75657894736842</v>
      </c>
      <c r="X39" s="12">
        <f>IF(AND(ISNUMBER(RU_Clean!X39),ISNUMBER(RU_Clean!X27)),(RU_Clean!X39-RU_Clean!X27)/RU_Clean!X27*100,"")</f>
        <v>4.95303159692571</v>
      </c>
      <c r="Y39" s="12">
        <f>IF(AND(ISNUMBER(RU_Clean!Y39),ISNUMBER(RU_Clean!Y27)),(RU_Clean!Y39-RU_Clean!Y27)/RU_Clean!Y27*100,"")</f>
        <v>5.28138528138528</v>
      </c>
      <c r="Z39" s="12">
        <f>IF(AND(ISNUMBER(RU_Clean!Z39),ISNUMBER(RU_Clean!Z27)),(RU_Clean!Z39-RU_Clean!Z27)/RU_Clean!Z27*100,"")</f>
        <v>5.20034100596761</v>
      </c>
      <c r="AA39" s="12">
        <f>IF(AND(ISNUMBER(RU_Clean!AA39),ISNUMBER(RU_Clean!AA27)),(RU_Clean!AA39-RU_Clean!AA27)/RU_Clean!AA27*100,"")</f>
        <v>5.31358885017422</v>
      </c>
      <c r="AB39" s="12">
        <f>IF(AND(ISNUMBER(RU_Clean!AB39),ISNUMBER(RU_Clean!AB27)),(RU_Clean!AB39-RU_Clean!AB27)/RU_Clean!AB27*100,"")</f>
        <v>0.631768953068595</v>
      </c>
      <c r="AC39" s="12">
        <f>IF(AND(ISNUMBER(RU_Clean!AC39),ISNUMBER(RU_Clean!AC27)),(RU_Clean!AC39-RU_Clean!AC27)/RU_Clean!AC27*100,"")</f>
        <v>4.83729111697449</v>
      </c>
      <c r="AD39" s="12">
        <f>IF(AND(ISNUMBER(RU_Clean!AD39),ISNUMBER(RU_Clean!AD27)),(RU_Clean!AD39-RU_Clean!AD27)/RU_Clean!AD27*100,"")</f>
        <v>6.1344537815126</v>
      </c>
      <c r="AE39" s="12">
        <f>IF(AND(ISNUMBER(RU_Clean!AE39),ISNUMBER(RU_Clean!AE27)),(RU_Clean!AE39-RU_Clean!AE27)/RU_Clean!AE27*100,"")</f>
        <v>4.30797433547205</v>
      </c>
      <c r="AF39" s="12">
        <f>IF(AND(ISNUMBER(RU_Clean!AF39),ISNUMBER(RU_Clean!AF27)),(RU_Clean!AF39-RU_Clean!AF27)/RU_Clean!AF27*100,"")</f>
        <v>3.77855887521968</v>
      </c>
      <c r="AG39" s="12">
        <f>IF(AND(ISNUMBER(RU_Clean!AG39),ISNUMBER(RU_Clean!AG27)),(RU_Clean!AG39-RU_Clean!AG27)/RU_Clean!AG27*100,"")</f>
        <v>5.41215653621982</v>
      </c>
      <c r="AH39" s="12">
        <f>IF(AND(ISNUMBER(RU_Clean!AH39),ISNUMBER(RU_Clean!AH27)),(RU_Clean!AH39-RU_Clean!AH27)/RU_Clean!AH27*100,"")</f>
        <v>6.94739729785335</v>
      </c>
    </row>
    <row r="40" spans="1:34">
      <c r="A40" s="6">
        <f>RU_Clean!A40</f>
        <v>2015</v>
      </c>
      <c r="B40" s="6">
        <f>RU_Clean!B40</f>
        <v>12</v>
      </c>
      <c r="C40" s="6" t="str">
        <f>RU_Clean!C40</f>
        <v>December</v>
      </c>
      <c r="D40" s="9">
        <f>RU_Clean!D40</f>
        <v>42339</v>
      </c>
      <c r="E40" s="6"/>
      <c r="F40" s="6"/>
      <c r="G40" s="12">
        <f>IF(AND(ISNUMBER(RU_Clean!G40),ISNUMBER(RU_Clean!G28)),(RU_Clean!G40-RU_Clean!G28)/RU_Clean!G28*100,"")</f>
        <v>2.27827502034174</v>
      </c>
      <c r="H40" s="12">
        <f>IF(AND(ISNUMBER(RU_Clean!H40),ISNUMBER(RU_Clean!H28)),(RU_Clean!H40-RU_Clean!H28)/RU_Clean!H28*100,"")</f>
        <v>6.65584415584416</v>
      </c>
      <c r="I40" s="12">
        <f>IF(AND(ISNUMBER(RU_Clean!I40),ISNUMBER(RU_Clean!I28)),(RU_Clean!I40-RU_Clean!I28)/RU_Clean!I28*100,"")</f>
        <v>1.05263157894737</v>
      </c>
      <c r="J40" s="12">
        <f>IF(AND(ISNUMBER(RU_Clean!J40),ISNUMBER(RU_Clean!J28)),(RU_Clean!J40-RU_Clean!J28)/RU_Clean!J28*100,"")</f>
        <v>3.93574297188755</v>
      </c>
      <c r="K40" s="12">
        <f>IF(AND(ISNUMBER(RU_Clean!K40),ISNUMBER(RU_Clean!K28)),(RU_Clean!K40-RU_Clean!K28)/RU_Clean!K28*100,"")</f>
        <v>7.15613382899629</v>
      </c>
      <c r="L40" s="12">
        <f>IF(AND(ISNUMBER(RU_Clean!L40),ISNUMBER(RU_Clean!L28)),(RU_Clean!L40-RU_Clean!L28)/RU_Clean!L28*100,"")</f>
        <v>0.715990453460614</v>
      </c>
      <c r="M40" s="12">
        <f>IF(AND(ISNUMBER(RU_Clean!M40),ISNUMBER(RU_Clean!M28)),(RU_Clean!M40-RU_Clean!M28)/RU_Clean!M28*100,"")</f>
        <v>4.41281138790035</v>
      </c>
      <c r="N40" s="12">
        <f>IF(AND(ISNUMBER(RU_Clean!N40),ISNUMBER(RU_Clean!N28)),(RU_Clean!N40-RU_Clean!N28)/RU_Clean!N28*100,"")</f>
        <v>45.8333333333333</v>
      </c>
      <c r="O40" s="12">
        <f>IF(AND(ISNUMBER(RU_Clean!O40),ISNUMBER(RU_Clean!O28)),(RU_Clean!O40-RU_Clean!O28)/RU_Clean!O28*100,"")</f>
        <v>-6.06361829025844</v>
      </c>
      <c r="P40" s="12">
        <f>IF(AND(ISNUMBER(RU_Clean!P40),ISNUMBER(RU_Clean!P28)),(RU_Clean!P40-RU_Clean!P28)/RU_Clean!P28*100,"")</f>
        <v>10.9151973131822</v>
      </c>
      <c r="Q40" s="12">
        <f>IF(AND(ISNUMBER(RU_Clean!Q40),ISNUMBER(RU_Clean!Q28)),(RU_Clean!Q40-RU_Clean!Q28)/RU_Clean!Q28*100,"")</f>
        <v>4.45205479452055</v>
      </c>
      <c r="R40" s="12">
        <f>IF(AND(ISNUMBER(RU_Clean!R40),ISNUMBER(RU_Clean!R28)),(RU_Clean!R40-RU_Clean!R28)/RU_Clean!R28*100,"")</f>
        <v>6.81998413957176</v>
      </c>
      <c r="S40" s="12">
        <f>IF(AND(ISNUMBER(RU_Clean!S40),ISNUMBER(RU_Clean!S28)),(RU_Clean!S40-RU_Clean!S28)/RU_Clean!S28*100,"")</f>
        <v>6.3106796116505</v>
      </c>
      <c r="T40" s="12">
        <f>IF(AND(ISNUMBER(RU_Clean!T40),ISNUMBER(RU_Clean!T28)),(RU_Clean!T40-RU_Clean!T28)/RU_Clean!T28*100,"")</f>
        <v>9.34959349593496</v>
      </c>
      <c r="U40" s="12">
        <f>IF(AND(ISNUMBER(RU_Clean!U40),ISNUMBER(RU_Clean!U28)),(RU_Clean!U40-RU_Clean!U28)/RU_Clean!U28*100,"")</f>
        <v>5.79119086460032</v>
      </c>
      <c r="V40" s="12">
        <f>IF(AND(ISNUMBER(RU_Clean!V40),ISNUMBER(RU_Clean!V28)),(RU_Clean!V40-RU_Clean!V28)/RU_Clean!V28*100,"")</f>
        <v>5.22765598650928</v>
      </c>
      <c r="W40" s="12">
        <f>IF(AND(ISNUMBER(RU_Clean!W40),ISNUMBER(RU_Clean!W28)),(RU_Clean!W40-RU_Clean!W28)/RU_Clean!W28*100,"")</f>
        <v>5.73770491803279</v>
      </c>
      <c r="X40" s="12">
        <f>IF(AND(ISNUMBER(RU_Clean!X40),ISNUMBER(RU_Clean!X28)),(RU_Clean!X40-RU_Clean!X28)/RU_Clean!X28*100,"")</f>
        <v>5.06437768240344</v>
      </c>
      <c r="Y40" s="12">
        <f>IF(AND(ISNUMBER(RU_Clean!Y40),ISNUMBER(RU_Clean!Y28)),(RU_Clean!Y40-RU_Clean!Y28)/RU_Clean!Y28*100,"")</f>
        <v>5.44511668107173</v>
      </c>
      <c r="Z40" s="12">
        <f>IF(AND(ISNUMBER(RU_Clean!Z40),ISNUMBER(RU_Clean!Z28)),(RU_Clean!Z40-RU_Clean!Z28)/RU_Clean!Z28*100,"")</f>
        <v>5.19148936170212</v>
      </c>
      <c r="AA40" s="12">
        <f>IF(AND(ISNUMBER(RU_Clean!AA40),ISNUMBER(RU_Clean!AA28)),(RU_Clean!AA40-RU_Clean!AA28)/RU_Clean!AA28*100,"")</f>
        <v>5.47350130321461</v>
      </c>
      <c r="AB40" s="12">
        <f>IF(AND(ISNUMBER(RU_Clean!AB40),ISNUMBER(RU_Clean!AB28)),(RU_Clean!AB40-RU_Clean!AB28)/RU_Clean!AB28*100,"")</f>
        <v>1.27157129881926</v>
      </c>
      <c r="AC40" s="12">
        <f>IF(AND(ISNUMBER(RU_Clean!AC40),ISNUMBER(RU_Clean!AC28)),(RU_Clean!AC40-RU_Clean!AC28)/RU_Clean!AC28*100,"")</f>
        <v>5.00438981562773</v>
      </c>
      <c r="AD40" s="12">
        <f>IF(AND(ISNUMBER(RU_Clean!AD40),ISNUMBER(RU_Clean!AD28)),(RU_Clean!AD40-RU_Clean!AD28)/RU_Clean!AD28*100,"")</f>
        <v>5.60669456066946</v>
      </c>
      <c r="AE40" s="12">
        <f>IF(AND(ISNUMBER(RU_Clean!AE40),ISNUMBER(RU_Clean!AE28)),(RU_Clean!AE40-RU_Clean!AE28)/RU_Clean!AE28*100,"")</f>
        <v>3.55191256830602</v>
      </c>
      <c r="AF40" s="12">
        <f>IF(AND(ISNUMBER(RU_Clean!AF40),ISNUMBER(RU_Clean!AF28)),(RU_Clean!AF40-RU_Clean!AF28)/RU_Clean!AF28*100,"")</f>
        <v>3.95430579964851</v>
      </c>
      <c r="AG40" s="12">
        <f>IF(AND(ISNUMBER(RU_Clean!AG40),ISNUMBER(RU_Clean!AG28)),(RU_Clean!AG40-RU_Clean!AG28)/RU_Clean!AG28*100,"")</f>
        <v>5.61139028475711</v>
      </c>
      <c r="AH40" s="12">
        <f>IF(AND(ISNUMBER(RU_Clean!AH40),ISNUMBER(RU_Clean!AH28)),(RU_Clean!AH40-RU_Clean!AH28)/RU_Clean!AH28*100,"")</f>
        <v>7.36137007112769</v>
      </c>
    </row>
    <row r="41" spans="1:34">
      <c r="A41" s="6">
        <f>RU_Clean!A41</f>
        <v>2016</v>
      </c>
      <c r="B41" s="6">
        <f>RU_Clean!B41</f>
        <v>1</v>
      </c>
      <c r="C41" s="6" t="str">
        <f>RU_Clean!C41</f>
        <v>January</v>
      </c>
      <c r="D41" s="9">
        <f>RU_Clean!D41</f>
        <v>42370</v>
      </c>
      <c r="E41" s="6"/>
      <c r="F41" s="6"/>
      <c r="G41" s="12">
        <f>IF(AND(ISNUMBER(RU_Clean!G41),ISNUMBER(RU_Clean!G29)),(RU_Clean!G41-RU_Clean!G29)/RU_Clean!G29*100,"")</f>
        <v>2.18800648298216</v>
      </c>
      <c r="H41" s="12">
        <f>IF(AND(ISNUMBER(RU_Clean!H41),ISNUMBER(RU_Clean!H29)),(RU_Clean!H41-RU_Clean!H29)/RU_Clean!H29*100,"")</f>
        <v>8.2324455205811</v>
      </c>
      <c r="I41" s="12">
        <f>IF(AND(ISNUMBER(RU_Clean!I41),ISNUMBER(RU_Clean!I29)),(RU_Clean!I41-RU_Clean!I29)/RU_Clean!I29*100,"")</f>
        <v>3.87722132471728</v>
      </c>
      <c r="J41" s="12">
        <f>IF(AND(ISNUMBER(RU_Clean!J41),ISNUMBER(RU_Clean!J29)),(RU_Clean!J41-RU_Clean!J29)/RU_Clean!J29*100,"")</f>
        <v>3.92</v>
      </c>
      <c r="K41" s="12">
        <f>IF(AND(ISNUMBER(RU_Clean!K41),ISNUMBER(RU_Clean!K29)),(RU_Clean!K41-RU_Clean!K29)/RU_Clean!K29*100,"")</f>
        <v>6.45161290322581</v>
      </c>
      <c r="L41" s="12">
        <f>IF(AND(ISNUMBER(RU_Clean!L41),ISNUMBER(RU_Clean!L29)),(RU_Clean!L41-RU_Clean!L29)/RU_Clean!L29*100,"")</f>
        <v>-0.396196513470681</v>
      </c>
      <c r="M41" s="12">
        <f>IF(AND(ISNUMBER(RU_Clean!M41),ISNUMBER(RU_Clean!M29)),(RU_Clean!M41-RU_Clean!M29)/RU_Clean!M29*100,"")</f>
        <v>6.39097744360902</v>
      </c>
      <c r="N41" s="12">
        <f>IF(AND(ISNUMBER(RU_Clean!N41),ISNUMBER(RU_Clean!N29)),(RU_Clean!N41-RU_Clean!N29)/RU_Clean!N29*100,"")</f>
        <v>43.3249370277078</v>
      </c>
      <c r="O41" s="12">
        <f>IF(AND(ISNUMBER(RU_Clean!O41),ISNUMBER(RU_Clean!O29)),(RU_Clean!O41-RU_Clean!O29)/RU_Clean!O29*100,"")</f>
        <v>-1.61616161616161</v>
      </c>
      <c r="P41" s="12">
        <f>IF(AND(ISNUMBER(RU_Clean!P41),ISNUMBER(RU_Clean!P29)),(RU_Clean!P41-RU_Clean!P29)/RU_Clean!P29*100,"")</f>
        <v>10.4738154613466</v>
      </c>
      <c r="Q41" s="12">
        <f>IF(AND(ISNUMBER(RU_Clean!Q41),ISNUMBER(RU_Clean!Q29)),(RU_Clean!Q41-RU_Clean!Q29)/RU_Clean!Q29*100,"")</f>
        <v>4.60358056265985</v>
      </c>
      <c r="R41" s="12">
        <f>IF(AND(ISNUMBER(RU_Clean!R41),ISNUMBER(RU_Clean!R29)),(RU_Clean!R41-RU_Clean!R29)/RU_Clean!R29*100,"")</f>
        <v>6.78768745067088</v>
      </c>
      <c r="S41" s="12">
        <f>IF(AND(ISNUMBER(RU_Clean!S41),ISNUMBER(RU_Clean!S29)),(RU_Clean!S41-RU_Clean!S29)/RU_Clean!S29*100,"")</f>
        <v>6.66125101543462</v>
      </c>
      <c r="T41" s="12">
        <f>IF(AND(ISNUMBER(RU_Clean!T41),ISNUMBER(RU_Clean!T29)),(RU_Clean!T41-RU_Clean!T29)/RU_Clean!T29*100,"")</f>
        <v>9.03225806451612</v>
      </c>
      <c r="U41" s="12">
        <f>IF(AND(ISNUMBER(RU_Clean!U41),ISNUMBER(RU_Clean!U29)),(RU_Clean!U41-RU_Clean!U29)/RU_Clean!U29*100,"")</f>
        <v>5.84890333062552</v>
      </c>
      <c r="V41" s="12">
        <f>IF(AND(ISNUMBER(RU_Clean!V41),ISNUMBER(RU_Clean!V29)),(RU_Clean!V41-RU_Clean!V29)/RU_Clean!V29*100,"")</f>
        <v>4.86169321039396</v>
      </c>
      <c r="W41" s="12">
        <f>IF(AND(ISNUMBER(RU_Clean!W41),ISNUMBER(RU_Clean!W29)),(RU_Clean!W41-RU_Clean!W29)/RU_Clean!W29*100,"")</f>
        <v>5.71428571428571</v>
      </c>
      <c r="X41" s="12">
        <f>IF(AND(ISNUMBER(RU_Clean!X41),ISNUMBER(RU_Clean!X29)),(RU_Clean!X41-RU_Clean!X29)/RU_Clean!X29*100,"")</f>
        <v>5.20034100596761</v>
      </c>
      <c r="Y41" s="12">
        <f>IF(AND(ISNUMBER(RU_Clean!Y41),ISNUMBER(RU_Clean!Y29)),(RU_Clean!Y41-RU_Clean!Y29)/RU_Clean!Y29*100,"")</f>
        <v>5.32188841201717</v>
      </c>
      <c r="Z41" s="12">
        <f>IF(AND(ISNUMBER(RU_Clean!Z41),ISNUMBER(RU_Clean!Z29)),(RU_Clean!Z41-RU_Clean!Z29)/RU_Clean!Z29*100,"")</f>
        <v>5.16511430990687</v>
      </c>
      <c r="AA41" s="12">
        <f>IF(AND(ISNUMBER(RU_Clean!AA41),ISNUMBER(RU_Clean!AA29)),(RU_Clean!AA41-RU_Clean!AA29)/RU_Clean!AA29*100,"")</f>
        <v>5.62770562770563</v>
      </c>
      <c r="AB41" s="12">
        <f>IF(AND(ISNUMBER(RU_Clean!AB41),ISNUMBER(RU_Clean!AB29)),(RU_Clean!AB41-RU_Clean!AB29)/RU_Clean!AB29*100,"")</f>
        <v>1.55393053016452</v>
      </c>
      <c r="AC41" s="12">
        <f>IF(AND(ISNUMBER(RU_Clean!AC41),ISNUMBER(RU_Clean!AC29)),(RU_Clean!AC41-RU_Clean!AC29)/RU_Clean!AC29*100,"")</f>
        <v>4.81189851268591</v>
      </c>
      <c r="AD41" s="12">
        <f>IF(AND(ISNUMBER(RU_Clean!AD41),ISNUMBER(RU_Clean!AD29)),(RU_Clean!AD41-RU_Clean!AD29)/RU_Clean!AD29*100,"")</f>
        <v>5.51378446115288</v>
      </c>
      <c r="AE41" s="12">
        <f>IF(AND(ISNUMBER(RU_Clean!AE41),ISNUMBER(RU_Clean!AE29)),(RU_Clean!AE41-RU_Clean!AE29)/RU_Clean!AE29*100,"")</f>
        <v>3.4327009936766</v>
      </c>
      <c r="AF41" s="12">
        <f>IF(AND(ISNUMBER(RU_Clean!AF41),ISNUMBER(RU_Clean!AF29)),(RU_Clean!AF41-RU_Clean!AF29)/RU_Clean!AF29*100,"")</f>
        <v>3.94736842105263</v>
      </c>
      <c r="AG41" s="12">
        <f>IF(AND(ISNUMBER(RU_Clean!AG41),ISNUMBER(RU_Clean!AG29)),(RU_Clean!AG41-RU_Clean!AG29)/RU_Clean!AG29*100,"")</f>
        <v>5.69037656903765</v>
      </c>
      <c r="AH41" s="12">
        <f>IF(AND(ISNUMBER(RU_Clean!AH41),ISNUMBER(RU_Clean!AH29)),(RU_Clean!AH41-RU_Clean!AH29)/RU_Clean!AH29*100,"")</f>
        <v>7.89655649287789</v>
      </c>
    </row>
    <row r="42" spans="1:34">
      <c r="A42" s="6">
        <f>RU_Clean!A42</f>
        <v>2016</v>
      </c>
      <c r="B42" s="6">
        <f>RU_Clean!B42</f>
        <v>2</v>
      </c>
      <c r="C42" s="6" t="str">
        <f>RU_Clean!C42</f>
        <v>February</v>
      </c>
      <c r="D42" s="9">
        <f>RU_Clean!D42</f>
        <v>42401</v>
      </c>
      <c r="E42" s="6"/>
      <c r="F42" s="6"/>
      <c r="G42" s="12">
        <f>IF(AND(ISNUMBER(RU_Clean!G42),ISNUMBER(RU_Clean!G30)),(RU_Clean!G42-RU_Clean!G30)/RU_Clean!G30*100,"")</f>
        <v>2.18270008084075</v>
      </c>
      <c r="H42" s="12">
        <f>IF(AND(ISNUMBER(RU_Clean!H42),ISNUMBER(RU_Clean!H30)),(RU_Clean!H42-RU_Clean!H30)/RU_Clean!H30*100,"")</f>
        <v>7.27418065547561</v>
      </c>
      <c r="I42" s="12">
        <f>IF(AND(ISNUMBER(RU_Clean!I42),ISNUMBER(RU_Clean!I30)),(RU_Clean!I42-RU_Clean!I30)/RU_Clean!I30*100,"")</f>
        <v>6.27580511973575</v>
      </c>
      <c r="J42" s="12">
        <f>IF(AND(ISNUMBER(RU_Clean!J42),ISNUMBER(RU_Clean!J30)),(RU_Clean!J42-RU_Clean!J30)/RU_Clean!J30*100,"")</f>
        <v>3.65950676213207</v>
      </c>
      <c r="K42" s="12">
        <f>IF(AND(ISNUMBER(RU_Clean!K42),ISNUMBER(RU_Clean!K30)),(RU_Clean!K42-RU_Clean!K30)/RU_Clean!K30*100,"")</f>
        <v>5.22456461961504</v>
      </c>
      <c r="L42" s="12">
        <f>IF(AND(ISNUMBER(RU_Clean!L42),ISNUMBER(RU_Clean!L30)),(RU_Clean!L42-RU_Clean!L30)/RU_Clean!L30*100,"")</f>
        <v>-0.715421303656591</v>
      </c>
      <c r="M42" s="12">
        <f>IF(AND(ISNUMBER(RU_Clean!M42),ISNUMBER(RU_Clean!M30)),(RU_Clean!M42-RU_Clean!M30)/RU_Clean!M30*100,"")</f>
        <v>0.695517774343126</v>
      </c>
      <c r="N42" s="12">
        <f>IF(AND(ISNUMBER(RU_Clean!N42),ISNUMBER(RU_Clean!N30)),(RU_Clean!N42-RU_Clean!N30)/RU_Clean!N30*100,"")</f>
        <v>38.4615384615385</v>
      </c>
      <c r="O42" s="12">
        <f>IF(AND(ISNUMBER(RU_Clean!O42),ISNUMBER(RU_Clean!O30)),(RU_Clean!O42-RU_Clean!O30)/RU_Clean!O30*100,"")</f>
        <v>0.508646998982706</v>
      </c>
      <c r="P42" s="12">
        <f>IF(AND(ISNUMBER(RU_Clean!P42),ISNUMBER(RU_Clean!P30)),(RU_Clean!P42-RU_Clean!P30)/RU_Clean!P30*100,"")</f>
        <v>9.86842105263158</v>
      </c>
      <c r="Q42" s="12">
        <f>IF(AND(ISNUMBER(RU_Clean!Q42),ISNUMBER(RU_Clean!Q30)),(RU_Clean!Q42-RU_Clean!Q30)/RU_Clean!Q30*100,"")</f>
        <v>4.23728813559322</v>
      </c>
      <c r="R42" s="12">
        <f>IF(AND(ISNUMBER(RU_Clean!R42),ISNUMBER(RU_Clean!R30)),(RU_Clean!R42-RU_Clean!R30)/RU_Clean!R30*100,"")</f>
        <v>6.42633228840127</v>
      </c>
      <c r="S42" s="12">
        <f>IF(AND(ISNUMBER(RU_Clean!S42),ISNUMBER(RU_Clean!S30)),(RU_Clean!S42-RU_Clean!S30)/RU_Clean!S30*100,"")</f>
        <v>5.52396425670188</v>
      </c>
      <c r="T42" s="12">
        <f>IF(AND(ISNUMBER(RU_Clean!T42),ISNUMBER(RU_Clean!T30)),(RU_Clean!T42-RU_Clean!T30)/RU_Clean!T30*100,"")</f>
        <v>8.54632587859425</v>
      </c>
      <c r="U42" s="12">
        <f>IF(AND(ISNUMBER(RU_Clean!U42),ISNUMBER(RU_Clean!U30)),(RU_Clean!U42-RU_Clean!U30)/RU_Clean!U30*100,"")</f>
        <v>5.73505654281099</v>
      </c>
      <c r="V42" s="12">
        <f>IF(AND(ISNUMBER(RU_Clean!V42),ISNUMBER(RU_Clean!V30)),(RU_Clean!V42-RU_Clean!V30)/RU_Clean!V30*100,"")</f>
        <v>4.74604496253123</v>
      </c>
      <c r="W42" s="12">
        <f>IF(AND(ISNUMBER(RU_Clean!W42),ISNUMBER(RU_Clean!W30)),(RU_Clean!W42-RU_Clean!W30)/RU_Clean!W30*100,"")</f>
        <v>5.59610705596106</v>
      </c>
      <c r="X42" s="12">
        <f>IF(AND(ISNUMBER(RU_Clean!X42),ISNUMBER(RU_Clean!X30)),(RU_Clean!X42-RU_Clean!X30)/RU_Clean!X30*100,"")</f>
        <v>5.33446232006775</v>
      </c>
      <c r="Y42" s="12">
        <f>IF(AND(ISNUMBER(RU_Clean!Y42),ISNUMBER(RU_Clean!Y30)),(RU_Clean!Y42-RU_Clean!Y30)/RU_Clean!Y30*100,"")</f>
        <v>4.58793542905692</v>
      </c>
      <c r="Z42" s="12">
        <f>IF(AND(ISNUMBER(RU_Clean!Z42),ISNUMBER(RU_Clean!Z30)),(RU_Clean!Z42-RU_Clean!Z30)/RU_Clean!Z30*100,"")</f>
        <v>4.97051390058971</v>
      </c>
      <c r="AA42" s="12">
        <f>IF(AND(ISNUMBER(RU_Clean!AA42),ISNUMBER(RU_Clean!AA30)),(RU_Clean!AA42-RU_Clean!AA30)/RU_Clean!AA30*100,"")</f>
        <v>5.33104041272571</v>
      </c>
      <c r="AB42" s="12">
        <f>IF(AND(ISNUMBER(RU_Clean!AB42),ISNUMBER(RU_Clean!AB30)),(RU_Clean!AB42-RU_Clean!AB30)/RU_Clean!AB30*100,"")</f>
        <v>2.48390064397424</v>
      </c>
      <c r="AC42" s="12">
        <f>IF(AND(ISNUMBER(RU_Clean!AC42),ISNUMBER(RU_Clean!AC30)),(RU_Clean!AC42-RU_Clean!AC30)/RU_Clean!AC30*100,"")</f>
        <v>4.69973890339425</v>
      </c>
      <c r="AD42" s="12">
        <f>IF(AND(ISNUMBER(RU_Clean!AD42),ISNUMBER(RU_Clean!AD30)),(RU_Clean!AD42-RU_Clean!AD30)/RU_Clean!AD30*100,"")</f>
        <v>5.76441102756892</v>
      </c>
      <c r="AE42" s="12">
        <f>IF(AND(ISNUMBER(RU_Clean!AE42),ISNUMBER(RU_Clean!AE30)),(RU_Clean!AE42-RU_Clean!AE30)/RU_Clean!AE30*100,"")</f>
        <v>4.85611510791366</v>
      </c>
      <c r="AF42" s="12">
        <f>IF(AND(ISNUMBER(RU_Clean!AF42),ISNUMBER(RU_Clean!AF30)),(RU_Clean!AF42-RU_Clean!AF30)/RU_Clean!AF30*100,"")</f>
        <v>4.38212094653812</v>
      </c>
      <c r="AG42" s="12">
        <f>IF(AND(ISNUMBER(RU_Clean!AG42),ISNUMBER(RU_Clean!AG30)),(RU_Clean!AG42-RU_Clean!AG30)/RU_Clean!AG30*100,"")</f>
        <v>5.26315789473684</v>
      </c>
      <c r="AH42" s="12">
        <f>IF(AND(ISNUMBER(RU_Clean!AH42),ISNUMBER(RU_Clean!AH30)),(RU_Clean!AH42-RU_Clean!AH30)/RU_Clean!AH30*100,"")</f>
        <v>7.04556454400886</v>
      </c>
    </row>
    <row r="43" spans="1:34">
      <c r="A43" s="6">
        <f>RU_Clean!A43</f>
        <v>2016</v>
      </c>
      <c r="B43" s="6">
        <f>RU_Clean!B43</f>
        <v>3</v>
      </c>
      <c r="C43" s="6" t="str">
        <f>RU_Clean!C43</f>
        <v>March</v>
      </c>
      <c r="D43" s="9">
        <f>RU_Clean!D43</f>
        <v>42430</v>
      </c>
      <c r="E43" s="6"/>
      <c r="F43" s="6"/>
      <c r="G43" s="12">
        <f>IF(AND(ISNUMBER(RU_Clean!G43),ISNUMBER(RU_Clean!G31)),(RU_Clean!G43-RU_Clean!G31)/RU_Clean!G31*100,"")</f>
        <v>2.42914979757085</v>
      </c>
      <c r="H43" s="12">
        <f>IF(AND(ISNUMBER(RU_Clean!H43),ISNUMBER(RU_Clean!H31)),(RU_Clean!H43-RU_Clean!H31)/RU_Clean!H31*100,"")</f>
        <v>7.73524720893141</v>
      </c>
      <c r="I43" s="12">
        <f>IF(AND(ISNUMBER(RU_Clean!I43),ISNUMBER(RU_Clean!I31)),(RU_Clean!I43-RU_Clean!I31)/RU_Clean!I31*100,"")</f>
        <v>6.67808219178082</v>
      </c>
      <c r="J43" s="12">
        <f>IF(AND(ISNUMBER(RU_Clean!J43),ISNUMBER(RU_Clean!J31)),(RU_Clean!J43-RU_Clean!J31)/RU_Clean!J31*100,"")</f>
        <v>3.33333333333332</v>
      </c>
      <c r="K43" s="12">
        <f>IF(AND(ISNUMBER(RU_Clean!K43),ISNUMBER(RU_Clean!K31)),(RU_Clean!K43-RU_Clean!K31)/RU_Clean!K31*100,"")</f>
        <v>4.85347985347985</v>
      </c>
      <c r="L43" s="12">
        <f>IF(AND(ISNUMBER(RU_Clean!L43),ISNUMBER(RU_Clean!L31)),(RU_Clean!L43-RU_Clean!L31)/RU_Clean!L31*100,"")</f>
        <v>-1.09717868338557</v>
      </c>
      <c r="M43" s="12">
        <f>IF(AND(ISNUMBER(RU_Clean!M43),ISNUMBER(RU_Clean!M31)),(RU_Clean!M43-RU_Clean!M31)/RU_Clean!M31*100,"")</f>
        <v>0.464396284829739</v>
      </c>
      <c r="N43" s="12">
        <f>IF(AND(ISNUMBER(RU_Clean!N43),ISNUMBER(RU_Clean!N31)),(RU_Clean!N43-RU_Clean!N31)/RU_Clean!N31*100,"")</f>
        <v>34.2320261437908</v>
      </c>
      <c r="O43" s="12">
        <f>IF(AND(ISNUMBER(RU_Clean!O43),ISNUMBER(RU_Clean!O31)),(RU_Clean!O43-RU_Clean!O31)/RU_Clean!O31*100,"")</f>
        <v>4.02061855670104</v>
      </c>
      <c r="P43" s="12">
        <f>IF(AND(ISNUMBER(RU_Clean!P43),ISNUMBER(RU_Clean!P31)),(RU_Clean!P43-RU_Clean!P31)/RU_Clean!P31*100,"")</f>
        <v>9.66420966420967</v>
      </c>
      <c r="Q43" s="12">
        <f>IF(AND(ISNUMBER(RU_Clean!Q43),ISNUMBER(RU_Clean!Q31)),(RU_Clean!Q43-RU_Clean!Q31)/RU_Clean!Q31*100,"")</f>
        <v>4.23370025402201</v>
      </c>
      <c r="R43" s="12">
        <f>IF(AND(ISNUMBER(RU_Clean!R43),ISNUMBER(RU_Clean!R31)),(RU_Clean!R43-RU_Clean!R31)/RU_Clean!R31*100,"")</f>
        <v>6.15264797507789</v>
      </c>
      <c r="S43" s="12">
        <f>IF(AND(ISNUMBER(RU_Clean!S43),ISNUMBER(RU_Clean!S31)),(RU_Clean!S43-RU_Clean!S31)/RU_Clean!S31*100,"")</f>
        <v>5.18638573743923</v>
      </c>
      <c r="T43" s="12">
        <f>IF(AND(ISNUMBER(RU_Clean!T43),ISNUMBER(RU_Clean!T31)),(RU_Clean!T43-RU_Clean!T31)/RU_Clean!T31*100,"")</f>
        <v>8.50556438791733</v>
      </c>
      <c r="U43" s="12">
        <f>IF(AND(ISNUMBER(RU_Clean!U43),ISNUMBER(RU_Clean!U31)),(RU_Clean!U43-RU_Clean!U31)/RU_Clean!U31*100,"")</f>
        <v>5.63153660498794</v>
      </c>
      <c r="V43" s="12">
        <f>IF(AND(ISNUMBER(RU_Clean!V43),ISNUMBER(RU_Clean!V31)),(RU_Clean!V43-RU_Clean!V31)/RU_Clean!V31*100,"")</f>
        <v>4.73421926910298</v>
      </c>
      <c r="W43" s="12">
        <f>IF(AND(ISNUMBER(RU_Clean!W43),ISNUMBER(RU_Clean!W31)),(RU_Clean!W43-RU_Clean!W31)/RU_Clean!W31*100,"")</f>
        <v>5.49717057396928</v>
      </c>
      <c r="X43" s="12">
        <f>IF(AND(ISNUMBER(RU_Clean!X43),ISNUMBER(RU_Clean!X31)),(RU_Clean!X43-RU_Clean!X31)/RU_Clean!X31*100,"")</f>
        <v>5.31197301854976</v>
      </c>
      <c r="Y43" s="12">
        <f>IF(AND(ISNUMBER(RU_Clean!Y43),ISNUMBER(RU_Clean!Y31)),(RU_Clean!Y43-RU_Clean!Y31)/RU_Clean!Y31*100,"")</f>
        <v>3.46576500422655</v>
      </c>
      <c r="Z43" s="12">
        <f>IF(AND(ISNUMBER(RU_Clean!Z43),ISNUMBER(RU_Clean!Z31)),(RU_Clean!Z43-RU_Clean!Z31)/RU_Clean!Z31*100,"")</f>
        <v>4.94966442953019</v>
      </c>
      <c r="AA43" s="12">
        <f>IF(AND(ISNUMBER(RU_Clean!AA43),ISNUMBER(RU_Clean!AA31)),(RU_Clean!AA43-RU_Clean!AA31)/RU_Clean!AA31*100,"")</f>
        <v>5.31276778063411</v>
      </c>
      <c r="AB43" s="12">
        <f>IF(AND(ISNUMBER(RU_Clean!AB43),ISNUMBER(RU_Clean!AB31)),(RU_Clean!AB43-RU_Clean!AB31)/RU_Clean!AB31*100,"")</f>
        <v>0.909918107370337</v>
      </c>
      <c r="AC43" s="12">
        <f>IF(AND(ISNUMBER(RU_Clean!AC43),ISNUMBER(RU_Clean!AC31)),(RU_Clean!AC43-RU_Clean!AC31)/RU_Clean!AC31*100,"")</f>
        <v>4.5060658578856</v>
      </c>
      <c r="AD43" s="12">
        <f>IF(AND(ISNUMBER(RU_Clean!AD43),ISNUMBER(RU_Clean!AD31)),(RU_Clean!AD43-RU_Clean!AD31)/RU_Clean!AD31*100,"")</f>
        <v>5.66194837635305</v>
      </c>
      <c r="AE43" s="12">
        <f>IF(AND(ISNUMBER(RU_Clean!AE43),ISNUMBER(RU_Clean!AE31)),(RU_Clean!AE43-RU_Clean!AE31)/RU_Clean!AE31*100,"")</f>
        <v>5.67567567567567</v>
      </c>
      <c r="AF43" s="12">
        <f>IF(AND(ISNUMBER(RU_Clean!AF43),ISNUMBER(RU_Clean!AF31)),(RU_Clean!AF43-RU_Clean!AF31)/RU_Clean!AF31*100,"")</f>
        <v>4.0104620749782</v>
      </c>
      <c r="AG43" s="12">
        <f>IF(AND(ISNUMBER(RU_Clean!AG43),ISNUMBER(RU_Clean!AG31)),(RU_Clean!AG43-RU_Clean!AG31)/RU_Clean!AG31*100,"")</f>
        <v>4.82529118136439</v>
      </c>
      <c r="AH43" s="12">
        <f>IF(AND(ISNUMBER(RU_Clean!AH43),ISNUMBER(RU_Clean!AH31)),(RU_Clean!AH43-RU_Clean!AH31)/RU_Clean!AH31*100,"")</f>
        <v>6.89631320467596</v>
      </c>
    </row>
    <row r="44" spans="1:34">
      <c r="A44" s="6">
        <f>RU_Clean!A44</f>
        <v>2016</v>
      </c>
      <c r="B44" s="6">
        <f>RU_Clean!B44</f>
        <v>4</v>
      </c>
      <c r="C44" s="6" t="str">
        <f>RU_Clean!C44</f>
        <v>April</v>
      </c>
      <c r="D44" s="9">
        <f>RU_Clean!D44</f>
        <v>42461</v>
      </c>
      <c r="E44" s="6"/>
      <c r="F44" s="6"/>
      <c r="G44" s="12">
        <f>IF(AND(ISNUMBER(RU_Clean!G44),ISNUMBER(RU_Clean!G32)),(RU_Clean!G44-RU_Clean!G32)/RU_Clean!G32*100,"")</f>
        <v>2.51012145748987</v>
      </c>
      <c r="H44" s="12">
        <f>IF(AND(ISNUMBER(RU_Clean!H44),ISNUMBER(RU_Clean!H32)),(RU_Clean!H44-RU_Clean!H32)/RU_Clean!H32*100,"")</f>
        <v>8.22784810126583</v>
      </c>
      <c r="I44" s="12">
        <f>IF(AND(ISNUMBER(RU_Clean!I44),ISNUMBER(RU_Clean!I32)),(RU_Clean!I44-RU_Clean!I32)/RU_Clean!I32*100,"")</f>
        <v>6.64335664335664</v>
      </c>
      <c r="J44" s="12">
        <f>IF(AND(ISNUMBER(RU_Clean!J44),ISNUMBER(RU_Clean!J32)),(RU_Clean!J44-RU_Clean!J32)/RU_Clean!J32*100,"")</f>
        <v>3.39652448657189</v>
      </c>
      <c r="K44" s="12">
        <f>IF(AND(ISNUMBER(RU_Clean!K44),ISNUMBER(RU_Clean!K32)),(RU_Clean!K44-RU_Clean!K32)/RU_Clean!K32*100,"")</f>
        <v>5.12820512820512</v>
      </c>
      <c r="L44" s="12">
        <f>IF(AND(ISNUMBER(RU_Clean!L44),ISNUMBER(RU_Clean!L32)),(RU_Clean!L44-RU_Clean!L32)/RU_Clean!L32*100,"")</f>
        <v>1.73584905660378</v>
      </c>
      <c r="M44" s="12">
        <f>IF(AND(ISNUMBER(RU_Clean!M44),ISNUMBER(RU_Clean!M32)),(RU_Clean!M44-RU_Clean!M32)/RU_Clean!M32*100,"")</f>
        <v>4.97667185069985</v>
      </c>
      <c r="N44" s="12">
        <f>IF(AND(ISNUMBER(RU_Clean!N44),ISNUMBER(RU_Clean!N32)),(RU_Clean!N44-RU_Clean!N32)/RU_Clean!N32*100,"")</f>
        <v>34.2147435897436</v>
      </c>
      <c r="O44" s="12">
        <f>IF(AND(ISNUMBER(RU_Clean!O44),ISNUMBER(RU_Clean!O32)),(RU_Clean!O44-RU_Clean!O32)/RU_Clean!O32*100,"")</f>
        <v>11.1807732497388</v>
      </c>
      <c r="P44" s="12">
        <f>IF(AND(ISNUMBER(RU_Clean!P44),ISNUMBER(RU_Clean!P32)),(RU_Clean!P44-RU_Clean!P32)/RU_Clean!P32*100,"")</f>
        <v>9.80392156862745</v>
      </c>
      <c r="Q44" s="12">
        <f>IF(AND(ISNUMBER(RU_Clean!Q44),ISNUMBER(RU_Clean!Q32)),(RU_Clean!Q44-RU_Clean!Q32)/RU_Clean!Q32*100,"")</f>
        <v>4.30379746835443</v>
      </c>
      <c r="R44" s="12">
        <f>IF(AND(ISNUMBER(RU_Clean!R44),ISNUMBER(RU_Clean!R32)),(RU_Clean!R44-RU_Clean!R32)/RU_Clean!R32*100,"")</f>
        <v>5.88690937257939</v>
      </c>
      <c r="S44" s="12">
        <f>IF(AND(ISNUMBER(RU_Clean!S44),ISNUMBER(RU_Clean!S32)),(RU_Clean!S44-RU_Clean!S32)/RU_Clean!S32*100,"")</f>
        <v>6.29032258064517</v>
      </c>
      <c r="T44" s="12">
        <f>IF(AND(ISNUMBER(RU_Clean!T44),ISNUMBER(RU_Clean!T32)),(RU_Clean!T44-RU_Clean!T32)/RU_Clean!T32*100,"")</f>
        <v>8.03782505910165</v>
      </c>
      <c r="U44" s="12">
        <f>IF(AND(ISNUMBER(RU_Clean!U44),ISNUMBER(RU_Clean!U32)),(RU_Clean!U44-RU_Clean!U32)/RU_Clean!U32*100,"")</f>
        <v>5.69366479550923</v>
      </c>
      <c r="V44" s="12">
        <f>IF(AND(ISNUMBER(RU_Clean!V44),ISNUMBER(RU_Clean!V32)),(RU_Clean!V44-RU_Clean!V32)/RU_Clean!V32*100,"")</f>
        <v>4.63576158940398</v>
      </c>
      <c r="W44" s="12">
        <f>IF(AND(ISNUMBER(RU_Clean!W44),ISNUMBER(RU_Clean!W32)),(RU_Clean!W44-RU_Clean!W32)/RU_Clean!W32*100,"")</f>
        <v>5.56003223207092</v>
      </c>
      <c r="X44" s="12">
        <f>IF(AND(ISNUMBER(RU_Clean!X44),ISNUMBER(RU_Clean!X32)),(RU_Clean!X44-RU_Clean!X32)/RU_Clean!X32*100,"")</f>
        <v>5.36912751677852</v>
      </c>
      <c r="Y44" s="12">
        <f>IF(AND(ISNUMBER(RU_Clean!Y44),ISNUMBER(RU_Clean!Y32)),(RU_Clean!Y44-RU_Clean!Y32)/RU_Clean!Y32*100,"")</f>
        <v>3.03285593934288</v>
      </c>
      <c r="Z44" s="12">
        <f>IF(AND(ISNUMBER(RU_Clean!Z44),ISNUMBER(RU_Clean!Z32)),(RU_Clean!Z44-RU_Clean!Z32)/RU_Clean!Z32*100,"")</f>
        <v>4.84544695071011</v>
      </c>
      <c r="AA44" s="12">
        <f>IF(AND(ISNUMBER(RU_Clean!AA44),ISNUMBER(RU_Clean!AA32)),(RU_Clean!AA44-RU_Clean!AA32)/RU_Clean!AA32*100,"")</f>
        <v>5.20922288642187</v>
      </c>
      <c r="AB44" s="12">
        <f>IF(AND(ISNUMBER(RU_Clean!AB44),ISNUMBER(RU_Clean!AB32)),(RU_Clean!AB44-RU_Clean!AB32)/RU_Clean!AB32*100,"")</f>
        <v>1.81653042688465</v>
      </c>
      <c r="AC44" s="12">
        <f>IF(AND(ISNUMBER(RU_Clean!AC44),ISNUMBER(RU_Clean!AC32)),(RU_Clean!AC44-RU_Clean!AC32)/RU_Clean!AC32*100,"")</f>
        <v>4.48662640207074</v>
      </c>
      <c r="AD44" s="12">
        <f>IF(AND(ISNUMBER(RU_Clean!AD44),ISNUMBER(RU_Clean!AD32)),(RU_Clean!AD44-RU_Clean!AD32)/RU_Clean!AD32*100,"")</f>
        <v>5.53719008264463</v>
      </c>
      <c r="AE44" s="12">
        <f>IF(AND(ISNUMBER(RU_Clean!AE44),ISNUMBER(RU_Clean!AE32)),(RU_Clean!AE44-RU_Clean!AE32)/RU_Clean!AE32*100,"")</f>
        <v>5.72963294538943</v>
      </c>
      <c r="AF44" s="12">
        <f>IF(AND(ISNUMBER(RU_Clean!AF44),ISNUMBER(RU_Clean!AF32)),(RU_Clean!AF44-RU_Clean!AF32)/RU_Clean!AF32*100,"")</f>
        <v>4.25716768027802</v>
      </c>
      <c r="AG44" s="12">
        <f>IF(AND(ISNUMBER(RU_Clean!AG44),ISNUMBER(RU_Clean!AG32)),(RU_Clean!AG44-RU_Clean!AG32)/RU_Clean!AG32*100,"")</f>
        <v>5.46810273405136</v>
      </c>
      <c r="AH44" s="12">
        <f>IF(AND(ISNUMBER(RU_Clean!AH44),ISNUMBER(RU_Clean!AH32)),(RU_Clean!AH44-RU_Clean!AH32)/RU_Clean!AH32*100,"")</f>
        <v>8.11462423365709</v>
      </c>
    </row>
    <row r="45" spans="1:34">
      <c r="A45" s="6">
        <f>RU_Clean!A45</f>
        <v>2016</v>
      </c>
      <c r="B45" s="6">
        <f>RU_Clean!B45</f>
        <v>5</v>
      </c>
      <c r="C45" s="6" t="str">
        <f>RU_Clean!C45</f>
        <v>May</v>
      </c>
      <c r="D45" s="9">
        <f>RU_Clean!D45</f>
        <v>42491</v>
      </c>
      <c r="E45" s="6"/>
      <c r="F45" s="6"/>
      <c r="G45" s="12">
        <f>IF(AND(ISNUMBER(RU_Clean!G45),ISNUMBER(RU_Clean!G33)),(RU_Clean!G45-RU_Clean!G33)/RU_Clean!G33*100,"")</f>
        <v>2.58899676375405</v>
      </c>
      <c r="H45" s="12">
        <f>IF(AND(ISNUMBER(RU_Clean!H45),ISNUMBER(RU_Clean!H33)),(RU_Clean!H45-RU_Clean!H33)/RU_Clean!H33*100,"")</f>
        <v>8.671875</v>
      </c>
      <c r="I45" s="12">
        <f>IF(AND(ISNUMBER(RU_Clean!I45),ISNUMBER(RU_Clean!I33)),(RU_Clean!I45-RU_Clean!I33)/RU_Clean!I33*100,"")</f>
        <v>9.04347826086957</v>
      </c>
      <c r="J45" s="12">
        <f>IF(AND(ISNUMBER(RU_Clean!J45),ISNUMBER(RU_Clean!J33)),(RU_Clean!J45-RU_Clean!J33)/RU_Clean!J33*100,"")</f>
        <v>3.45640219952867</v>
      </c>
      <c r="K45" s="12">
        <f>IF(AND(ISNUMBER(RU_Clean!K45),ISNUMBER(RU_Clean!K33)),(RU_Clean!K45-RU_Clean!K33)/RU_Clean!K33*100,"")</f>
        <v>4.73588342440802</v>
      </c>
      <c r="L45" s="12">
        <f>IF(AND(ISNUMBER(RU_Clean!L45),ISNUMBER(RU_Clean!L33)),(RU_Clean!L45-RU_Clean!L33)/RU_Clean!L33*100,"")</f>
        <v>2.56410256410257</v>
      </c>
      <c r="M45" s="12">
        <f>IF(AND(ISNUMBER(RU_Clean!M45),ISNUMBER(RU_Clean!M33)),(RU_Clean!M45-RU_Clean!M33)/RU_Clean!M33*100,"")</f>
        <v>10.8479755538579</v>
      </c>
      <c r="N45" s="12">
        <f>IF(AND(ISNUMBER(RU_Clean!N45),ISNUMBER(RU_Clean!N33)),(RU_Clean!N45-RU_Clean!N33)/RU_Clean!N33*100,"")</f>
        <v>31.5708812260536</v>
      </c>
      <c r="O45" s="12">
        <f>IF(AND(ISNUMBER(RU_Clean!O45),ISNUMBER(RU_Clean!O33)),(RU_Clean!O45-RU_Clean!O33)/RU_Clean!O33*100,"")</f>
        <v>14.0608604407135</v>
      </c>
      <c r="P45" s="12">
        <f>IF(AND(ISNUMBER(RU_Clean!P45),ISNUMBER(RU_Clean!P33)),(RU_Clean!P45-RU_Clean!P33)/RU_Clean!P33*100,"")</f>
        <v>9.64343598055106</v>
      </c>
      <c r="Q45" s="12">
        <f>IF(AND(ISNUMBER(RU_Clean!Q45),ISNUMBER(RU_Clean!Q33)),(RU_Clean!Q45-RU_Clean!Q33)/RU_Clean!Q33*100,"")</f>
        <v>4.19463087248322</v>
      </c>
      <c r="R45" s="12">
        <f>IF(AND(ISNUMBER(RU_Clean!R45),ISNUMBER(RU_Clean!R33)),(RU_Clean!R45-RU_Clean!R33)/RU_Clean!R33*100,"")</f>
        <v>5.85516178736517</v>
      </c>
      <c r="S45" s="12">
        <f>IF(AND(ISNUMBER(RU_Clean!S45),ISNUMBER(RU_Clean!S33)),(RU_Clean!S45-RU_Clean!S33)/RU_Clean!S33*100,"")</f>
        <v>7.2</v>
      </c>
      <c r="T45" s="12">
        <f>IF(AND(ISNUMBER(RU_Clean!T45),ISNUMBER(RU_Clean!T33)),(RU_Clean!T45-RU_Clean!T33)/RU_Clean!T33*100,"")</f>
        <v>7.66223612197028</v>
      </c>
      <c r="U45" s="12">
        <f>IF(AND(ISNUMBER(RU_Clean!U45),ISNUMBER(RU_Clean!U33)),(RU_Clean!U45-RU_Clean!U33)/RU_Clean!U33*100,"")</f>
        <v>5.42264752791067</v>
      </c>
      <c r="V45" s="12">
        <f>IF(AND(ISNUMBER(RU_Clean!V45),ISNUMBER(RU_Clean!V33)),(RU_Clean!V45-RU_Clean!V33)/RU_Clean!V33*100,"")</f>
        <v>4.53421269579555</v>
      </c>
      <c r="W45" s="12">
        <f>IF(AND(ISNUMBER(RU_Clean!W45),ISNUMBER(RU_Clean!W33)),(RU_Clean!W45-RU_Clean!W33)/RU_Clean!W33*100,"")</f>
        <v>5.3728949478749</v>
      </c>
      <c r="X45" s="12">
        <f>IF(AND(ISNUMBER(RU_Clean!X45),ISNUMBER(RU_Clean!X33)),(RU_Clean!X45-RU_Clean!X33)/RU_Clean!X33*100,"")</f>
        <v>5.35117056856188</v>
      </c>
      <c r="Y45" s="12">
        <f>IF(AND(ISNUMBER(RU_Clean!Y45),ISNUMBER(RU_Clean!Y33)),(RU_Clean!Y45-RU_Clean!Y33)/RU_Clean!Y33*100,"")</f>
        <v>2.93624161073825</v>
      </c>
      <c r="Z45" s="12">
        <f>IF(AND(ISNUMBER(RU_Clean!Z45),ISNUMBER(RU_Clean!Z33)),(RU_Clean!Z45-RU_Clean!Z33)/RU_Clean!Z33*100,"")</f>
        <v>4.82529118136439</v>
      </c>
      <c r="AA45" s="12">
        <f>IF(AND(ISNUMBER(RU_Clean!AA45),ISNUMBER(RU_Clean!AA33)),(RU_Clean!AA45-RU_Clean!AA33)/RU_Clean!AA33*100,"")</f>
        <v>5.09770603228547</v>
      </c>
      <c r="AB45" s="12">
        <f>IF(AND(ISNUMBER(RU_Clean!AB45),ISNUMBER(RU_Clean!AB33)),(RU_Clean!AB45-RU_Clean!AB33)/RU_Clean!AB33*100,"")</f>
        <v>0.714285714285712</v>
      </c>
      <c r="AC45" s="12">
        <f>IF(AND(ISNUMBER(RU_Clean!AC45),ISNUMBER(RU_Clean!AC33)),(RU_Clean!AC45-RU_Clean!AC33)/RU_Clean!AC33*100,"")</f>
        <v>4.47119518486673</v>
      </c>
      <c r="AD45" s="12">
        <f>IF(AND(ISNUMBER(RU_Clean!AD45),ISNUMBER(RU_Clean!AD33)),(RU_Clean!AD45-RU_Clean!AD33)/RU_Clean!AD33*100,"")</f>
        <v>5.8484349258649</v>
      </c>
      <c r="AE45" s="12">
        <f>IF(AND(ISNUMBER(RU_Clean!AE45),ISNUMBER(RU_Clean!AE33)),(RU_Clean!AE45-RU_Clean!AE33)/RU_Clean!AE33*100,"")</f>
        <v>6.14425645592164</v>
      </c>
      <c r="AF45" s="12">
        <f>IF(AND(ISNUMBER(RU_Clean!AF45),ISNUMBER(RU_Clean!AF33)),(RU_Clean!AF45-RU_Clean!AF33)/RU_Clean!AF33*100,"")</f>
        <v>3.96210163652025</v>
      </c>
      <c r="AG45" s="12">
        <f>IF(AND(ISNUMBER(RU_Clean!AG45),ISNUMBER(RU_Clean!AG33)),(RU_Clean!AG45-RU_Clean!AG33)/RU_Clean!AG33*100,"")</f>
        <v>5.75657894736842</v>
      </c>
      <c r="AH45" s="12">
        <f>IF(AND(ISNUMBER(RU_Clean!AH45),ISNUMBER(RU_Clean!AH33)),(RU_Clean!AH45-RU_Clean!AH33)/RU_Clean!AH33*100,"")</f>
        <v>8.93953869250717</v>
      </c>
    </row>
    <row r="46" spans="1:34">
      <c r="A46" s="6">
        <f>RU_Clean!A46</f>
        <v>2016</v>
      </c>
      <c r="B46" s="6">
        <f>RU_Clean!B46</f>
        <v>6</v>
      </c>
      <c r="C46" s="6" t="str">
        <f>RU_Clean!C46</f>
        <v>June</v>
      </c>
      <c r="D46" s="9">
        <f>RU_Clean!D46</f>
        <v>42522</v>
      </c>
      <c r="E46" s="6"/>
      <c r="F46" s="6"/>
      <c r="G46" s="12">
        <f>IF(AND(ISNUMBER(RU_Clean!G46),ISNUMBER(RU_Clean!G34)),(RU_Clean!G46-RU_Clean!G34)/RU_Clean!G34*100,"")</f>
        <v>3.06698950766747</v>
      </c>
      <c r="H46" s="12">
        <f>IF(AND(ISNUMBER(RU_Clean!H46),ISNUMBER(RU_Clean!H34)),(RU_Clean!H46-RU_Clean!H34)/RU_Clean!H34*100,"")</f>
        <v>6.6009104704097</v>
      </c>
      <c r="I46" s="12">
        <f>IF(AND(ISNUMBER(RU_Clean!I46),ISNUMBER(RU_Clean!I34)),(RU_Clean!I46-RU_Clean!I34)/RU_Clean!I34*100,"")</f>
        <v>5.50986842105265</v>
      </c>
      <c r="J46" s="12">
        <f>IF(AND(ISNUMBER(RU_Clean!J46),ISNUMBER(RU_Clean!J34)),(RU_Clean!J46-RU_Clean!J34)/RU_Clean!J34*100,"")</f>
        <v>3.43213728549142</v>
      </c>
      <c r="K46" s="12">
        <f>IF(AND(ISNUMBER(RU_Clean!K46),ISNUMBER(RU_Clean!K34)),(RU_Clean!K46-RU_Clean!K34)/RU_Clean!K34*100,"")</f>
        <v>3.96039603960397</v>
      </c>
      <c r="L46" s="12">
        <f>IF(AND(ISNUMBER(RU_Clean!L46),ISNUMBER(RU_Clean!L34)),(RU_Clean!L46-RU_Clean!L34)/RU_Clean!L34*100,"")</f>
        <v>2.78614457831324</v>
      </c>
      <c r="M46" s="12">
        <f>IF(AND(ISNUMBER(RU_Clean!M46),ISNUMBER(RU_Clean!M34)),(RU_Clean!M46-RU_Clean!M34)/RU_Clean!M34*100,"")</f>
        <v>14.8094895758447</v>
      </c>
      <c r="N46" s="12">
        <f>IF(AND(ISNUMBER(RU_Clean!N46),ISNUMBER(RU_Clean!N34)),(RU_Clean!N46-RU_Clean!N34)/RU_Clean!N34*100,"")</f>
        <v>26.8558951965066</v>
      </c>
      <c r="O46" s="12">
        <f>IF(AND(ISNUMBER(RU_Clean!O46),ISNUMBER(RU_Clean!O34)),(RU_Clean!O46-RU_Clean!O34)/RU_Clean!O34*100,"")</f>
        <v>16.7906482465462</v>
      </c>
      <c r="P46" s="12">
        <f>IF(AND(ISNUMBER(RU_Clean!P46),ISNUMBER(RU_Clean!P34)),(RU_Clean!P46-RU_Clean!P34)/RU_Clean!P34*100,"")</f>
        <v>8.60557768924304</v>
      </c>
      <c r="Q46" s="12">
        <f>IF(AND(ISNUMBER(RU_Clean!Q46),ISNUMBER(RU_Clean!Q34)),(RU_Clean!Q46-RU_Clean!Q34)/RU_Clean!Q34*100,"")</f>
        <v>3.83973288814692</v>
      </c>
      <c r="R46" s="12">
        <f>IF(AND(ISNUMBER(RU_Clean!R46),ISNUMBER(RU_Clean!R34)),(RU_Clean!R46-RU_Clean!R34)/RU_Clean!R34*100,"")</f>
        <v>5.5003819709702</v>
      </c>
      <c r="S46" s="12">
        <f>IF(AND(ISNUMBER(RU_Clean!S46),ISNUMBER(RU_Clean!S34)),(RU_Clean!S46-RU_Clean!S34)/RU_Clean!S34*100,"")</f>
        <v>7.46268656716419</v>
      </c>
      <c r="T46" s="12">
        <f>IF(AND(ISNUMBER(RU_Clean!T46),ISNUMBER(RU_Clean!T34)),(RU_Clean!T46-RU_Clean!T34)/RU_Clean!T34*100,"")</f>
        <v>7.35294117647059</v>
      </c>
      <c r="U46" s="12">
        <f>IF(AND(ISNUMBER(RU_Clean!U46),ISNUMBER(RU_Clean!U34)),(RU_Clean!U46-RU_Clean!U34)/RU_Clean!U34*100,"")</f>
        <v>5.14240506329114</v>
      </c>
      <c r="V46" s="12">
        <f>IF(AND(ISNUMBER(RU_Clean!V46),ISNUMBER(RU_Clean!V34)),(RU_Clean!V46-RU_Clean!V34)/RU_Clean!V34*100,"")</f>
        <v>4.26229508196722</v>
      </c>
      <c r="W46" s="12">
        <f>IF(AND(ISNUMBER(RU_Clean!W46),ISNUMBER(RU_Clean!W34)),(RU_Clean!W46-RU_Clean!W34)/RU_Clean!W34*100,"")</f>
        <v>5.01193317422434</v>
      </c>
      <c r="X46" s="12">
        <f>IF(AND(ISNUMBER(RU_Clean!X46),ISNUMBER(RU_Clean!X34)),(RU_Clean!X46-RU_Clean!X34)/RU_Clean!X34*100,"")</f>
        <v>5.46218487394958</v>
      </c>
      <c r="Y46" s="12">
        <f>IF(AND(ISNUMBER(RU_Clean!Y46),ISNUMBER(RU_Clean!Y34)),(RU_Clean!Y46-RU_Clean!Y34)/RU_Clean!Y34*100,"")</f>
        <v>2.92153589315526</v>
      </c>
      <c r="Z46" s="12">
        <f>IF(AND(ISNUMBER(RU_Clean!Z46),ISNUMBER(RU_Clean!Z34)),(RU_Clean!Z46-RU_Clean!Z34)/RU_Clean!Z34*100,"")</f>
        <v>4.37654830718416</v>
      </c>
      <c r="AA46" s="12">
        <f>IF(AND(ISNUMBER(RU_Clean!AA46),ISNUMBER(RU_Clean!AA34)),(RU_Clean!AA46-RU_Clean!AA34)/RU_Clean!AA34*100,"")</f>
        <v>4.72573839662447</v>
      </c>
      <c r="AB46" s="12">
        <f>IF(AND(ISNUMBER(RU_Clean!AB46),ISNUMBER(RU_Clean!AB34)),(RU_Clean!AB46-RU_Clean!AB34)/RU_Clean!AB34*100,"")</f>
        <v>1.15146147032772</v>
      </c>
      <c r="AC46" s="12">
        <f>IF(AND(ISNUMBER(RU_Clean!AC46),ISNUMBER(RU_Clean!AC34)),(RU_Clean!AC46-RU_Clean!AC34)/RU_Clean!AC34*100,"")</f>
        <v>4.10607356715141</v>
      </c>
      <c r="AD46" s="12">
        <f>IF(AND(ISNUMBER(RU_Clean!AD46),ISNUMBER(RU_Clean!AD34)),(RU_Clean!AD46-RU_Clean!AD34)/RU_Clean!AD34*100,"")</f>
        <v>5.36149471974004</v>
      </c>
      <c r="AE46" s="12">
        <f>IF(AND(ISNUMBER(RU_Clean!AE46),ISNUMBER(RU_Clean!AE34)),(RU_Clean!AE46-RU_Clean!AE34)/RU_Clean!AE34*100,"")</f>
        <v>5.85106382978724</v>
      </c>
      <c r="AF46" s="12">
        <f>IF(AND(ISNUMBER(RU_Clean!AF46),ISNUMBER(RU_Clean!AF34)),(RU_Clean!AF46-RU_Clean!AF34)/RU_Clean!AF34*100,"")</f>
        <v>3.84615384615385</v>
      </c>
      <c r="AG46" s="12">
        <f>IF(AND(ISNUMBER(RU_Clean!AG46),ISNUMBER(RU_Clean!AG34)),(RU_Clean!AG46-RU_Clean!AG34)/RU_Clean!AG34*100,"")</f>
        <v>5.77235772357723</v>
      </c>
      <c r="AH46" s="12">
        <f>IF(AND(ISNUMBER(RU_Clean!AH46),ISNUMBER(RU_Clean!AH34)),(RU_Clean!AH46-RU_Clean!AH34)/RU_Clean!AH34*100,"")</f>
        <v>8.52827162144098</v>
      </c>
    </row>
    <row r="47" spans="1:34">
      <c r="A47" s="6">
        <f>RU_Clean!A47</f>
        <v>2016</v>
      </c>
      <c r="B47" s="6">
        <f>RU_Clean!B47</f>
        <v>7</v>
      </c>
      <c r="C47" s="6" t="str">
        <f>RU_Clean!C47</f>
        <v>July</v>
      </c>
      <c r="D47" s="9">
        <f>RU_Clean!D47</f>
        <v>42552</v>
      </c>
      <c r="E47" s="6"/>
      <c r="F47" s="6"/>
      <c r="G47" s="12">
        <f>IF(AND(ISNUMBER(RU_Clean!G47),ISNUMBER(RU_Clean!G35)),(RU_Clean!G47-RU_Clean!G35)/RU_Clean!G35*100,"")</f>
        <v>3.88035569927243</v>
      </c>
      <c r="H47" s="12">
        <f>IF(AND(ISNUMBER(RU_Clean!H47),ISNUMBER(RU_Clean!H35)),(RU_Clean!H47-RU_Clean!H35)/RU_Clean!H35*100,"")</f>
        <v>6.56603773584905</v>
      </c>
      <c r="I47" s="12">
        <f>IF(AND(ISNUMBER(RU_Clean!I47),ISNUMBER(RU_Clean!I35)),(RU_Clean!I47-RU_Clean!I35)/RU_Clean!I35*100,"")</f>
        <v>9.33884297520662</v>
      </c>
      <c r="J47" s="12">
        <f>IF(AND(ISNUMBER(RU_Clean!J47),ISNUMBER(RU_Clean!J35)),(RU_Clean!J47-RU_Clean!J35)/RU_Clean!J35*100,"")</f>
        <v>4.05300077942322</v>
      </c>
      <c r="K47" s="12">
        <f>IF(AND(ISNUMBER(RU_Clean!K47),ISNUMBER(RU_Clean!K35)),(RU_Clean!K47-RU_Clean!K35)/RU_Clean!K35*100,"")</f>
        <v>4.95942290351668</v>
      </c>
      <c r="L47" s="12">
        <f>IF(AND(ISNUMBER(RU_Clean!L47),ISNUMBER(RU_Clean!L35)),(RU_Clean!L47-RU_Clean!L35)/RU_Clean!L35*100,"")</f>
        <v>3.53117956423743</v>
      </c>
      <c r="M47" s="12">
        <f>IF(AND(ISNUMBER(RU_Clean!M47),ISNUMBER(RU_Clean!M35)),(RU_Clean!M47-RU_Clean!M35)/RU_Clean!M35*100,"")</f>
        <v>13.9903514817367</v>
      </c>
      <c r="N47" s="12">
        <f>IF(AND(ISNUMBER(RU_Clean!N47),ISNUMBER(RU_Clean!N35)),(RU_Clean!N47-RU_Clean!N35)/RU_Clean!N35*100,"")</f>
        <v>27.5341480948958</v>
      </c>
      <c r="O47" s="12">
        <f>IF(AND(ISNUMBER(RU_Clean!O47),ISNUMBER(RU_Clean!O35)),(RU_Clean!O47-RU_Clean!O35)/RU_Clean!O35*100,"")</f>
        <v>21.9058050383352</v>
      </c>
      <c r="P47" s="12">
        <f>IF(AND(ISNUMBER(RU_Clean!P47),ISNUMBER(RU_Clean!P35)),(RU_Clean!P47-RU_Clean!P35)/RU_Clean!P35*100,"")</f>
        <v>9.04044409199049</v>
      </c>
      <c r="Q47" s="12">
        <f>IF(AND(ISNUMBER(RU_Clean!Q47),ISNUMBER(RU_Clean!Q35)),(RU_Clean!Q47-RU_Clean!Q35)/RU_Clean!Q35*100,"")</f>
        <v>4.25354462051709</v>
      </c>
      <c r="R47" s="12">
        <f>IF(AND(ISNUMBER(RU_Clean!R47),ISNUMBER(RU_Clean!R35)),(RU_Clean!R47-RU_Clean!R35)/RU_Clean!R35*100,"")</f>
        <v>5.63165905631659</v>
      </c>
      <c r="S47" s="12">
        <f>IF(AND(ISNUMBER(RU_Clean!S47),ISNUMBER(RU_Clean!S35)),(RU_Clean!S47-RU_Clean!S35)/RU_Clean!S35*100,"")</f>
        <v>7.95631825273012</v>
      </c>
      <c r="T47" s="12">
        <f>IF(AND(ISNUMBER(RU_Clean!T47),ISNUMBER(RU_Clean!T35)),(RU_Clean!T47-RU_Clean!T35)/RU_Clean!T35*100,"")</f>
        <v>6.82515337423313</v>
      </c>
      <c r="U47" s="12">
        <f>IF(AND(ISNUMBER(RU_Clean!U47),ISNUMBER(RU_Clean!U35)),(RU_Clean!U47-RU_Clean!U35)/RU_Clean!U35*100,"")</f>
        <v>5.36700868192581</v>
      </c>
      <c r="V47" s="12">
        <f>IF(AND(ISNUMBER(RU_Clean!V47),ISNUMBER(RU_Clean!V35)),(RU_Clean!V47-RU_Clean!V35)/RU_Clean!V35*100,"")</f>
        <v>4.33360588716271</v>
      </c>
      <c r="W47" s="12">
        <f>IF(AND(ISNUMBER(RU_Clean!W47),ISNUMBER(RU_Clean!W35)),(RU_Clean!W47-RU_Clean!W35)/RU_Clean!W35*100,"")</f>
        <v>5.23394131641554</v>
      </c>
      <c r="X47" s="12">
        <f>IF(AND(ISNUMBER(RU_Clean!X47),ISNUMBER(RU_Clean!X35)),(RU_Clean!X47-RU_Clean!X35)/RU_Clean!X35*100,"")</f>
        <v>5.42118432026689</v>
      </c>
      <c r="Y47" s="12">
        <f>IF(AND(ISNUMBER(RU_Clean!Y47),ISNUMBER(RU_Clean!Y35)),(RU_Clean!Y47-RU_Clean!Y35)/RU_Clean!Y35*100,"")</f>
        <v>2.74771024146545</v>
      </c>
      <c r="Z47" s="12">
        <f>IF(AND(ISNUMBER(RU_Clean!Z47),ISNUMBER(RU_Clean!Z35)),(RU_Clean!Z47-RU_Clean!Z35)/RU_Clean!Z35*100,"")</f>
        <v>4.6166529266282</v>
      </c>
      <c r="AA47" s="12">
        <f>IF(AND(ISNUMBER(RU_Clean!AA47),ISNUMBER(RU_Clean!AA35)),(RU_Clean!AA47-RU_Clean!AA35)/RU_Clean!AA35*100,"")</f>
        <v>4.6218487394958</v>
      </c>
      <c r="AB47" s="12">
        <f>IF(AND(ISNUMBER(RU_Clean!AB47),ISNUMBER(RU_Clean!AB35)),(RU_Clean!AB47-RU_Clean!AB35)/RU_Clean!AB35*100,"")</f>
        <v>1.06477373558119</v>
      </c>
      <c r="AC47" s="12">
        <f>IF(AND(ISNUMBER(RU_Clean!AC47),ISNUMBER(RU_Clean!AC35)),(RU_Clean!AC47-RU_Clean!AC35)/RU_Clean!AC35*100,"")</f>
        <v>4.43686006825939</v>
      </c>
      <c r="AD47" s="12">
        <f>IF(AND(ISNUMBER(RU_Clean!AD47),ISNUMBER(RU_Clean!AD35)),(RU_Clean!AD47-RU_Clean!AD35)/RU_Clean!AD35*100,"")</f>
        <v>5.14469453376206</v>
      </c>
      <c r="AE47" s="12">
        <f>IF(AND(ISNUMBER(RU_Clean!AE47),ISNUMBER(RU_Clean!AE35)),(RU_Clean!AE47-RU_Clean!AE35)/RU_Clean!AE35*100,"")</f>
        <v>7.30186999109528</v>
      </c>
      <c r="AF47" s="12">
        <f>IF(AND(ISNUMBER(RU_Clean!AF47),ISNUMBER(RU_Clean!AF35)),(RU_Clean!AF47-RU_Clean!AF35)/RU_Clean!AF35*100,"")</f>
        <v>4.01023890784983</v>
      </c>
      <c r="AG47" s="12">
        <f>IF(AND(ISNUMBER(RU_Clean!AG47),ISNUMBER(RU_Clean!AG35)),(RU_Clean!AG47-RU_Clean!AG35)/RU_Clean!AG35*100,"")</f>
        <v>6.06796116504854</v>
      </c>
      <c r="AH47" s="12">
        <f>IF(AND(ISNUMBER(RU_Clean!AH47),ISNUMBER(RU_Clean!AH35)),(RU_Clean!AH47-RU_Clean!AH35)/RU_Clean!AH35*100,"")</f>
        <v>9.49813631522895</v>
      </c>
    </row>
    <row r="48" spans="1:34">
      <c r="A48" s="6">
        <f>RU_Clean!A48</f>
        <v>2016</v>
      </c>
      <c r="B48" s="6">
        <f>RU_Clean!B48</f>
        <v>8</v>
      </c>
      <c r="C48" s="6" t="str">
        <f>RU_Clean!C48</f>
        <v>August</v>
      </c>
      <c r="D48" s="9">
        <f>RU_Clean!D48</f>
        <v>42583</v>
      </c>
      <c r="E48" s="6"/>
      <c r="F48" s="6"/>
      <c r="G48" s="12">
        <f>IF(AND(ISNUMBER(RU_Clean!G48),ISNUMBER(RU_Clean!G36)),(RU_Clean!G48-RU_Clean!G36)/RU_Clean!G36*100,"")</f>
        <v>4.10628019323672</v>
      </c>
      <c r="H48" s="12">
        <f>IF(AND(ISNUMBER(RU_Clean!H48),ISNUMBER(RU_Clean!H36)),(RU_Clean!H48-RU_Clean!H36)/RU_Clean!H36*100,"")</f>
        <v>6.01217656012177</v>
      </c>
      <c r="I48" s="12">
        <f>IF(AND(ISNUMBER(RU_Clean!I48),ISNUMBER(RU_Clean!I36)),(RU_Clean!I48-RU_Clean!I36)/RU_Clean!I36*100,"")</f>
        <v>9.57535387177352</v>
      </c>
      <c r="J48" s="12">
        <f>IF(AND(ISNUMBER(RU_Clean!J48),ISNUMBER(RU_Clean!J36)),(RU_Clean!J48-RU_Clean!J36)/RU_Clean!J36*100,"")</f>
        <v>4.35797665369649</v>
      </c>
      <c r="K48" s="12">
        <f>IF(AND(ISNUMBER(RU_Clean!K48),ISNUMBER(RU_Clean!K36)),(RU_Clean!K48-RU_Clean!K36)/RU_Clean!K36*100,"")</f>
        <v>4.93716337522442</v>
      </c>
      <c r="L48" s="12">
        <f>IF(AND(ISNUMBER(RU_Clean!L48),ISNUMBER(RU_Clean!L36)),(RU_Clean!L48-RU_Clean!L36)/RU_Clean!L36*100,"")</f>
        <v>4.38397581254723</v>
      </c>
      <c r="M48" s="12">
        <f>IF(AND(ISNUMBER(RU_Clean!M48),ISNUMBER(RU_Clean!M36)),(RU_Clean!M48-RU_Clean!M36)/RU_Clean!M36*100,"")</f>
        <v>0.951776649746193</v>
      </c>
      <c r="N48" s="12">
        <f>IF(AND(ISNUMBER(RU_Clean!N48),ISNUMBER(RU_Clean!N36)),(RU_Clean!N48-RU_Clean!N36)/RU_Clean!N36*100,"")</f>
        <v>21.9444444444444</v>
      </c>
      <c r="O48" s="12">
        <f>IF(AND(ISNUMBER(RU_Clean!O48),ISNUMBER(RU_Clean!O36)),(RU_Clean!O48-RU_Clean!O36)/RU_Clean!O36*100,"")</f>
        <v>24.7513812154696</v>
      </c>
      <c r="P48" s="12">
        <f>IF(AND(ISNUMBER(RU_Clean!P48),ISNUMBER(RU_Clean!P36)),(RU_Clean!P48-RU_Clean!P36)/RU_Clean!P36*100,"")</f>
        <v>8.91167192429022</v>
      </c>
      <c r="Q48" s="12">
        <f>IF(AND(ISNUMBER(RU_Clean!Q48),ISNUMBER(RU_Clean!Q36)),(RU_Clean!Q48-RU_Clean!Q36)/RU_Clean!Q36*100,"")</f>
        <v>4.23588039867109</v>
      </c>
      <c r="R48" s="12">
        <f>IF(AND(ISNUMBER(RU_Clean!R48),ISNUMBER(RU_Clean!R36)),(RU_Clean!R48-RU_Clean!R36)/RU_Clean!R36*100,"")</f>
        <v>5.60181680545042</v>
      </c>
      <c r="S48" s="12">
        <f>IF(AND(ISNUMBER(RU_Clean!S48),ISNUMBER(RU_Clean!S36)),(RU_Clean!S48-RU_Clean!S36)/RU_Clean!S36*100,"")</f>
        <v>5.83269378357636</v>
      </c>
      <c r="T48" s="12">
        <f>IF(AND(ISNUMBER(RU_Clean!T48),ISNUMBER(RU_Clean!T36)),(RU_Clean!T48-RU_Clean!T36)/RU_Clean!T36*100,"")</f>
        <v>6.85975609756098</v>
      </c>
      <c r="U48" s="12">
        <f>IF(AND(ISNUMBER(RU_Clean!U48),ISNUMBER(RU_Clean!U36)),(RU_Clean!U48-RU_Clean!U36)/RU_Clean!U36*100,"")</f>
        <v>5.42452830188679</v>
      </c>
      <c r="V48" s="12">
        <f>IF(AND(ISNUMBER(RU_Clean!V48),ISNUMBER(RU_Clean!V36)),(RU_Clean!V48-RU_Clean!V36)/RU_Clean!V36*100,"")</f>
        <v>4.31244914564685</v>
      </c>
      <c r="W48" s="12">
        <f>IF(AND(ISNUMBER(RU_Clean!W48),ISNUMBER(RU_Clean!W36)),(RU_Clean!W48-RU_Clean!W36)/RU_Clean!W36*100,"")</f>
        <v>5.21327014218009</v>
      </c>
      <c r="X48" s="12">
        <f>IF(AND(ISNUMBER(RU_Clean!X48),ISNUMBER(RU_Clean!X36)),(RU_Clean!X48-RU_Clean!X36)/RU_Clean!X36*100,"")</f>
        <v>5.29363110008271</v>
      </c>
      <c r="Y48" s="12">
        <f>IF(AND(ISNUMBER(RU_Clean!Y48),ISNUMBER(RU_Clean!Y36)),(RU_Clean!Y48-RU_Clean!Y36)/RU_Clean!Y36*100,"")</f>
        <v>2.48756218905473</v>
      </c>
      <c r="Z48" s="12">
        <f>IF(AND(ISNUMBER(RU_Clean!Z48),ISNUMBER(RU_Clean!Z36)),(RU_Clean!Z48-RU_Clean!Z36)/RU_Clean!Z36*100,"")</f>
        <v>4.42622950819673</v>
      </c>
      <c r="AA48" s="12">
        <f>IF(AND(ISNUMBER(RU_Clean!AA48),ISNUMBER(RU_Clean!AA36)),(RU_Clean!AA48-RU_Clean!AA36)/RU_Clean!AA36*100,"")</f>
        <v>4.52261306532663</v>
      </c>
      <c r="AB48" s="12">
        <f>IF(AND(ISNUMBER(RU_Clean!AB48),ISNUMBER(RU_Clean!AB36)),(RU_Clean!AB48-RU_Clean!AB36)/RU_Clean!AB36*100,"")</f>
        <v>1.25335720680393</v>
      </c>
      <c r="AC48" s="12">
        <f>IF(AND(ISNUMBER(RU_Clean!AC48),ISNUMBER(RU_Clean!AC36)),(RU_Clean!AC48-RU_Clean!AC36)/RU_Clean!AC36*100,"")</f>
        <v>4.15959252971138</v>
      </c>
      <c r="AD48" s="12">
        <f>IF(AND(ISNUMBER(RU_Clean!AD48),ISNUMBER(RU_Clean!AD36)),(RU_Clean!AD48-RU_Clean!AD36)/RU_Clean!AD36*100,"")</f>
        <v>5.2757793764988</v>
      </c>
      <c r="AE48" s="12">
        <f>IF(AND(ISNUMBER(RU_Clean!AE48),ISNUMBER(RU_Clean!AE36)),(RU_Clean!AE48-RU_Clean!AE36)/RU_Clean!AE36*100,"")</f>
        <v>8.19234194122885</v>
      </c>
      <c r="AF48" s="12">
        <f>IF(AND(ISNUMBER(RU_Clean!AF48),ISNUMBER(RU_Clean!AF36)),(RU_Clean!AF48-RU_Clean!AF36)/RU_Clean!AF36*100,"")</f>
        <v>4.18088737201365</v>
      </c>
      <c r="AG48" s="12">
        <f>IF(AND(ISNUMBER(RU_Clean!AG48),ISNUMBER(RU_Clean!AG36)),(RU_Clean!AG48-RU_Clean!AG36)/RU_Clean!AG36*100,"")</f>
        <v>5.04807692307692</v>
      </c>
      <c r="AH48" s="12">
        <f>IF(AND(ISNUMBER(RU_Clean!AH48),ISNUMBER(RU_Clean!AH36)),(RU_Clean!AH48-RU_Clean!AH36)/RU_Clean!AH36*100,"")</f>
        <v>7.94444810109919</v>
      </c>
    </row>
    <row r="49" spans="1:34">
      <c r="A49" s="6">
        <f>RU_Clean!A49</f>
        <v>2016</v>
      </c>
      <c r="B49" s="6">
        <f>RU_Clean!B49</f>
        <v>9</v>
      </c>
      <c r="C49" s="6" t="str">
        <f>RU_Clean!C49</f>
        <v>September</v>
      </c>
      <c r="D49" s="9">
        <f>RU_Clean!D49</f>
        <v>42614</v>
      </c>
      <c r="E49" s="6"/>
      <c r="F49" s="6"/>
      <c r="G49" s="12">
        <f>IF(AND(ISNUMBER(RU_Clean!G49),ISNUMBER(RU_Clean!G37)),(RU_Clean!G49-RU_Clean!G37)/RU_Clean!G37*100,"")</f>
        <v>4.25361155698235</v>
      </c>
      <c r="H49" s="12">
        <f>IF(AND(ISNUMBER(RU_Clean!H49),ISNUMBER(RU_Clean!H37)),(RU_Clean!H49-RU_Clean!H37)/RU_Clean!H37*100,"")</f>
        <v>5.8282208588957</v>
      </c>
      <c r="I49" s="12">
        <f>IF(AND(ISNUMBER(RU_Clean!I49),ISNUMBER(RU_Clean!I37)),(RU_Clean!I49-RU_Clean!I37)/RU_Clean!I37*100,"")</f>
        <v>9.94102780117944</v>
      </c>
      <c r="J49" s="12">
        <f>IF(AND(ISNUMBER(RU_Clean!J49),ISNUMBER(RU_Clean!J37)),(RU_Clean!J49-RU_Clean!J37)/RU_Clean!J37*100,"")</f>
        <v>4.26687354538402</v>
      </c>
      <c r="K49" s="12">
        <f>IF(AND(ISNUMBER(RU_Clean!K49),ISNUMBER(RU_Clean!K37)),(RU_Clean!K49-RU_Clean!K37)/RU_Clean!K37*100,"")</f>
        <v>4.73637176050044</v>
      </c>
      <c r="L49" s="12">
        <f>IF(AND(ISNUMBER(RU_Clean!L49),ISNUMBER(RU_Clean!L37)),(RU_Clean!L49-RU_Clean!L37)/RU_Clean!L37*100,"")</f>
        <v>5.99688473520248</v>
      </c>
      <c r="M49" s="12">
        <f>IF(AND(ISNUMBER(RU_Clean!M49),ISNUMBER(RU_Clean!M37)),(RU_Clean!M49-RU_Clean!M37)/RU_Clean!M37*100,"")</f>
        <v>-7.09001233045623</v>
      </c>
      <c r="N49" s="12">
        <f>IF(AND(ISNUMBER(RU_Clean!N49),ISNUMBER(RU_Clean!N37)),(RU_Clean!N49-RU_Clean!N37)/RU_Clean!N37*100,"")</f>
        <v>14.3333333333333</v>
      </c>
      <c r="O49" s="12">
        <f>IF(AND(ISNUMBER(RU_Clean!O49),ISNUMBER(RU_Clean!O37)),(RU_Clean!O49-RU_Clean!O37)/RU_Clean!O37*100,"")</f>
        <v>25.8849557522124</v>
      </c>
      <c r="P49" s="12">
        <f>IF(AND(ISNUMBER(RU_Clean!P49),ISNUMBER(RU_Clean!P37)),(RU_Clean!P49-RU_Clean!P37)/RU_Clean!P37*100,"")</f>
        <v>8.09968847352025</v>
      </c>
      <c r="Q49" s="12">
        <f>IF(AND(ISNUMBER(RU_Clean!Q49),ISNUMBER(RU_Clean!Q37)),(RU_Clean!Q49-RU_Clean!Q37)/RU_Clean!Q37*100,"")</f>
        <v>4.3910521955261</v>
      </c>
      <c r="R49" s="12">
        <f>IF(AND(ISNUMBER(RU_Clean!R49),ISNUMBER(RU_Clean!R37)),(RU_Clean!R49-RU_Clean!R37)/RU_Clean!R37*100,"")</f>
        <v>5.81132075471697</v>
      </c>
      <c r="S49" s="12">
        <f>IF(AND(ISNUMBER(RU_Clean!S49),ISNUMBER(RU_Clean!S37)),(RU_Clean!S49-RU_Clean!S37)/RU_Clean!S37*100,"")</f>
        <v>4.11585365853659</v>
      </c>
      <c r="T49" s="12">
        <f>IF(AND(ISNUMBER(RU_Clean!T49),ISNUMBER(RU_Clean!T37)),(RU_Clean!T49-RU_Clean!T37)/RU_Clean!T37*100,"")</f>
        <v>6.81818181818182</v>
      </c>
      <c r="U49" s="12">
        <f>IF(AND(ISNUMBER(RU_Clean!U49),ISNUMBER(RU_Clean!U37)),(RU_Clean!U49-RU_Clean!U37)/RU_Clean!U37*100,"")</f>
        <v>5.2384675527756</v>
      </c>
      <c r="V49" s="12">
        <f>IF(AND(ISNUMBER(RU_Clean!V49),ISNUMBER(RU_Clean!V37)),(RU_Clean!V49-RU_Clean!V37)/RU_Clean!V37*100,"")</f>
        <v>4.21393841166936</v>
      </c>
      <c r="W49" s="12">
        <f>IF(AND(ISNUMBER(RU_Clean!W49),ISNUMBER(RU_Clean!W37)),(RU_Clean!W49-RU_Clean!W37)/RU_Clean!W37*100,"")</f>
        <v>5.18867924528303</v>
      </c>
      <c r="X49" s="12">
        <f>IF(AND(ISNUMBER(RU_Clean!X49),ISNUMBER(RU_Clean!X37)),(RU_Clean!X49-RU_Clean!X37)/RU_Clean!X37*100,"")</f>
        <v>5.18092105263159</v>
      </c>
      <c r="Y49" s="12">
        <f>IF(AND(ISNUMBER(RU_Clean!Y49),ISNUMBER(RU_Clean!Y37)),(RU_Clean!Y49-RU_Clean!Y37)/RU_Clean!Y37*100,"")</f>
        <v>3.07308970099667</v>
      </c>
      <c r="Z49" s="12">
        <f>IF(AND(ISNUMBER(RU_Clean!Z49),ISNUMBER(RU_Clean!Z37)),(RU_Clean!Z49-RU_Clean!Z37)/RU_Clean!Z37*100,"")</f>
        <v>4.32300163132138</v>
      </c>
      <c r="AA49" s="12">
        <f>IF(AND(ISNUMBER(RU_Clean!AA49),ISNUMBER(RU_Clean!AA37)),(RU_Clean!AA49-RU_Clean!AA37)/RU_Clean!AA37*100,"")</f>
        <v>4.67445742904842</v>
      </c>
      <c r="AB49" s="12">
        <f>IF(AND(ISNUMBER(RU_Clean!AB49),ISNUMBER(RU_Clean!AB37)),(RU_Clean!AB49-RU_Clean!AB37)/RU_Clean!AB37*100,"")</f>
        <v>2.69541778975741</v>
      </c>
      <c r="AC49" s="12">
        <f>IF(AND(ISNUMBER(RU_Clean!AC49),ISNUMBER(RU_Clean!AC37)),(RU_Clean!AC49-RU_Clean!AC37)/RU_Clean!AC37*100,"")</f>
        <v>3.88841927303466</v>
      </c>
      <c r="AD49" s="12">
        <f>IF(AND(ISNUMBER(RU_Clean!AD49),ISNUMBER(RU_Clean!AD37)),(RU_Clean!AD49-RU_Clean!AD37)/RU_Clean!AD37*100,"")</f>
        <v>4.85282418456643</v>
      </c>
      <c r="AE49" s="12">
        <f>IF(AND(ISNUMBER(RU_Clean!AE49),ISNUMBER(RU_Clean!AE37)),(RU_Clean!AE49-RU_Clean!AE37)/RU_Clean!AE37*100,"")</f>
        <v>7.67195767195766</v>
      </c>
      <c r="AF49" s="12">
        <f>IF(AND(ISNUMBER(RU_Clean!AF49),ISNUMBER(RU_Clean!AF37)),(RU_Clean!AF49-RU_Clean!AF37)/RU_Clean!AF37*100,"")</f>
        <v>4.51063829787234</v>
      </c>
      <c r="AG49" s="12">
        <f>IF(AND(ISNUMBER(RU_Clean!AG49),ISNUMBER(RU_Clean!AG37)),(RU_Clean!AG49-RU_Clean!AG37)/RU_Clean!AG37*100,"")</f>
        <v>4.3859649122807</v>
      </c>
      <c r="AH49" s="12">
        <f>IF(AND(ISNUMBER(RU_Clean!AH49),ISNUMBER(RU_Clean!AH37)),(RU_Clean!AH49-RU_Clean!AH37)/RU_Clean!AH37*100,"")</f>
        <v>6.54835963591119</v>
      </c>
    </row>
    <row r="50" spans="1:34">
      <c r="A50" s="6">
        <f>RU_Clean!A50</f>
        <v>2016</v>
      </c>
      <c r="B50" s="6">
        <f>RU_Clean!B50</f>
        <v>10</v>
      </c>
      <c r="C50" s="6" t="str">
        <f>RU_Clean!C50</f>
        <v>October</v>
      </c>
      <c r="D50" s="9">
        <f>RU_Clean!D50</f>
        <v>42644</v>
      </c>
      <c r="E50" s="6"/>
      <c r="F50" s="6"/>
      <c r="G50" s="12">
        <f>IF(AND(ISNUMBER(RU_Clean!G50),ISNUMBER(RU_Clean!G38)),(RU_Clean!G50-RU_Clean!G38)/RU_Clean!G38*100,"")</f>
        <v>4.4</v>
      </c>
      <c r="H50" s="12">
        <f>IF(AND(ISNUMBER(RU_Clean!H50),ISNUMBER(RU_Clean!H38)),(RU_Clean!H50-RU_Clean!H38)/RU_Clean!H38*100,"")</f>
        <v>6.24036979969183</v>
      </c>
      <c r="I50" s="12">
        <f>IF(AND(ISNUMBER(RU_Clean!I50),ISNUMBER(RU_Clean!I38)),(RU_Clean!I50-RU_Clean!I38)/RU_Clean!I38*100,"")</f>
        <v>9.50378469301933</v>
      </c>
      <c r="J50" s="12">
        <f>IF(AND(ISNUMBER(RU_Clean!J50),ISNUMBER(RU_Clean!J38)),(RU_Clean!J50-RU_Clean!J38)/RU_Clean!J38*100,"")</f>
        <v>4.41518202943456</v>
      </c>
      <c r="K50" s="12">
        <f>IF(AND(ISNUMBER(RU_Clean!K50),ISNUMBER(RU_Clean!K38)),(RU_Clean!K50-RU_Clean!K38)/RU_Clean!K38*100,"")</f>
        <v>3.97175639894086</v>
      </c>
      <c r="L50" s="12">
        <f>IF(AND(ISNUMBER(RU_Clean!L50),ISNUMBER(RU_Clean!L38)),(RU_Clean!L50-RU_Clean!L38)/RU_Clean!L38*100,"")</f>
        <v>4.41860465116278</v>
      </c>
      <c r="M50" s="12">
        <f>IF(AND(ISNUMBER(RU_Clean!M50),ISNUMBER(RU_Clean!M38)),(RU_Clean!M50-RU_Clean!M38)/RU_Clean!M38*100,"")</f>
        <v>-5.73566084788031</v>
      </c>
      <c r="N50" s="12">
        <f>IF(AND(ISNUMBER(RU_Clean!N50),ISNUMBER(RU_Clean!N38)),(RU_Clean!N50-RU_Clean!N38)/RU_Clean!N38*100,"")</f>
        <v>4.11373260738051</v>
      </c>
      <c r="O50" s="12">
        <f>IF(AND(ISNUMBER(RU_Clean!O50),ISNUMBER(RU_Clean!O38)),(RU_Clean!O50-RU_Clean!O38)/RU_Clean!O38*100,"")</f>
        <v>23.6186348862405</v>
      </c>
      <c r="P50" s="12">
        <f>IF(AND(ISNUMBER(RU_Clean!P50),ISNUMBER(RU_Clean!P38)),(RU_Clean!P50-RU_Clean!P38)/RU_Clean!P38*100,"")</f>
        <v>7.40169622205091</v>
      </c>
      <c r="Q50" s="12">
        <f>IF(AND(ISNUMBER(RU_Clean!Q50),ISNUMBER(RU_Clean!Q38)),(RU_Clean!Q50-RU_Clean!Q38)/RU_Clean!Q38*100,"")</f>
        <v>4.12881915772089</v>
      </c>
      <c r="R50" s="12">
        <f>IF(AND(ISNUMBER(RU_Clean!R50),ISNUMBER(RU_Clean!R38)),(RU_Clean!R50-RU_Clean!R38)/RU_Clean!R38*100,"")</f>
        <v>6.09022556390977</v>
      </c>
      <c r="S50" s="12">
        <f>IF(AND(ISNUMBER(RU_Clean!S50),ISNUMBER(RU_Clean!S38)),(RU_Clean!S50-RU_Clean!S38)/RU_Clean!S38*100,"")</f>
        <v>3.70931112793339</v>
      </c>
      <c r="T50" s="12">
        <f>IF(AND(ISNUMBER(RU_Clean!T50),ISNUMBER(RU_Clean!T38)),(RU_Clean!T50-RU_Clean!T38)/RU_Clean!T38*100,"")</f>
        <v>7.01886792452831</v>
      </c>
      <c r="U50" s="12">
        <f>IF(AND(ISNUMBER(RU_Clean!U50),ISNUMBER(RU_Clean!U38)),(RU_Clean!U50-RU_Clean!U38)/RU_Clean!U38*100,"")</f>
        <v>5.44747081712062</v>
      </c>
      <c r="V50" s="12">
        <f>IF(AND(ISNUMBER(RU_Clean!V50),ISNUMBER(RU_Clean!V38)),(RU_Clean!V50-RU_Clean!V38)/RU_Clean!V38*100,"")</f>
        <v>4.281098546042</v>
      </c>
      <c r="W50" s="12">
        <f>IF(AND(ISNUMBER(RU_Clean!W50),ISNUMBER(RU_Clean!W38)),(RU_Clean!W50-RU_Clean!W38)/RU_Clean!W38*100,"")</f>
        <v>5.24256651017215</v>
      </c>
      <c r="X50" s="12">
        <f>IF(AND(ISNUMBER(RU_Clean!X50),ISNUMBER(RU_Clean!X38)),(RU_Clean!X50-RU_Clean!X38)/RU_Clean!X38*100,"")</f>
        <v>5.1470588235294</v>
      </c>
      <c r="Y50" s="12">
        <f>IF(AND(ISNUMBER(RU_Clean!Y50),ISNUMBER(RU_Clean!Y38)),(RU_Clean!Y50-RU_Clean!Y38)/RU_Clean!Y38*100,"")</f>
        <v>2.89735099337748</v>
      </c>
      <c r="Z50" s="12">
        <f>IF(AND(ISNUMBER(RU_Clean!Z50),ISNUMBER(RU_Clean!Z38)),(RU_Clean!Z50-RU_Clean!Z38)/RU_Clean!Z38*100,"")</f>
        <v>4.39024390243903</v>
      </c>
      <c r="AA50" s="12">
        <f>IF(AND(ISNUMBER(RU_Clean!AA50),ISNUMBER(RU_Clean!AA38)),(RU_Clean!AA50-RU_Clean!AA38)/RU_Clean!AA38*100,"")</f>
        <v>4.73421926910298</v>
      </c>
      <c r="AB50" s="12">
        <f>IF(AND(ISNUMBER(RU_Clean!AB50),ISNUMBER(RU_Clean!AB38)),(RU_Clean!AB50-RU_Clean!AB38)/RU_Clean!AB38*100,"")</f>
        <v>3.41113105924596</v>
      </c>
      <c r="AC50" s="12">
        <f>IF(AND(ISNUMBER(RU_Clean!AC50),ISNUMBER(RU_Clean!AC38)),(RU_Clean!AC50-RU_Clean!AC38)/RU_Clean!AC38*100,"")</f>
        <v>4.04380791912384</v>
      </c>
      <c r="AD50" s="12">
        <f>IF(AND(ISNUMBER(RU_Clean!AD50),ISNUMBER(RU_Clean!AD38)),(RU_Clean!AD50-RU_Clean!AD38)/RU_Clean!AD38*100,"")</f>
        <v>5.16282764098491</v>
      </c>
      <c r="AE50" s="12">
        <f>IF(AND(ISNUMBER(RU_Clean!AE50),ISNUMBER(RU_Clean!AE38)),(RU_Clean!AE50-RU_Clean!AE38)/RU_Clean!AE38*100,"")</f>
        <v>7.19929762949955</v>
      </c>
      <c r="AF50" s="12">
        <f>IF(AND(ISNUMBER(RU_Clean!AF50),ISNUMBER(RU_Clean!AF38)),(RU_Clean!AF50-RU_Clean!AF38)/RU_Clean!AF38*100,"")</f>
        <v>4.66497031382528</v>
      </c>
      <c r="AG50" s="12">
        <f>IF(AND(ISNUMBER(RU_Clean!AG50),ISNUMBER(RU_Clean!AG38)),(RU_Clean!AG50-RU_Clean!AG38)/RU_Clean!AG38*100,"")</f>
        <v>4.20301348136401</v>
      </c>
      <c r="AH50" s="12">
        <f>IF(AND(ISNUMBER(RU_Clean!AH50),ISNUMBER(RU_Clean!AH38)),(RU_Clean!AH50-RU_Clean!AH38)/RU_Clean!AH38*100,"")</f>
        <v>5.35910530738895</v>
      </c>
    </row>
    <row r="51" spans="1:34">
      <c r="A51" s="6">
        <f>RU_Clean!A51</f>
        <v>2016</v>
      </c>
      <c r="B51" s="6">
        <f>RU_Clean!B51</f>
        <v>11</v>
      </c>
      <c r="C51" s="6" t="str">
        <f>RU_Clean!C51</f>
        <v>November</v>
      </c>
      <c r="D51" s="9">
        <f>RU_Clean!D51</f>
        <v>42675</v>
      </c>
      <c r="E51" s="6"/>
      <c r="F51" s="6"/>
      <c r="G51" s="12">
        <f>IF(AND(ISNUMBER(RU_Clean!G51),ISNUMBER(RU_Clean!G39)),(RU_Clean!G51-RU_Clean!G39)/RU_Clean!G39*100,"")</f>
        <v>4.78468899521531</v>
      </c>
      <c r="H51" s="12">
        <f>IF(AND(ISNUMBER(RU_Clean!H51),ISNUMBER(RU_Clean!H39)),(RU_Clean!H51-RU_Clean!H39)/RU_Clean!H39*100,"")</f>
        <v>5.75594781273983</v>
      </c>
      <c r="I51" s="12">
        <f>IF(AND(ISNUMBER(RU_Clean!I51),ISNUMBER(RU_Clean!I39)),(RU_Clean!I51-RU_Clean!I39)/RU_Clean!I39*100,"")</f>
        <v>8.55263157894737</v>
      </c>
      <c r="J51" s="12">
        <f>IF(AND(ISNUMBER(RU_Clean!J51),ISNUMBER(RU_Clean!J39)),(RU_Clean!J51-RU_Clean!J39)/RU_Clean!J39*100,"")</f>
        <v>4.48916408668732</v>
      </c>
      <c r="K51" s="12">
        <f>IF(AND(ISNUMBER(RU_Clean!K51),ISNUMBER(RU_Clean!K39)),(RU_Clean!K51-RU_Clean!K39)/RU_Clean!K39*100,"")</f>
        <v>2.69799825935596</v>
      </c>
      <c r="L51" s="12">
        <f>IF(AND(ISNUMBER(RU_Clean!L51),ISNUMBER(RU_Clean!L39)),(RU_Clean!L51-RU_Clean!L39)/RU_Clean!L39*100,"")</f>
        <v>4.6021840873635</v>
      </c>
      <c r="M51" s="12">
        <f>IF(AND(ISNUMBER(RU_Clean!M51),ISNUMBER(RU_Clean!M39)),(RU_Clean!M51-RU_Clean!M39)/RU_Clean!M39*100,"")</f>
        <v>-10.4166666666667</v>
      </c>
      <c r="N51" s="12">
        <f>IF(AND(ISNUMBER(RU_Clean!N51),ISNUMBER(RU_Clean!N39)),(RU_Clean!N51-RU_Clean!N39)/RU_Clean!N39*100,"")</f>
        <v>0.292056074766355</v>
      </c>
      <c r="O51" s="12">
        <f>IF(AND(ISNUMBER(RU_Clean!O51),ISNUMBER(RU_Clean!O39)),(RU_Clean!O51-RU_Clean!O39)/RU_Clean!O39*100,"")</f>
        <v>22.2936763129689</v>
      </c>
      <c r="P51" s="12">
        <f>IF(AND(ISNUMBER(RU_Clean!P51),ISNUMBER(RU_Clean!P39)),(RU_Clean!P51-RU_Clean!P39)/RU_Clean!P39*100,"")</f>
        <v>6.47865853658537</v>
      </c>
      <c r="Q51" s="12">
        <f>IF(AND(ISNUMBER(RU_Clean!Q51),ISNUMBER(RU_Clean!Q39)),(RU_Clean!Q51-RU_Clean!Q39)/RU_Clean!Q39*100,"")</f>
        <v>3.69761709120789</v>
      </c>
      <c r="R51" s="12">
        <f>IF(AND(ISNUMBER(RU_Clean!R51),ISNUMBER(RU_Clean!R39)),(RU_Clean!R51-RU_Clean!R39)/RU_Clean!R39*100,"")</f>
        <v>5.82089552238807</v>
      </c>
      <c r="S51" s="12">
        <f>IF(AND(ISNUMBER(RU_Clean!S51),ISNUMBER(RU_Clean!S39)),(RU_Clean!S51-RU_Clean!S39)/RU_Clean!S39*100,"")</f>
        <v>2.5621703089676</v>
      </c>
      <c r="T51" s="12">
        <f>IF(AND(ISNUMBER(RU_Clean!T51),ISNUMBER(RU_Clean!T39)),(RU_Clean!T51-RU_Clean!T39)/RU_Clean!T39*100,"")</f>
        <v>6.2874251497006</v>
      </c>
      <c r="U51" s="12">
        <f>IF(AND(ISNUMBER(RU_Clean!U51),ISNUMBER(RU_Clean!U39)),(RU_Clean!U51-RU_Clean!U39)/RU_Clean!U39*100,"")</f>
        <v>5.02706883217324</v>
      </c>
      <c r="V51" s="12">
        <f>IF(AND(ISNUMBER(RU_Clean!V51),ISNUMBER(RU_Clean!V39)),(RU_Clean!V51-RU_Clean!V39)/RU_Clean!V39*100,"")</f>
        <v>3.855421686747</v>
      </c>
      <c r="W51" s="12">
        <f>IF(AND(ISNUMBER(RU_Clean!W51),ISNUMBER(RU_Clean!W39)),(RU_Clean!W51-RU_Clean!W39)/RU_Clean!W39*100,"")</f>
        <v>4.97667185069985</v>
      </c>
      <c r="X51" s="12">
        <f>IF(AND(ISNUMBER(RU_Clean!X51),ISNUMBER(RU_Clean!X39)),(RU_Clean!X51-RU_Clean!X39)/RU_Clean!X39*100,"")</f>
        <v>5.0447518307567</v>
      </c>
      <c r="Y51" s="12">
        <f>IF(AND(ISNUMBER(RU_Clean!Y51),ISNUMBER(RU_Clean!Y39)),(RU_Clean!Y51-RU_Clean!Y39)/RU_Clean!Y39*100,"")</f>
        <v>2.79605263157895</v>
      </c>
      <c r="Z51" s="12">
        <f>IF(AND(ISNUMBER(RU_Clean!Z51),ISNUMBER(RU_Clean!Z39)),(RU_Clean!Z51-RU_Clean!Z39)/RU_Clean!Z39*100,"")</f>
        <v>4.21393841166936</v>
      </c>
      <c r="AA51" s="12">
        <f>IF(AND(ISNUMBER(RU_Clean!AA51),ISNUMBER(RU_Clean!AA39)),(RU_Clean!AA51-RU_Clean!AA39)/RU_Clean!AA39*100,"")</f>
        <v>4.54921422663358</v>
      </c>
      <c r="AB51" s="12">
        <f>IF(AND(ISNUMBER(RU_Clean!AB51),ISNUMBER(RU_Clean!AB39)),(RU_Clean!AB51-RU_Clean!AB39)/RU_Clean!AB39*100,"")</f>
        <v>3.76681614349776</v>
      </c>
      <c r="AC51" s="12">
        <f>IF(AND(ISNUMBER(RU_Clean!AC51),ISNUMBER(RU_Clean!AC39)),(RU_Clean!AC51-RU_Clean!AC39)/RU_Clean!AC39*100,"")</f>
        <v>4.02684563758389</v>
      </c>
      <c r="AD51" s="12">
        <f>IF(AND(ISNUMBER(RU_Clean!AD51),ISNUMBER(RU_Clean!AD39)),(RU_Clean!AD51-RU_Clean!AD39)/RU_Clean!AD39*100,"")</f>
        <v>5.14647664291371</v>
      </c>
      <c r="AE51" s="12">
        <f>IF(AND(ISNUMBER(RU_Clean!AE51),ISNUMBER(RU_Clean!AE39)),(RU_Clean!AE51-RU_Clean!AE39)/RU_Clean!AE39*100,"")</f>
        <v>7.73286467486819</v>
      </c>
      <c r="AF51" s="12">
        <f>IF(AND(ISNUMBER(RU_Clean!AF51),ISNUMBER(RU_Clean!AF39)),(RU_Clean!AF51-RU_Clean!AF39)/RU_Clean!AF39*100,"")</f>
        <v>4.8264182895851</v>
      </c>
      <c r="AG51" s="12">
        <f>IF(AND(ISNUMBER(RU_Clean!AG51),ISNUMBER(RU_Clean!AG39)),(RU_Clean!AG51-RU_Clean!AG39)/RU_Clean!AG39*100,"")</f>
        <v>3.63349131121643</v>
      </c>
      <c r="AH51" s="12">
        <f>IF(AND(ISNUMBER(RU_Clean!AH51),ISNUMBER(RU_Clean!AH39)),(RU_Clean!AH51-RU_Clean!AH39)/RU_Clean!AH39*100,"")</f>
        <v>4.12338078748238</v>
      </c>
    </row>
    <row r="52" spans="1:34">
      <c r="A52" s="6">
        <f>RU_Clean!A52</f>
        <v>2016</v>
      </c>
      <c r="B52" s="6">
        <f>RU_Clean!B52</f>
        <v>12</v>
      </c>
      <c r="C52" s="6" t="str">
        <f>RU_Clean!C52</f>
        <v>December</v>
      </c>
      <c r="D52" s="9">
        <f>RU_Clean!D52</f>
        <v>42705</v>
      </c>
      <c r="E52" s="6"/>
      <c r="F52" s="6"/>
      <c r="G52" s="12">
        <f>IF(AND(ISNUMBER(RU_Clean!G52),ISNUMBER(RU_Clean!G40)),(RU_Clean!G52-RU_Clean!G40)/RU_Clean!G40*100,"")</f>
        <v>5.25059665871122</v>
      </c>
      <c r="H52" s="12">
        <f>IF(AND(ISNUMBER(RU_Clean!H52),ISNUMBER(RU_Clean!H40)),(RU_Clean!H52-RU_Clean!H40)/RU_Clean!H40*100,"")</f>
        <v>4.71841704718416</v>
      </c>
      <c r="I52" s="12">
        <f>IF(AND(ISNUMBER(RU_Clean!I52),ISNUMBER(RU_Clean!I40)),(RU_Clean!I52-RU_Clean!I40)/RU_Clean!I40*100,"")</f>
        <v>6.49038461538462</v>
      </c>
      <c r="J52" s="12">
        <f>IF(AND(ISNUMBER(RU_Clean!J52),ISNUMBER(RU_Clean!J40)),(RU_Clean!J52-RU_Clean!J40)/RU_Clean!J40*100,"")</f>
        <v>4.4049459041731</v>
      </c>
      <c r="K52" s="12">
        <f>IF(AND(ISNUMBER(RU_Clean!K52),ISNUMBER(RU_Clean!K40)),(RU_Clean!K52-RU_Clean!K40)/RU_Clean!K40*100,"")</f>
        <v>2.8620988725065</v>
      </c>
      <c r="L52" s="12">
        <f>IF(AND(ISNUMBER(RU_Clean!L52),ISNUMBER(RU_Clean!L40)),(RU_Clean!L52-RU_Clean!L40)/RU_Clean!L40*100,"")</f>
        <v>4.81832543443917</v>
      </c>
      <c r="M52" s="12">
        <f>IF(AND(ISNUMBER(RU_Clean!M52),ISNUMBER(RU_Clean!M40)),(RU_Clean!M52-RU_Clean!M40)/RU_Clean!M40*100,"")</f>
        <v>-14.587593728698</v>
      </c>
      <c r="N52" s="12">
        <f>IF(AND(ISNUMBER(RU_Clean!N52),ISNUMBER(RU_Clean!N40)),(RU_Clean!N52-RU_Clean!N40)/RU_Clean!N40*100,"")</f>
        <v>-1.6326530612245</v>
      </c>
      <c r="O52" s="12">
        <f>IF(AND(ISNUMBER(RU_Clean!O52),ISNUMBER(RU_Clean!O40)),(RU_Clean!O52-RU_Clean!O40)/RU_Clean!O40*100,"")</f>
        <v>21.0582010582011</v>
      </c>
      <c r="P52" s="12">
        <f>IF(AND(ISNUMBER(RU_Clean!P52),ISNUMBER(RU_Clean!P40)),(RU_Clean!P52-RU_Clean!P40)/RU_Clean!P40*100,"")</f>
        <v>6.13171839515518</v>
      </c>
      <c r="Q52" s="12">
        <f>IF(AND(ISNUMBER(RU_Clean!Q52),ISNUMBER(RU_Clean!Q40)),(RU_Clean!Q52-RU_Clean!Q40)/RU_Clean!Q40*100,"")</f>
        <v>3.77049180327868</v>
      </c>
      <c r="R52" s="12">
        <f>IF(AND(ISNUMBER(RU_Clean!R52),ISNUMBER(RU_Clean!R40)),(RU_Clean!R52-RU_Clean!R40)/RU_Clean!R40*100,"")</f>
        <v>5.64216778025243</v>
      </c>
      <c r="S52" s="12">
        <f>IF(AND(ISNUMBER(RU_Clean!S52),ISNUMBER(RU_Clean!S40)),(RU_Clean!S52-RU_Clean!S40)/RU_Clean!S40*100,"")</f>
        <v>1.97869101978691</v>
      </c>
      <c r="T52" s="12">
        <f>IF(AND(ISNUMBER(RU_Clean!T52),ISNUMBER(RU_Clean!T40)),(RU_Clean!T52-RU_Clean!T40)/RU_Clean!T40*100,"")</f>
        <v>6.39405204460966</v>
      </c>
      <c r="U52" s="12">
        <f>IF(AND(ISNUMBER(RU_Clean!U52),ISNUMBER(RU_Clean!U40)),(RU_Clean!U52-RU_Clean!U40)/RU_Clean!U40*100,"")</f>
        <v>5.08866615266</v>
      </c>
      <c r="V52" s="12">
        <f>IF(AND(ISNUMBER(RU_Clean!V52),ISNUMBER(RU_Clean!V40)),(RU_Clean!V52-RU_Clean!V40)/RU_Clean!V40*100,"")</f>
        <v>4.00641025641027</v>
      </c>
      <c r="W52" s="12">
        <f>IF(AND(ISNUMBER(RU_Clean!W52),ISNUMBER(RU_Clean!W40)),(RU_Clean!W52-RU_Clean!W40)/RU_Clean!W40*100,"")</f>
        <v>4.96124031007752</v>
      </c>
      <c r="X52" s="12">
        <f>IF(AND(ISNUMBER(RU_Clean!X52),ISNUMBER(RU_Clean!X40)),(RU_Clean!X52-RU_Clean!X40)/RU_Clean!X40*100,"")</f>
        <v>4.98366013071895</v>
      </c>
      <c r="Y52" s="12">
        <f>IF(AND(ISNUMBER(RU_Clean!Y52),ISNUMBER(RU_Clean!Y40)),(RU_Clean!Y52-RU_Clean!Y40)/RU_Clean!Y40*100,"")</f>
        <v>3.77049180327868</v>
      </c>
      <c r="Z52" s="12">
        <f>IF(AND(ISNUMBER(RU_Clean!Z52),ISNUMBER(RU_Clean!Z40)),(RU_Clean!Z52-RU_Clean!Z40)/RU_Clean!Z40*100,"")</f>
        <v>4.53074433656957</v>
      </c>
      <c r="AA52" s="12">
        <f>IF(AND(ISNUMBER(RU_Clean!AA52),ISNUMBER(RU_Clean!AA40)),(RU_Clean!AA52-RU_Clean!AA40)/RU_Clean!AA40*100,"")</f>
        <v>4.53047775947282</v>
      </c>
      <c r="AB52" s="12">
        <f>IF(AND(ISNUMBER(RU_Clean!AB52),ISNUMBER(RU_Clean!AB40)),(RU_Clean!AB52-RU_Clean!AB40)/RU_Clean!AB40*100,"")</f>
        <v>4.03587443946188</v>
      </c>
      <c r="AC52" s="12">
        <f>IF(AND(ISNUMBER(RU_Clean!AC52),ISNUMBER(RU_Clean!AC40)),(RU_Clean!AC52-RU_Clean!AC40)/RU_Clean!AC40*100,"")</f>
        <v>3.84615384615385</v>
      </c>
      <c r="AD52" s="12">
        <f>IF(AND(ISNUMBER(RU_Clean!AD52),ISNUMBER(RU_Clean!AD40)),(RU_Clean!AD52-RU_Clean!AD40)/RU_Clean!AD40*100,"")</f>
        <v>5.4675118858954</v>
      </c>
      <c r="AE52" s="12">
        <f>IF(AND(ISNUMBER(RU_Clean!AE52),ISNUMBER(RU_Clean!AE40)),(RU_Clean!AE52-RU_Clean!AE40)/RU_Clean!AE40*100,"")</f>
        <v>6.50835532102022</v>
      </c>
      <c r="AF52" s="12">
        <f>IF(AND(ISNUMBER(RU_Clean!AF52),ISNUMBER(RU_Clean!AF40)),(RU_Clean!AF52-RU_Clean!AF40)/RU_Clean!AF40*100,"")</f>
        <v>4.73372781065089</v>
      </c>
      <c r="AG52" s="12">
        <f>IF(AND(ISNUMBER(RU_Clean!AG52),ISNUMBER(RU_Clean!AG40)),(RU_Clean!AG52-RU_Clean!AG40)/RU_Clean!AG40*100,"")</f>
        <v>3.40999206978589</v>
      </c>
      <c r="AH52" s="12">
        <f>IF(AND(ISNUMBER(RU_Clean!AH52),ISNUMBER(RU_Clean!AH40)),(RU_Clean!AH52-RU_Clean!AH40)/RU_Clean!AH40*100,"")</f>
        <v>3.34469672605647</v>
      </c>
    </row>
    <row r="53" spans="1:34">
      <c r="A53" s="6">
        <f>RU_Clean!A53</f>
        <v>2017</v>
      </c>
      <c r="B53" s="6">
        <f>RU_Clean!B53</f>
        <v>1</v>
      </c>
      <c r="C53" s="6" t="str">
        <f>RU_Clean!C53</f>
        <v>January</v>
      </c>
      <c r="D53" s="9">
        <f>RU_Clean!D53</f>
        <v>42736</v>
      </c>
      <c r="E53" s="6"/>
      <c r="F53" s="6"/>
      <c r="G53" s="12">
        <f>IF(AND(ISNUMBER(RU_Clean!G53),ISNUMBER(RU_Clean!G41)),(RU_Clean!G53-RU_Clean!G41)/RU_Clean!G41*100,"")</f>
        <v>5.31324345757337</v>
      </c>
      <c r="H53" s="12">
        <f>IF(AND(ISNUMBER(RU_Clean!H53),ISNUMBER(RU_Clean!H41)),(RU_Clean!H53-RU_Clean!H41)/RU_Clean!H41*100,"")</f>
        <v>3.05741983594332</v>
      </c>
      <c r="I53" s="12">
        <f>IF(AND(ISNUMBER(RU_Clean!I53),ISNUMBER(RU_Clean!I41)),(RU_Clean!I53-RU_Clean!I41)/RU_Clean!I41*100,"")</f>
        <v>2.79937791601866</v>
      </c>
      <c r="J53" s="12">
        <f>IF(AND(ISNUMBER(RU_Clean!J53),ISNUMBER(RU_Clean!J41)),(RU_Clean!J53-RU_Clean!J41)/RU_Clean!J41*100,"")</f>
        <v>4.23402617397998</v>
      </c>
      <c r="K53" s="12">
        <f>IF(AND(ISNUMBER(RU_Clean!K53),ISNUMBER(RU_Clean!K41)),(RU_Clean!K53-RU_Clean!K41)/RU_Clean!K41*100,"")</f>
        <v>3.11688311688311</v>
      </c>
      <c r="L53" s="12">
        <f>IF(AND(ISNUMBER(RU_Clean!L53),ISNUMBER(RU_Clean!L41)),(RU_Clean!L53-RU_Clean!L41)/RU_Clean!L41*100,"")</f>
        <v>5.80747812251392</v>
      </c>
      <c r="M53" s="12">
        <f>IF(AND(ISNUMBER(RU_Clean!M53),ISNUMBER(RU_Clean!M41)),(RU_Clean!M53-RU_Clean!M41)/RU_Clean!M41*100,"")</f>
        <v>-15.6183745583039</v>
      </c>
      <c r="N53" s="12">
        <f>IF(AND(ISNUMBER(RU_Clean!N53),ISNUMBER(RU_Clean!N41)),(RU_Clean!N53-RU_Clean!N41)/RU_Clean!N41*100,"")</f>
        <v>-6.56121851200937</v>
      </c>
      <c r="O53" s="12">
        <f>IF(AND(ISNUMBER(RU_Clean!O53),ISNUMBER(RU_Clean!O41)),(RU_Clean!O53-RU_Clean!O41)/RU_Clean!O41*100,"")</f>
        <v>18.6858316221766</v>
      </c>
      <c r="P53" s="12">
        <f>IF(AND(ISNUMBER(RU_Clean!P53),ISNUMBER(RU_Clean!P41)),(RU_Clean!P53-RU_Clean!P41)/RU_Clean!P41*100,"")</f>
        <v>5.04138449962377</v>
      </c>
      <c r="Q53" s="12">
        <f>IF(AND(ISNUMBER(RU_Clean!Q53),ISNUMBER(RU_Clean!Q41)),(RU_Clean!Q53-RU_Clean!Q41)/RU_Clean!Q41*100,"")</f>
        <v>3.17848410757946</v>
      </c>
      <c r="R53" s="12">
        <f>IF(AND(ISNUMBER(RU_Clean!R53),ISNUMBER(RU_Clean!R41)),(RU_Clean!R53-RU_Clean!R41)/RU_Clean!R41*100,"")</f>
        <v>5.54323725055432</v>
      </c>
      <c r="S53" s="12">
        <f>IF(AND(ISNUMBER(RU_Clean!S53),ISNUMBER(RU_Clean!S41)),(RU_Clean!S53-RU_Clean!S41)/RU_Clean!S41*100,"")</f>
        <v>1.37090632140136</v>
      </c>
      <c r="T53" s="12">
        <f>IF(AND(ISNUMBER(RU_Clean!T53),ISNUMBER(RU_Clean!T41)),(RU_Clean!T53-RU_Clean!T41)/RU_Clean!T41*100,"")</f>
        <v>6.36094674556215</v>
      </c>
      <c r="U53" s="12">
        <f>IF(AND(ISNUMBER(RU_Clean!U53),ISNUMBER(RU_Clean!U41)),(RU_Clean!U53-RU_Clean!U41)/RU_Clean!U41*100,"")</f>
        <v>4.83499616270144</v>
      </c>
      <c r="V53" s="12">
        <f>IF(AND(ISNUMBER(RU_Clean!V53),ISNUMBER(RU_Clean!V41)),(RU_Clean!V53-RU_Clean!V41)/RU_Clean!V41*100,"")</f>
        <v>4.0767386091127</v>
      </c>
      <c r="W53" s="12">
        <f>IF(AND(ISNUMBER(RU_Clean!W53),ISNUMBER(RU_Clean!W41)),(RU_Clean!W53-RU_Clean!W41)/RU_Clean!W41*100,"")</f>
        <v>4.71042471042471</v>
      </c>
      <c r="X53" s="12">
        <f>IF(AND(ISNUMBER(RU_Clean!X53),ISNUMBER(RU_Clean!X41)),(RU_Clean!X53-RU_Clean!X41)/RU_Clean!X41*100,"")</f>
        <v>5.02431118314424</v>
      </c>
      <c r="Y53" s="12">
        <f>IF(AND(ISNUMBER(RU_Clean!Y53),ISNUMBER(RU_Clean!Y41)),(RU_Clean!Y53-RU_Clean!Y41)/RU_Clean!Y41*100,"")</f>
        <v>3.34148329258353</v>
      </c>
      <c r="Z53" s="12">
        <f>IF(AND(ISNUMBER(RU_Clean!Z53),ISNUMBER(RU_Clean!Z41)),(RU_Clean!Z53-RU_Clean!Z41)/RU_Clean!Z41*100,"")</f>
        <v>4.18679549114332</v>
      </c>
      <c r="AA53" s="12">
        <f>IF(AND(ISNUMBER(RU_Clean!AA53),ISNUMBER(RU_Clean!AA41)),(RU_Clean!AA53-RU_Clean!AA41)/RU_Clean!AA41*100,"")</f>
        <v>4.18032786885245</v>
      </c>
      <c r="AB53" s="12">
        <f>IF(AND(ISNUMBER(RU_Clean!AB53),ISNUMBER(RU_Clean!AB41)),(RU_Clean!AB53-RU_Clean!AB41)/RU_Clean!AB41*100,"")</f>
        <v>5.31053105310532</v>
      </c>
      <c r="AC53" s="12">
        <f>IF(AND(ISNUMBER(RU_Clean!AC53),ISNUMBER(RU_Clean!AC41)),(RU_Clean!AC53-RU_Clean!AC41)/RU_Clean!AC41*100,"")</f>
        <v>3.67278797996662</v>
      </c>
      <c r="AD53" s="12">
        <f>IF(AND(ISNUMBER(RU_Clean!AD53),ISNUMBER(RU_Clean!AD41)),(RU_Clean!AD53-RU_Clean!AD41)/RU_Clean!AD41*100,"")</f>
        <v>5.54235946159938</v>
      </c>
      <c r="AE53" s="12">
        <f>IF(AND(ISNUMBER(RU_Clean!AE53),ISNUMBER(RU_Clean!AE41)),(RU_Clean!AE53-RU_Clean!AE41)/RU_Clean!AE41*100,"")</f>
        <v>6.2882096069869</v>
      </c>
      <c r="AF53" s="12">
        <f>IF(AND(ISNUMBER(RU_Clean!AF53),ISNUMBER(RU_Clean!AF41)),(RU_Clean!AF53-RU_Clean!AF41)/RU_Clean!AF41*100,"")</f>
        <v>4.9789029535865</v>
      </c>
      <c r="AG53" s="12">
        <f>IF(AND(ISNUMBER(RU_Clean!AG53),ISNUMBER(RU_Clean!AG41)),(RU_Clean!AG53-RU_Clean!AG41)/RU_Clean!AG41*100,"")</f>
        <v>3.16706254948536</v>
      </c>
      <c r="AH53" s="12">
        <f>IF(AND(ISNUMBER(RU_Clean!AH53),ISNUMBER(RU_Clean!AH41)),(RU_Clean!AH53-RU_Clean!AH41)/RU_Clean!AH41*100,"")</f>
        <v>2.16611125352471</v>
      </c>
    </row>
    <row r="54" spans="1:34">
      <c r="A54" s="6">
        <f>RU_Clean!A54</f>
        <v>2017</v>
      </c>
      <c r="B54" s="6">
        <f>RU_Clean!B54</f>
        <v>2</v>
      </c>
      <c r="C54" s="6" t="str">
        <f>RU_Clean!C54</f>
        <v>February</v>
      </c>
      <c r="D54" s="9">
        <f>RU_Clean!D54</f>
        <v>42767</v>
      </c>
      <c r="E54" s="6"/>
      <c r="F54" s="6"/>
      <c r="G54" s="12">
        <f>IF(AND(ISNUMBER(RU_Clean!G54),ISNUMBER(RU_Clean!G42)),(RU_Clean!G54-RU_Clean!G42)/RU_Clean!G42*100,"")</f>
        <v>5.3006329113924</v>
      </c>
      <c r="H54" s="12">
        <f>IF(AND(ISNUMBER(RU_Clean!H54),ISNUMBER(RU_Clean!H42)),(RU_Clean!H54-RU_Clean!H42)/RU_Clean!H42*100,"")</f>
        <v>3.42771982116246</v>
      </c>
      <c r="I54" s="12">
        <f>IF(AND(ISNUMBER(RU_Clean!I54),ISNUMBER(RU_Clean!I42)),(RU_Clean!I54-RU_Clean!I42)/RU_Clean!I42*100,"")</f>
        <v>0.466200466200484</v>
      </c>
      <c r="J54" s="12">
        <f>IF(AND(ISNUMBER(RU_Clean!J54),ISNUMBER(RU_Clean!J42)),(RU_Clean!J54-RU_Clean!J42)/RU_Clean!J42*100,"")</f>
        <v>4.22102839600921</v>
      </c>
      <c r="K54" s="12">
        <f>IF(AND(ISNUMBER(RU_Clean!K54),ISNUMBER(RU_Clean!K42)),(RU_Clean!K54-RU_Clean!K42)/RU_Clean!K42*100,"")</f>
        <v>3.83275261324042</v>
      </c>
      <c r="L54" s="12">
        <f>IF(AND(ISNUMBER(RU_Clean!L54),ISNUMBER(RU_Clean!L42)),(RU_Clean!L54-RU_Clean!L42)/RU_Clean!L42*100,"")</f>
        <v>8.32666132906325</v>
      </c>
      <c r="M54" s="12">
        <f>IF(AND(ISNUMBER(RU_Clean!M54),ISNUMBER(RU_Clean!M42)),(RU_Clean!M54-RU_Clean!M42)/RU_Clean!M42*100,"")</f>
        <v>-8.28856485034536</v>
      </c>
      <c r="N54" s="12">
        <f>IF(AND(ISNUMBER(RU_Clean!N54),ISNUMBER(RU_Clean!N42)),(RU_Clean!N54-RU_Clean!N42)/RU_Clean!N42*100,"")</f>
        <v>-9.08004778972522</v>
      </c>
      <c r="O54" s="12">
        <f>IF(AND(ISNUMBER(RU_Clean!O54),ISNUMBER(RU_Clean!O42)),(RU_Clean!O54-RU_Clean!O42)/RU_Clean!O42*100,"")</f>
        <v>18.7246963562753</v>
      </c>
      <c r="P54" s="12">
        <f>IF(AND(ISNUMBER(RU_Clean!P54),ISNUMBER(RU_Clean!P42)),(RU_Clean!P54-RU_Clean!P42)/RU_Clean!P42*100,"")</f>
        <v>3.81736526946107</v>
      </c>
      <c r="Q54" s="12">
        <f>IF(AND(ISNUMBER(RU_Clean!Q54),ISNUMBER(RU_Clean!Q42)),(RU_Clean!Q54-RU_Clean!Q42)/RU_Clean!Q42*100,"")</f>
        <v>3.17073170731708</v>
      </c>
      <c r="R54" s="12">
        <f>IF(AND(ISNUMBER(RU_Clean!R54),ISNUMBER(RU_Clean!R42)),(RU_Clean!R54-RU_Clean!R42)/RU_Clean!R42*100,"")</f>
        <v>5.44918998527244</v>
      </c>
      <c r="S54" s="12">
        <f>IF(AND(ISNUMBER(RU_Clean!S54),ISNUMBER(RU_Clean!S42)),(RU_Clean!S54-RU_Clean!S42)/RU_Clean!S42*100,"")</f>
        <v>2.38645111624326</v>
      </c>
      <c r="T54" s="12">
        <f>IF(AND(ISNUMBER(RU_Clean!T54),ISNUMBER(RU_Clean!T42)),(RU_Clean!T54-RU_Clean!T42)/RU_Clean!T42*100,"")</f>
        <v>6.25459896983076</v>
      </c>
      <c r="U54" s="12">
        <f>IF(AND(ISNUMBER(RU_Clean!U54),ISNUMBER(RU_Clean!U42)),(RU_Clean!U54-RU_Clean!U42)/RU_Clean!U42*100,"")</f>
        <v>4.50725744843392</v>
      </c>
      <c r="V54" s="12">
        <f>IF(AND(ISNUMBER(RU_Clean!V54),ISNUMBER(RU_Clean!V42)),(RU_Clean!V54-RU_Clean!V42)/RU_Clean!V42*100,"")</f>
        <v>3.577106518283</v>
      </c>
      <c r="W54" s="12">
        <f>IF(AND(ISNUMBER(RU_Clean!W54),ISNUMBER(RU_Clean!W42)),(RU_Clean!W54-RU_Clean!W42)/RU_Clean!W42*100,"")</f>
        <v>4.37788018433181</v>
      </c>
      <c r="X54" s="12">
        <f>IF(AND(ISNUMBER(RU_Clean!X54),ISNUMBER(RU_Clean!X42)),(RU_Clean!X54-RU_Clean!X42)/RU_Clean!X42*100,"")</f>
        <v>4.90353697749196</v>
      </c>
      <c r="Y54" s="12">
        <f>IF(AND(ISNUMBER(RU_Clean!Y54),ISNUMBER(RU_Clean!Y42)),(RU_Clean!Y54-RU_Clean!Y42)/RU_Clean!Y42*100,"")</f>
        <v>3.89926888708368</v>
      </c>
      <c r="Z54" s="12">
        <f>IF(AND(ISNUMBER(RU_Clean!Z54),ISNUMBER(RU_Clean!Z42)),(RU_Clean!Z54-RU_Clean!Z42)/RU_Clean!Z42*100,"")</f>
        <v>4.09309791332263</v>
      </c>
      <c r="AA54" s="12">
        <f>IF(AND(ISNUMBER(RU_Clean!AA54),ISNUMBER(RU_Clean!AA42)),(RU_Clean!AA54-RU_Clean!AA42)/RU_Clean!AA42*100,"")</f>
        <v>4.00000000000001</v>
      </c>
      <c r="AB54" s="12">
        <f>IF(AND(ISNUMBER(RU_Clean!AB54),ISNUMBER(RU_Clean!AB42)),(RU_Clean!AB54-RU_Clean!AB42)/RU_Clean!AB42*100,"")</f>
        <v>5.38599640933573</v>
      </c>
      <c r="AC54" s="12">
        <f>IF(AND(ISNUMBER(RU_Clean!AC54),ISNUMBER(RU_Clean!AC42)),(RU_Clean!AC54-RU_Clean!AC42)/RU_Clean!AC42*100,"")</f>
        <v>3.57439733998337</v>
      </c>
      <c r="AD54" s="12">
        <f>IF(AND(ISNUMBER(RU_Clean!AD54),ISNUMBER(RU_Clean!AD42)),(RU_Clean!AD54-RU_Clean!AD42)/RU_Clean!AD42*100,"")</f>
        <v>5.37124802527647</v>
      </c>
      <c r="AE54" s="12">
        <f>IF(AND(ISNUMBER(RU_Clean!AE54),ISNUMBER(RU_Clean!AE42)),(RU_Clean!AE54-RU_Clean!AE42)/RU_Clean!AE42*100,"")</f>
        <v>5.14579759862779</v>
      </c>
      <c r="AF54" s="12">
        <f>IF(AND(ISNUMBER(RU_Clean!AF54),ISNUMBER(RU_Clean!AF42)),(RU_Clean!AF54-RU_Clean!AF42)/RU_Clean!AF42*100,"")</f>
        <v>4.78589420654912</v>
      </c>
      <c r="AG54" s="12">
        <f>IF(AND(ISNUMBER(RU_Clean!AG54),ISNUMBER(RU_Clean!AG42)),(RU_Clean!AG54-RU_Clean!AG42)/RU_Clean!AG42*100,"")</f>
        <v>3.65079365079365</v>
      </c>
      <c r="AH54" s="12">
        <f>IF(AND(ISNUMBER(RU_Clean!AH54),ISNUMBER(RU_Clean!AH42)),(RU_Clean!AH54-RU_Clean!AH42)/RU_Clean!AH42*100,"")</f>
        <v>2.65469577573959</v>
      </c>
    </row>
    <row r="55" spans="1:34">
      <c r="A55" s="6">
        <f>RU_Clean!A55</f>
        <v>2017</v>
      </c>
      <c r="B55" s="6">
        <f>RU_Clean!B55</f>
        <v>3</v>
      </c>
      <c r="C55" s="6" t="str">
        <f>RU_Clean!C55</f>
        <v>March</v>
      </c>
      <c r="D55" s="9">
        <f>RU_Clean!D55</f>
        <v>42795</v>
      </c>
      <c r="E55" s="6"/>
      <c r="F55" s="6"/>
      <c r="G55" s="12">
        <f>IF(AND(ISNUMBER(RU_Clean!G55),ISNUMBER(RU_Clean!G43)),(RU_Clean!G55-RU_Clean!G43)/RU_Clean!G43*100,"")</f>
        <v>5.37549407114625</v>
      </c>
      <c r="H55" s="12">
        <f>IF(AND(ISNUMBER(RU_Clean!H55),ISNUMBER(RU_Clean!H43)),(RU_Clean!H55-RU_Clean!H43)/RU_Clean!H43*100,"")</f>
        <v>2.88675055514434</v>
      </c>
      <c r="I55" s="12">
        <f>IF(AND(ISNUMBER(RU_Clean!I55),ISNUMBER(RU_Clean!I43)),(RU_Clean!I55-RU_Clean!I43)/RU_Clean!I43*100,"")</f>
        <v>3.21027287319422</v>
      </c>
      <c r="J55" s="12">
        <f>IF(AND(ISNUMBER(RU_Clean!J55),ISNUMBER(RU_Clean!J43)),(RU_Clean!J55-RU_Clean!J43)/RU_Clean!J43*100,"")</f>
        <v>4.68509984639019</v>
      </c>
      <c r="K55" s="12">
        <f>IF(AND(ISNUMBER(RU_Clean!K55),ISNUMBER(RU_Clean!K43)),(RU_Clean!K55-RU_Clean!K43)/RU_Clean!K43*100,"")</f>
        <v>3.75545851528384</v>
      </c>
      <c r="L55" s="12">
        <f>IF(AND(ISNUMBER(RU_Clean!L55),ISNUMBER(RU_Clean!L43)),(RU_Clean!L55-RU_Clean!L43)/RU_Clean!L43*100,"")</f>
        <v>9.5879556259905</v>
      </c>
      <c r="M55" s="12">
        <f>IF(AND(ISNUMBER(RU_Clean!M55),ISNUMBER(RU_Clean!M43)),(RU_Clean!M55-RU_Clean!M43)/RU_Clean!M43*100,"")</f>
        <v>-7.16486902927582</v>
      </c>
      <c r="N55" s="12">
        <f>IF(AND(ISNUMBER(RU_Clean!N55),ISNUMBER(RU_Clean!N43)),(RU_Clean!N55-RU_Clean!N43)/RU_Clean!N43*100,"")</f>
        <v>-12.4163116250761</v>
      </c>
      <c r="O55" s="12">
        <f>IF(AND(ISNUMBER(RU_Clean!O55),ISNUMBER(RU_Clean!O43)),(RU_Clean!O55-RU_Clean!O43)/RU_Clean!O43*100,"")</f>
        <v>16.9474727452924</v>
      </c>
      <c r="P55" s="12">
        <f>IF(AND(ISNUMBER(RU_Clean!P55),ISNUMBER(RU_Clean!P43)),(RU_Clean!P55-RU_Clean!P43)/RU_Clean!P43*100,"")</f>
        <v>2.98730395817774</v>
      </c>
      <c r="Q55" s="12">
        <f>IF(AND(ISNUMBER(RU_Clean!Q55),ISNUMBER(RU_Clean!Q43)),(RU_Clean!Q55-RU_Clean!Q43)/RU_Clean!Q43*100,"")</f>
        <v>3.33062550771731</v>
      </c>
      <c r="R55" s="12">
        <f>IF(AND(ISNUMBER(RU_Clean!R55),ISNUMBER(RU_Clean!R43)),(RU_Clean!R55-RU_Clean!R43)/RU_Clean!R43*100,"")</f>
        <v>5.64930300807042</v>
      </c>
      <c r="S55" s="12">
        <f>IF(AND(ISNUMBER(RU_Clean!S55),ISNUMBER(RU_Clean!S43)),(RU_Clean!S55-RU_Clean!S43)/RU_Clean!S43*100,"")</f>
        <v>2.54237288135592</v>
      </c>
      <c r="T55" s="12">
        <f>IF(AND(ISNUMBER(RU_Clean!T55),ISNUMBER(RU_Clean!T43)),(RU_Clean!T55-RU_Clean!T43)/RU_Clean!T43*100,"")</f>
        <v>6.3003663003663</v>
      </c>
      <c r="U55" s="12">
        <f>IF(AND(ISNUMBER(RU_Clean!U55),ISNUMBER(RU_Clean!U43)),(RU_Clean!U55-RU_Clean!U43)/RU_Clean!U43*100,"")</f>
        <v>4.56968773800457</v>
      </c>
      <c r="V55" s="12">
        <f>IF(AND(ISNUMBER(RU_Clean!V55),ISNUMBER(RU_Clean!V43)),(RU_Clean!V55-RU_Clean!V43)/RU_Clean!V43*100,"")</f>
        <v>3.56859635210151</v>
      </c>
      <c r="W55" s="12">
        <f>IF(AND(ISNUMBER(RU_Clean!W55),ISNUMBER(RU_Clean!W43)),(RU_Clean!W55-RU_Clean!W43)/RU_Clean!W43*100,"")</f>
        <v>4.52107279693487</v>
      </c>
      <c r="X55" s="12">
        <f>IF(AND(ISNUMBER(RU_Clean!X55),ISNUMBER(RU_Clean!X43)),(RU_Clean!X55-RU_Clean!X43)/RU_Clean!X43*100,"")</f>
        <v>4.96397117694154</v>
      </c>
      <c r="Y55" s="12">
        <f>IF(AND(ISNUMBER(RU_Clean!Y55),ISNUMBER(RU_Clean!Y43)),(RU_Clean!Y55-RU_Clean!Y43)/RU_Clean!Y43*100,"")</f>
        <v>5.47385620915032</v>
      </c>
      <c r="Z55" s="12">
        <f>IF(AND(ISNUMBER(RU_Clean!Z55),ISNUMBER(RU_Clean!Z43)),(RU_Clean!Z55-RU_Clean!Z43)/RU_Clean!Z43*100,"")</f>
        <v>3.99680255795364</v>
      </c>
      <c r="AA55" s="12">
        <f>IF(AND(ISNUMBER(RU_Clean!AA55),ISNUMBER(RU_Clean!AA43)),(RU_Clean!AA55-RU_Clean!AA43)/RU_Clean!AA43*100,"")</f>
        <v>3.98698128559804</v>
      </c>
      <c r="AB55" s="12">
        <f>IF(AND(ISNUMBER(RU_Clean!AB55),ISNUMBER(RU_Clean!AB43)),(RU_Clean!AB55-RU_Clean!AB43)/RU_Clean!AB43*100,"")</f>
        <v>6.04147880973849</v>
      </c>
      <c r="AC55" s="12">
        <f>IF(AND(ISNUMBER(RU_Clean!AC55),ISNUMBER(RU_Clean!AC43)),(RU_Clean!AC55-RU_Clean!AC43)/RU_Clean!AC43*100,"")</f>
        <v>3.64842454394694</v>
      </c>
      <c r="AD55" s="12">
        <f>IF(AND(ISNUMBER(RU_Clean!AD55),ISNUMBER(RU_Clean!AD43)),(RU_Clean!AD55-RU_Clean!AD43)/RU_Clean!AD43*100,"")</f>
        <v>5.43735224586289</v>
      </c>
      <c r="AE55" s="12">
        <f>IF(AND(ISNUMBER(RU_Clean!AE55),ISNUMBER(RU_Clean!AE43)),(RU_Clean!AE55-RU_Clean!AE43)/RU_Clean!AE43*100,"")</f>
        <v>4.51832907075874</v>
      </c>
      <c r="AF55" s="12">
        <f>IF(AND(ISNUMBER(RU_Clean!AF55),ISNUMBER(RU_Clean!AF43)),(RU_Clean!AF55-RU_Clean!AF43)/RU_Clean!AF43*100,"")</f>
        <v>4.86169321039396</v>
      </c>
      <c r="AG55" s="12">
        <f>IF(AND(ISNUMBER(RU_Clean!AG55),ISNUMBER(RU_Clean!AG43)),(RU_Clean!AG55-RU_Clean!AG43)/RU_Clean!AG43*100,"")</f>
        <v>3.88888888888889</v>
      </c>
      <c r="AH55" s="12">
        <f>IF(AND(ISNUMBER(RU_Clean!AH55),ISNUMBER(RU_Clean!AH43)),(RU_Clean!AH55-RU_Clean!AH43)/RU_Clean!AH43*100,"")</f>
        <v>2.61420991329106</v>
      </c>
    </row>
    <row r="56" spans="1:34">
      <c r="A56" s="6">
        <f>RU_Clean!A56</f>
        <v>2017</v>
      </c>
      <c r="B56" s="6">
        <f>RU_Clean!B56</f>
        <v>4</v>
      </c>
      <c r="C56" s="6" t="str">
        <f>RU_Clean!C56</f>
        <v>April</v>
      </c>
      <c r="D56" s="9">
        <f>RU_Clean!D56</f>
        <v>42826</v>
      </c>
      <c r="E56" s="6"/>
      <c r="F56" s="6"/>
      <c r="G56" s="12">
        <f>IF(AND(ISNUMBER(RU_Clean!G56),ISNUMBER(RU_Clean!G44)),(RU_Clean!G56-RU_Clean!G44)/RU_Clean!G44*100,"")</f>
        <v>5.05529225908373</v>
      </c>
      <c r="H56" s="12">
        <f>IF(AND(ISNUMBER(RU_Clean!H56),ISNUMBER(RU_Clean!H44)),(RU_Clean!H56-RU_Clean!H44)/RU_Clean!H44*100,"")</f>
        <v>1.90058479532163</v>
      </c>
      <c r="I56" s="12">
        <f>IF(AND(ISNUMBER(RU_Clean!I56),ISNUMBER(RU_Clean!I44)),(RU_Clean!I56-RU_Clean!I44)/RU_Clean!I44*100,"")</f>
        <v>3.36065573770491</v>
      </c>
      <c r="J56" s="12">
        <f>IF(AND(ISNUMBER(RU_Clean!J56),ISNUMBER(RU_Clean!J44)),(RU_Clean!J56-RU_Clean!J44)/RU_Clean!J44*100,"")</f>
        <v>4.81283422459892</v>
      </c>
      <c r="K56" s="12">
        <f>IF(AND(ISNUMBER(RU_Clean!K56),ISNUMBER(RU_Clean!K44)),(RU_Clean!K56-RU_Clean!K44)/RU_Clean!K44*100,"")</f>
        <v>3.13588850174217</v>
      </c>
      <c r="L56" s="12">
        <f>IF(AND(ISNUMBER(RU_Clean!L56),ISNUMBER(RU_Clean!L44)),(RU_Clean!L56-RU_Clean!L44)/RU_Clean!L44*100,"")</f>
        <v>3.7833827893175</v>
      </c>
      <c r="M56" s="12">
        <f>IF(AND(ISNUMBER(RU_Clean!M56),ISNUMBER(RU_Clean!M44)),(RU_Clean!M56-RU_Clean!M44)/RU_Clean!M44*100,"")</f>
        <v>-8.59259259259259</v>
      </c>
      <c r="N56" s="12">
        <f>IF(AND(ISNUMBER(RU_Clean!N56),ISNUMBER(RU_Clean!N44)),(RU_Clean!N56-RU_Clean!N44)/RU_Clean!N44*100,"")</f>
        <v>-15.8805970149254</v>
      </c>
      <c r="O56" s="12">
        <f>IF(AND(ISNUMBER(RU_Clean!O56),ISNUMBER(RU_Clean!O44)),(RU_Clean!O56-RU_Clean!O44)/RU_Clean!O44*100,"")</f>
        <v>11.3721804511278</v>
      </c>
      <c r="P56" s="12">
        <f>IF(AND(ISNUMBER(RU_Clean!P56),ISNUMBER(RU_Clean!P44)),(RU_Clean!P56-RU_Clean!P44)/RU_Clean!P44*100,"")</f>
        <v>1.5625</v>
      </c>
      <c r="Q56" s="12">
        <f>IF(AND(ISNUMBER(RU_Clean!Q56),ISNUMBER(RU_Clean!Q44)),(RU_Clean!Q56-RU_Clean!Q44)/RU_Clean!Q44*100,"")</f>
        <v>3.07443365695794</v>
      </c>
      <c r="R56" s="12">
        <f>IF(AND(ISNUMBER(RU_Clean!R56),ISNUMBER(RU_Clean!R44)),(RU_Clean!R56-RU_Clean!R44)/RU_Clean!R44*100,"")</f>
        <v>5.48646671543526</v>
      </c>
      <c r="S56" s="12">
        <f>IF(AND(ISNUMBER(RU_Clean!S56),ISNUMBER(RU_Clean!S44)),(RU_Clean!S56-RU_Clean!S44)/RU_Clean!S44*100,"")</f>
        <v>1.28983308042488</v>
      </c>
      <c r="T56" s="12">
        <f>IF(AND(ISNUMBER(RU_Clean!T56),ISNUMBER(RU_Clean!T44)),(RU_Clean!T56-RU_Clean!T44)/RU_Clean!T44*100,"")</f>
        <v>6.05397520058352</v>
      </c>
      <c r="U56" s="12">
        <f>IF(AND(ISNUMBER(RU_Clean!U56),ISNUMBER(RU_Clean!U44)),(RU_Clean!U56-RU_Clean!U44)/RU_Clean!U44*100,"")</f>
        <v>4.70409711684369</v>
      </c>
      <c r="V56" s="12">
        <f>IF(AND(ISNUMBER(RU_Clean!V56),ISNUMBER(RU_Clean!V44)),(RU_Clean!V56-RU_Clean!V44)/RU_Clean!V44*100,"")</f>
        <v>3.71835443037974</v>
      </c>
      <c r="W56" s="12">
        <f>IF(AND(ISNUMBER(RU_Clean!W56),ISNUMBER(RU_Clean!W44)),(RU_Clean!W56-RU_Clean!W44)/RU_Clean!W44*100,"")</f>
        <v>4.58015267175572</v>
      </c>
      <c r="X56" s="12">
        <f>IF(AND(ISNUMBER(RU_Clean!X56),ISNUMBER(RU_Clean!X44)),(RU_Clean!X56-RU_Clean!X44)/RU_Clean!X44*100,"")</f>
        <v>4.85668789808917</v>
      </c>
      <c r="Y56" s="12">
        <f>IF(AND(ISNUMBER(RU_Clean!Y56),ISNUMBER(RU_Clean!Y44)),(RU_Clean!Y56-RU_Clean!Y44)/RU_Clean!Y44*100,"")</f>
        <v>6.13246116107933</v>
      </c>
      <c r="Z56" s="12">
        <f>IF(AND(ISNUMBER(RU_Clean!Z56),ISNUMBER(RU_Clean!Z44)),(RU_Clean!Z56-RU_Clean!Z44)/RU_Clean!Z44*100,"")</f>
        <v>3.90438247011953</v>
      </c>
      <c r="AA56" s="12">
        <f>IF(AND(ISNUMBER(RU_Clean!AA56),ISNUMBER(RU_Clean!AA44)),(RU_Clean!AA56-RU_Clean!AA44)/RU_Clean!AA44*100,"")</f>
        <v>3.97727272727272</v>
      </c>
      <c r="AB56" s="12">
        <f>IF(AND(ISNUMBER(RU_Clean!AB56),ISNUMBER(RU_Clean!AB44)),(RU_Clean!AB56-RU_Clean!AB44)/RU_Clean!AB44*100,"")</f>
        <v>4.014272970562</v>
      </c>
      <c r="AC56" s="12">
        <f>IF(AND(ISNUMBER(RU_Clean!AC56),ISNUMBER(RU_Clean!AC44)),(RU_Clean!AC56-RU_Clean!AC44)/RU_Clean!AC44*100,"")</f>
        <v>3.30305532617671</v>
      </c>
      <c r="AD56" s="12">
        <f>IF(AND(ISNUMBER(RU_Clean!AD56),ISNUMBER(RU_Clean!AD44)),(RU_Clean!AD56-RU_Clean!AD44)/RU_Clean!AD44*100,"")</f>
        <v>5.32498042286609</v>
      </c>
      <c r="AE56" s="12">
        <f>IF(AND(ISNUMBER(RU_Clean!AE56),ISNUMBER(RU_Clean!AE44)),(RU_Clean!AE56-RU_Clean!AE44)/RU_Clean!AE44*100,"")</f>
        <v>4.23370025402201</v>
      </c>
      <c r="AF56" s="12">
        <f>IF(AND(ISNUMBER(RU_Clean!AF56),ISNUMBER(RU_Clean!AF44)),(RU_Clean!AF56-RU_Clean!AF44)/RU_Clean!AF44*100,"")</f>
        <v>4.25</v>
      </c>
      <c r="AG56" s="12">
        <f>IF(AND(ISNUMBER(RU_Clean!AG56),ISNUMBER(RU_Clean!AG44)),(RU_Clean!AG56-RU_Clean!AG44)/RU_Clean!AG44*100,"")</f>
        <v>2.98507462686567</v>
      </c>
      <c r="AH56" s="12">
        <f>IF(AND(ISNUMBER(RU_Clean!AH56),ISNUMBER(RU_Clean!AH44)),(RU_Clean!AH56-RU_Clean!AH44)/RU_Clean!AH44*100,"")</f>
        <v>0.981204205160885</v>
      </c>
    </row>
    <row r="57" spans="1:34">
      <c r="A57" s="6">
        <f>RU_Clean!A57</f>
        <v>2017</v>
      </c>
      <c r="B57" s="6">
        <f>RU_Clean!B57</f>
        <v>5</v>
      </c>
      <c r="C57" s="6" t="str">
        <f>RU_Clean!C57</f>
        <v>May</v>
      </c>
      <c r="D57" s="9">
        <f>RU_Clean!D57</f>
        <v>42856</v>
      </c>
      <c r="E57" s="6"/>
      <c r="F57" s="6"/>
      <c r="G57" s="12">
        <f>IF(AND(ISNUMBER(RU_Clean!G57),ISNUMBER(RU_Clean!G45)),(RU_Clean!G57-RU_Clean!G45)/RU_Clean!G45*100,"")</f>
        <v>4.81072555205048</v>
      </c>
      <c r="H57" s="12">
        <f>IF(AND(ISNUMBER(RU_Clean!H57),ISNUMBER(RU_Clean!H45)),(RU_Clean!H57-RU_Clean!H45)/RU_Clean!H45*100,"")</f>
        <v>1.79726815240834</v>
      </c>
      <c r="I57" s="12">
        <f>IF(AND(ISNUMBER(RU_Clean!I57),ISNUMBER(RU_Clean!I45)),(RU_Clean!I57-RU_Clean!I45)/RU_Clean!I45*100,"")</f>
        <v>0.71770334928229</v>
      </c>
      <c r="J57" s="12">
        <f>IF(AND(ISNUMBER(RU_Clean!J57),ISNUMBER(RU_Clean!J45)),(RU_Clean!J57-RU_Clean!J45)/RU_Clean!J45*100,"")</f>
        <v>4.55580865603645</v>
      </c>
      <c r="K57" s="12">
        <f>IF(AND(ISNUMBER(RU_Clean!K57),ISNUMBER(RU_Clean!K45)),(RU_Clean!K57-RU_Clean!K45)/RU_Clean!K45*100,"")</f>
        <v>2.69565217391304</v>
      </c>
      <c r="L57" s="12">
        <f>IF(AND(ISNUMBER(RU_Clean!L57),ISNUMBER(RU_Clean!L45)),(RU_Clean!L57-RU_Clean!L45)/RU_Clean!L45*100,"")</f>
        <v>1.39705882352942</v>
      </c>
      <c r="M57" s="12">
        <f>IF(AND(ISNUMBER(RU_Clean!M57),ISNUMBER(RU_Clean!M45)),(RU_Clean!M57-RU_Clean!M45)/RU_Clean!M45*100,"")</f>
        <v>-13.4390075809786</v>
      </c>
      <c r="N57" s="12">
        <f>IF(AND(ISNUMBER(RU_Clean!N57),ISNUMBER(RU_Clean!N45)),(RU_Clean!N57-RU_Clean!N45)/RU_Clean!N45*100,"")</f>
        <v>-19.452533488643</v>
      </c>
      <c r="O57" s="12">
        <f>IF(AND(ISNUMBER(RU_Clean!O57),ISNUMBER(RU_Clean!O45)),(RU_Clean!O57-RU_Clean!O45)/RU_Clean!O45*100,"")</f>
        <v>9.84360625574977</v>
      </c>
      <c r="P57" s="12">
        <f>IF(AND(ISNUMBER(RU_Clean!P57),ISNUMBER(RU_Clean!P45)),(RU_Clean!P57-RU_Clean!P45)/RU_Clean!P45*100,"")</f>
        <v>0.517368810051728</v>
      </c>
      <c r="Q57" s="12">
        <f>IF(AND(ISNUMBER(RU_Clean!Q57),ISNUMBER(RU_Clean!Q45)),(RU_Clean!Q57-RU_Clean!Q45)/RU_Clean!Q45*100,"")</f>
        <v>2.73752012882447</v>
      </c>
      <c r="R57" s="12">
        <f>IF(AND(ISNUMBER(RU_Clean!R57),ISNUMBER(RU_Clean!R45)),(RU_Clean!R57-RU_Clean!R45)/RU_Clean!R45*100,"")</f>
        <v>5.16739446870451</v>
      </c>
      <c r="S57" s="12">
        <f>IF(AND(ISNUMBER(RU_Clean!S57),ISNUMBER(RU_Clean!S45)),(RU_Clean!S57-RU_Clean!S45)/RU_Clean!S45*100,"")</f>
        <v>-0.223880597014934</v>
      </c>
      <c r="T57" s="12">
        <f>IF(AND(ISNUMBER(RU_Clean!T57),ISNUMBER(RU_Clean!T45)),(RU_Clean!T57-RU_Clean!T45)/RU_Clean!T45*100,"")</f>
        <v>6.17283950617284</v>
      </c>
      <c r="U57" s="12">
        <f>IF(AND(ISNUMBER(RU_Clean!U57),ISNUMBER(RU_Clean!U45)),(RU_Clean!U57-RU_Clean!U45)/RU_Clean!U45*100,"")</f>
        <v>4.53857791225416</v>
      </c>
      <c r="V57" s="12">
        <f>IF(AND(ISNUMBER(RU_Clean!V57),ISNUMBER(RU_Clean!V45)),(RU_Clean!V57-RU_Clean!V45)/RU_Clean!V45*100,"")</f>
        <v>3.62776025236594</v>
      </c>
      <c r="W57" s="12">
        <f>IF(AND(ISNUMBER(RU_Clean!W57),ISNUMBER(RU_Clean!W45)),(RU_Clean!W57-RU_Clean!W45)/RU_Clean!W45*100,"")</f>
        <v>4.41400304414002</v>
      </c>
      <c r="X57" s="12">
        <f>IF(AND(ISNUMBER(RU_Clean!X57),ISNUMBER(RU_Clean!X45)),(RU_Clean!X57-RU_Clean!X45)/RU_Clean!X45*100,"")</f>
        <v>4.84126984126984</v>
      </c>
      <c r="Y57" s="12">
        <f>IF(AND(ISNUMBER(RU_Clean!Y57),ISNUMBER(RU_Clean!Y45)),(RU_Clean!Y57-RU_Clean!Y45)/RU_Clean!Y45*100,"")</f>
        <v>5.46047269763651</v>
      </c>
      <c r="Z57" s="12">
        <f>IF(AND(ISNUMBER(RU_Clean!Z57),ISNUMBER(RU_Clean!Z45)),(RU_Clean!Z57-RU_Clean!Z45)/RU_Clean!Z45*100,"")</f>
        <v>3.88888888888889</v>
      </c>
      <c r="AA57" s="12">
        <f>IF(AND(ISNUMBER(RU_Clean!AA57),ISNUMBER(RU_Clean!AA45)),(RU_Clean!AA57-RU_Clean!AA45)/RU_Clean!AA45*100,"")</f>
        <v>3.79951495553759</v>
      </c>
      <c r="AB57" s="12">
        <f>IF(AND(ISNUMBER(RU_Clean!AB57),ISNUMBER(RU_Clean!AB45)),(RU_Clean!AB57-RU_Clean!AB45)/RU_Clean!AB45*100,"")</f>
        <v>3.45744680851064</v>
      </c>
      <c r="AC57" s="12">
        <f>IF(AND(ISNUMBER(RU_Clean!AC57),ISNUMBER(RU_Clean!AC45)),(RU_Clean!AC57-RU_Clean!AC45)/RU_Clean!AC45*100,"")</f>
        <v>3.45679012345679</v>
      </c>
      <c r="AD57" s="12">
        <f>IF(AND(ISNUMBER(RU_Clean!AD57),ISNUMBER(RU_Clean!AD45)),(RU_Clean!AD57-RU_Clean!AD45)/RU_Clean!AD45*100,"")</f>
        <v>4.90272373540857</v>
      </c>
      <c r="AE57" s="12">
        <f>IF(AND(ISNUMBER(RU_Clean!AE57),ISNUMBER(RU_Clean!AE45)),(RU_Clean!AE57-RU_Clean!AE45)/RU_Clean!AE45*100,"")</f>
        <v>3.18791946308725</v>
      </c>
      <c r="AF57" s="12">
        <f>IF(AND(ISNUMBER(RU_Clean!AF57),ISNUMBER(RU_Clean!AF45)),(RU_Clean!AF57-RU_Clean!AF45)/RU_Clean!AF45*100,"")</f>
        <v>3.81110190555095</v>
      </c>
      <c r="AG57" s="12">
        <f>IF(AND(ISNUMBER(RU_Clean!AG57),ISNUMBER(RU_Clean!AG45)),(RU_Clean!AG57-RU_Clean!AG45)/RU_Clean!AG45*100,"")</f>
        <v>2.17729393468119</v>
      </c>
      <c r="AH57" s="12">
        <f>IF(AND(ISNUMBER(RU_Clean!AH57),ISNUMBER(RU_Clean!AH45)),(RU_Clean!AH57-RU_Clean!AH45)/RU_Clean!AH45*100,"")</f>
        <v>-0.657729892257579</v>
      </c>
    </row>
    <row r="58" spans="1:34">
      <c r="A58" s="6">
        <f>RU_Clean!A58</f>
        <v>2017</v>
      </c>
      <c r="B58" s="6">
        <f>RU_Clean!B58</f>
        <v>6</v>
      </c>
      <c r="C58" s="6" t="str">
        <f>RU_Clean!C58</f>
        <v>June</v>
      </c>
      <c r="D58" s="9">
        <f>RU_Clean!D58</f>
        <v>42887</v>
      </c>
      <c r="E58" s="6"/>
      <c r="F58" s="6"/>
      <c r="G58" s="12">
        <f>IF(AND(ISNUMBER(RU_Clean!G58),ISNUMBER(RU_Clean!G46)),(RU_Clean!G58-RU_Clean!G46)/RU_Clean!G46*100,"")</f>
        <v>4.38527799530149</v>
      </c>
      <c r="H58" s="12">
        <f>IF(AND(ISNUMBER(RU_Clean!H58),ISNUMBER(RU_Clean!H46)),(RU_Clean!H58-RU_Clean!H46)/RU_Clean!H46*100,"")</f>
        <v>3.55871886120996</v>
      </c>
      <c r="I58" s="12">
        <f>IF(AND(ISNUMBER(RU_Clean!I58),ISNUMBER(RU_Clean!I46)),(RU_Clean!I58-RU_Clean!I46)/RU_Clean!I46*100,"")</f>
        <v>-0.155884645362445</v>
      </c>
      <c r="J58" s="12">
        <f>IF(AND(ISNUMBER(RU_Clean!J58),ISNUMBER(RU_Clean!J46)),(RU_Clean!J58-RU_Clean!J46)/RU_Clean!J46*100,"")</f>
        <v>4.14781297134238</v>
      </c>
      <c r="K58" s="12">
        <f>IF(AND(ISNUMBER(RU_Clean!K58),ISNUMBER(RU_Clean!K46)),(RU_Clean!K58-RU_Clean!K46)/RU_Clean!K46*100,"")</f>
        <v>2.33766233766234</v>
      </c>
      <c r="L58" s="12">
        <f>IF(AND(ISNUMBER(RU_Clean!L58),ISNUMBER(RU_Clean!L46)),(RU_Clean!L58-RU_Clean!L46)/RU_Clean!L46*100,"")</f>
        <v>1.97802197802197</v>
      </c>
      <c r="M58" s="12">
        <f>IF(AND(ISNUMBER(RU_Clean!M58),ISNUMBER(RU_Clean!M46)),(RU_Clean!M58-RU_Clean!M46)/RU_Clean!M46*100,"")</f>
        <v>-16.5309956167815</v>
      </c>
      <c r="N58" s="12">
        <f>IF(AND(ISNUMBER(RU_Clean!N58),ISNUMBER(RU_Clean!N46)),(RU_Clean!N58-RU_Clean!N46)/RU_Clean!N46*100,"")</f>
        <v>-21.8588640275387</v>
      </c>
      <c r="O58" s="12">
        <f>IF(AND(ISNUMBER(RU_Clean!O58),ISNUMBER(RU_Clean!O46)),(RU_Clean!O58-RU_Clean!O46)/RU_Clean!O46*100,"")</f>
        <v>8.82620564149225</v>
      </c>
      <c r="P58" s="12">
        <f>IF(AND(ISNUMBER(RU_Clean!P58),ISNUMBER(RU_Clean!P46)),(RU_Clean!P58-RU_Clean!P46)/RU_Clean!P46*100,"")</f>
        <v>-0.733675715333822</v>
      </c>
      <c r="Q58" s="12">
        <f>IF(AND(ISNUMBER(RU_Clean!Q58),ISNUMBER(RU_Clean!Q46)),(RU_Clean!Q58-RU_Clean!Q46)/RU_Clean!Q46*100,"")</f>
        <v>2.73311897106109</v>
      </c>
      <c r="R58" s="12">
        <f>IF(AND(ISNUMBER(RU_Clean!R58),ISNUMBER(RU_Clean!R46)),(RU_Clean!R58-RU_Clean!R46)/RU_Clean!R46*100,"")</f>
        <v>4.9239681390297</v>
      </c>
      <c r="S58" s="12">
        <f>IF(AND(ISNUMBER(RU_Clean!S58),ISNUMBER(RU_Clean!S46)),(RU_Clean!S58-RU_Clean!S46)/RU_Clean!S46*100,"")</f>
        <v>-1.16959064327487</v>
      </c>
      <c r="T58" s="12">
        <f>IF(AND(ISNUMBER(RU_Clean!T58),ISNUMBER(RU_Clean!T46)),(RU_Clean!T58-RU_Clean!T46)/RU_Clean!T46*100,"")</f>
        <v>5.62364816149965</v>
      </c>
      <c r="U58" s="12">
        <f>IF(AND(ISNUMBER(RU_Clean!U58),ISNUMBER(RU_Clean!U46)),(RU_Clean!U58-RU_Clean!U46)/RU_Clean!U46*100,"")</f>
        <v>4.21369450714823</v>
      </c>
      <c r="V58" s="12">
        <f>IF(AND(ISNUMBER(RU_Clean!V58),ISNUMBER(RU_Clean!V46)),(RU_Clean!V58-RU_Clean!V46)/RU_Clean!V46*100,"")</f>
        <v>3.53773584905659</v>
      </c>
      <c r="W58" s="12">
        <f>IF(AND(ISNUMBER(RU_Clean!W58),ISNUMBER(RU_Clean!W46)),(RU_Clean!W58-RU_Clean!W46)/RU_Clean!W46*100,"")</f>
        <v>4.16666666666667</v>
      </c>
      <c r="X58" s="12">
        <f>IF(AND(ISNUMBER(RU_Clean!X58),ISNUMBER(RU_Clean!X46)),(RU_Clean!X58-RU_Clean!X46)/RU_Clean!X46*100,"")</f>
        <v>4.70119521912351</v>
      </c>
      <c r="Y58" s="12">
        <f>IF(AND(ISNUMBER(RU_Clean!Y58),ISNUMBER(RU_Clean!Y46)),(RU_Clean!Y58-RU_Clean!Y46)/RU_Clean!Y46*100,"")</f>
        <v>4.46066504460666</v>
      </c>
      <c r="Z58" s="12">
        <f>IF(AND(ISNUMBER(RU_Clean!Z58),ISNUMBER(RU_Clean!Z46)),(RU_Clean!Z58-RU_Clean!Z46)/RU_Clean!Z46*100,"")</f>
        <v>3.79746835443037</v>
      </c>
      <c r="AA58" s="12">
        <f>IF(AND(ISNUMBER(RU_Clean!AA58),ISNUMBER(RU_Clean!AA46)),(RU_Clean!AA58-RU_Clean!AA46)/RU_Clean!AA46*100,"")</f>
        <v>3.54552780016116</v>
      </c>
      <c r="AB58" s="12">
        <f>IF(AND(ISNUMBER(RU_Clean!AB58),ISNUMBER(RU_Clean!AB46)),(RU_Clean!AB58-RU_Clean!AB46)/RU_Clean!AB46*100,"")</f>
        <v>2.01401050788091</v>
      </c>
      <c r="AC58" s="12">
        <f>IF(AND(ISNUMBER(RU_Clean!AC58),ISNUMBER(RU_Clean!AC46)),(RU_Clean!AC58-RU_Clean!AC46)/RU_Clean!AC46*100,"")</f>
        <v>3.45110928512736</v>
      </c>
      <c r="AD58" s="12">
        <f>IF(AND(ISNUMBER(RU_Clean!AD58),ISNUMBER(RU_Clean!AD46)),(RU_Clean!AD58-RU_Clean!AD46)/RU_Clean!AD46*100,"")</f>
        <v>4.39475713184273</v>
      </c>
      <c r="AE58" s="12">
        <f>IF(AND(ISNUMBER(RU_Clean!AE58),ISNUMBER(RU_Clean!AE46)),(RU_Clean!AE58-RU_Clean!AE46)/RU_Clean!AE46*100,"")</f>
        <v>3.3500837520938</v>
      </c>
      <c r="AF58" s="12">
        <f>IF(AND(ISNUMBER(RU_Clean!AF58),ISNUMBER(RU_Clean!AF46)),(RU_Clean!AF58-RU_Clean!AF46)/RU_Clean!AF46*100,"")</f>
        <v>3.29218106995885</v>
      </c>
      <c r="AG58" s="12">
        <f>IF(AND(ISNUMBER(RU_Clean!AG58),ISNUMBER(RU_Clean!AG46)),(RU_Clean!AG58-RU_Clean!AG46)/RU_Clean!AG46*100,"")</f>
        <v>1.46041506533436</v>
      </c>
      <c r="AH58" s="12">
        <f>IF(AND(ISNUMBER(RU_Clean!AH58),ISNUMBER(RU_Clean!AH46)),(RU_Clean!AH58-RU_Clean!AH46)/RU_Clean!AH46*100,"")</f>
        <v>-1.4964897154822</v>
      </c>
    </row>
    <row r="59" spans="1:34">
      <c r="A59" s="6">
        <f>RU_Clean!A59</f>
        <v>2017</v>
      </c>
      <c r="B59" s="6">
        <f>RU_Clean!B59</f>
        <v>7</v>
      </c>
      <c r="C59" s="6" t="str">
        <f>RU_Clean!C59</f>
        <v>July</v>
      </c>
      <c r="D59" s="9">
        <f>RU_Clean!D59</f>
        <v>42917</v>
      </c>
      <c r="E59" s="6"/>
      <c r="F59" s="6"/>
      <c r="G59" s="12">
        <f>IF(AND(ISNUMBER(RU_Clean!G59),ISNUMBER(RU_Clean!G47)),(RU_Clean!G59-RU_Clean!G47)/RU_Clean!G47*100,"")</f>
        <v>3.96887159533073</v>
      </c>
      <c r="H59" s="12">
        <f>IF(AND(ISNUMBER(RU_Clean!H59),ISNUMBER(RU_Clean!H47)),(RU_Clean!H59-RU_Clean!H47)/RU_Clean!H47*100,"")</f>
        <v>3.18696883852691</v>
      </c>
      <c r="I59" s="12">
        <f>IF(AND(ISNUMBER(RU_Clean!I59),ISNUMBER(RU_Clean!I47)),(RU_Clean!I59-RU_Clean!I47)/RU_Clean!I47*100,"")</f>
        <v>-2.04081632653062</v>
      </c>
      <c r="J59" s="12">
        <f>IF(AND(ISNUMBER(RU_Clean!J59),ISNUMBER(RU_Clean!J47)),(RU_Clean!J59-RU_Clean!J47)/RU_Clean!J47*100,"")</f>
        <v>3.74531835205993</v>
      </c>
      <c r="K59" s="12">
        <f>IF(AND(ISNUMBER(RU_Clean!K59),ISNUMBER(RU_Clean!K47)),(RU_Clean!K59-RU_Clean!K47)/RU_Clean!K47*100,"")</f>
        <v>1.46048109965635</v>
      </c>
      <c r="L59" s="12">
        <f>IF(AND(ISNUMBER(RU_Clean!L59),ISNUMBER(RU_Clean!L47)),(RU_Clean!L59-RU_Clean!L47)/RU_Clean!L47*100,"")</f>
        <v>2.90275761973875</v>
      </c>
      <c r="M59" s="12">
        <f>IF(AND(ISNUMBER(RU_Clean!M59),ISNUMBER(RU_Clean!M47)),(RU_Clean!M59-RU_Clean!M47)/RU_Clean!M47*100,"")</f>
        <v>-3.5671100362757</v>
      </c>
      <c r="N59" s="12">
        <f>IF(AND(ISNUMBER(RU_Clean!N59),ISNUMBER(RU_Clean!N47)),(RU_Clean!N59-RU_Clean!N47)/RU_Clean!N47*100,"")</f>
        <v>-24.6899661781285</v>
      </c>
      <c r="O59" s="12">
        <f>IF(AND(ISNUMBER(RU_Clean!O59),ISNUMBER(RU_Clean!O47)),(RU_Clean!O59-RU_Clean!O47)/RU_Clean!O47*100,"")</f>
        <v>8.2659478885894</v>
      </c>
      <c r="P59" s="12">
        <f>IF(AND(ISNUMBER(RU_Clean!P59),ISNUMBER(RU_Clean!P47)),(RU_Clean!P59-RU_Clean!P47)/RU_Clean!P47*100,"")</f>
        <v>-1.67272727272728</v>
      </c>
      <c r="Q59" s="12">
        <f>IF(AND(ISNUMBER(RU_Clean!Q59),ISNUMBER(RU_Clean!Q47)),(RU_Clean!Q59-RU_Clean!Q47)/RU_Clean!Q47*100,"")</f>
        <v>2.8</v>
      </c>
      <c r="R59" s="12">
        <f>IF(AND(ISNUMBER(RU_Clean!R59),ISNUMBER(RU_Clean!R47)),(RU_Clean!R59-RU_Clean!R47)/RU_Clean!R47*100,"")</f>
        <v>5.04322766570605</v>
      </c>
      <c r="S59" s="12">
        <f>IF(AND(ISNUMBER(RU_Clean!S59),ISNUMBER(RU_Clean!S47)),(RU_Clean!S59-RU_Clean!S47)/RU_Clean!S47*100,"")</f>
        <v>0.43352601156069</v>
      </c>
      <c r="T59" s="12">
        <f>IF(AND(ISNUMBER(RU_Clean!T59),ISNUMBER(RU_Clean!T47)),(RU_Clean!T59-RU_Clean!T47)/RU_Clean!T47*100,"")</f>
        <v>6.38908829863602</v>
      </c>
      <c r="U59" s="12">
        <f>IF(AND(ISNUMBER(RU_Clean!U59),ISNUMBER(RU_Clean!U47)),(RU_Clean!U59-RU_Clean!U47)/RU_Clean!U47*100,"")</f>
        <v>4.34456928838952</v>
      </c>
      <c r="V59" s="12">
        <f>IF(AND(ISNUMBER(RU_Clean!V59),ISNUMBER(RU_Clean!V47)),(RU_Clean!V59-RU_Clean!V47)/RU_Clean!V47*100,"")</f>
        <v>3.52664576802508</v>
      </c>
      <c r="W59" s="12">
        <f>IF(AND(ISNUMBER(RU_Clean!W59),ISNUMBER(RU_Clean!W47)),(RU_Clean!W59-RU_Clean!W47)/RU_Clean!W47*100,"")</f>
        <v>4.22004521477018</v>
      </c>
      <c r="X59" s="12">
        <f>IF(AND(ISNUMBER(RU_Clean!X59),ISNUMBER(RU_Clean!X47)),(RU_Clean!X59-RU_Clean!X47)/RU_Clean!X47*100,"")</f>
        <v>4.90506329113923</v>
      </c>
      <c r="Y59" s="12">
        <f>IF(AND(ISNUMBER(RU_Clean!Y59),ISNUMBER(RU_Clean!Y47)),(RU_Clean!Y59-RU_Clean!Y47)/RU_Clean!Y47*100,"")</f>
        <v>4.86223662884927</v>
      </c>
      <c r="Z59" s="12">
        <f>IF(AND(ISNUMBER(RU_Clean!Z59),ISNUMBER(RU_Clean!Z47)),(RU_Clean!Z59-RU_Clean!Z47)/RU_Clean!Z47*100,"")</f>
        <v>3.94011032308905</v>
      </c>
      <c r="AA59" s="12">
        <f>IF(AND(ISNUMBER(RU_Clean!AA59),ISNUMBER(RU_Clean!AA47)),(RU_Clean!AA59-RU_Clean!AA47)/RU_Clean!AA47*100,"")</f>
        <v>3.93574297188755</v>
      </c>
      <c r="AB59" s="12">
        <f>IF(AND(ISNUMBER(RU_Clean!AB59),ISNUMBER(RU_Clean!AB47)),(RU_Clean!AB59-RU_Clean!AB47)/RU_Clean!AB47*100,"")</f>
        <v>1.84372256365232</v>
      </c>
      <c r="AC59" s="12">
        <f>IF(AND(ISNUMBER(RU_Clean!AC59),ISNUMBER(RU_Clean!AC47)),(RU_Clean!AC59-RU_Clean!AC47)/RU_Clean!AC47*100,"")</f>
        <v>3.4313725490196</v>
      </c>
      <c r="AD59" s="12">
        <f>IF(AND(ISNUMBER(RU_Clean!AD59),ISNUMBER(RU_Clean!AD47)),(RU_Clean!AD59-RU_Clean!AD47)/RU_Clean!AD47*100,"")</f>
        <v>4.58715596330275</v>
      </c>
      <c r="AE59" s="12">
        <f>IF(AND(ISNUMBER(RU_Clean!AE59),ISNUMBER(RU_Clean!AE47)),(RU_Clean!AE59-RU_Clean!AE47)/RU_Clean!AE47*100,"")</f>
        <v>2.57261410788381</v>
      </c>
      <c r="AF59" s="12">
        <f>IF(AND(ISNUMBER(RU_Clean!AF59),ISNUMBER(RU_Clean!AF47)),(RU_Clean!AF59-RU_Clean!AF47)/RU_Clean!AF47*100,"")</f>
        <v>3.28137817883511</v>
      </c>
      <c r="AG59" s="12">
        <f>IF(AND(ISNUMBER(RU_Clean!AG59),ISNUMBER(RU_Clean!AG47)),(RU_Clean!AG59-RU_Clean!AG47)/RU_Clean!AG47*100,"")</f>
        <v>2.36460717009916</v>
      </c>
      <c r="AH59" s="12">
        <f>IF(AND(ISNUMBER(RU_Clean!AH59),ISNUMBER(RU_Clean!AH47)),(RU_Clean!AH59-RU_Clean!AH47)/RU_Clean!AH47*100,"")</f>
        <v>-0.893562701355543</v>
      </c>
    </row>
    <row r="60" spans="1:34">
      <c r="A60" s="6">
        <f>RU_Clean!A60</f>
        <v>2017</v>
      </c>
      <c r="B60" s="6">
        <f>RU_Clean!B60</f>
        <v>8</v>
      </c>
      <c r="C60" s="6" t="str">
        <f>RU_Clean!C60</f>
        <v>August</v>
      </c>
      <c r="D60" s="9">
        <f>RU_Clean!D60</f>
        <v>42948</v>
      </c>
      <c r="E60" s="6"/>
      <c r="F60" s="6"/>
      <c r="G60" s="12">
        <f>IF(AND(ISNUMBER(RU_Clean!G60),ISNUMBER(RU_Clean!G48)),(RU_Clean!G60-RU_Clean!G48)/RU_Clean!G48*100,"")</f>
        <v>3.86697602474865</v>
      </c>
      <c r="H60" s="12">
        <f>IF(AND(ISNUMBER(RU_Clean!H60),ISNUMBER(RU_Clean!H48)),(RU_Clean!H60-RU_Clean!H48)/RU_Clean!H48*100,"")</f>
        <v>2.94328786791098</v>
      </c>
      <c r="I60" s="12">
        <f>IF(AND(ISNUMBER(RU_Clean!I60),ISNUMBER(RU_Clean!I48)),(RU_Clean!I60-RU_Clean!I48)/RU_Clean!I48*100,"")</f>
        <v>-1.74772036474163</v>
      </c>
      <c r="J60" s="12">
        <f>IF(AND(ISNUMBER(RU_Clean!J60),ISNUMBER(RU_Clean!J48)),(RU_Clean!J60-RU_Clean!J48)/RU_Clean!J48*100,"")</f>
        <v>3.65398956002983</v>
      </c>
      <c r="K60" s="12">
        <f>IF(AND(ISNUMBER(RU_Clean!K60),ISNUMBER(RU_Clean!K48)),(RU_Clean!K60-RU_Clean!K48)/RU_Clean!K48*100,"")</f>
        <v>1.02651839178784</v>
      </c>
      <c r="L60" s="12">
        <f>IF(AND(ISNUMBER(RU_Clean!L60),ISNUMBER(RU_Clean!L48)),(RU_Clean!L60-RU_Clean!L48)/RU_Clean!L48*100,"")</f>
        <v>5.3584359160029</v>
      </c>
      <c r="M60" s="12">
        <f>IF(AND(ISNUMBER(RU_Clean!M60),ISNUMBER(RU_Clean!M48)),(RU_Clean!M60-RU_Clean!M48)/RU_Clean!M48*100,"")</f>
        <v>5.9710873664362</v>
      </c>
      <c r="N60" s="12">
        <f>IF(AND(ISNUMBER(RU_Clean!N60),ISNUMBER(RU_Clean!N48)),(RU_Clean!N60-RU_Clean!N48)/RU_Clean!N48*100,"")</f>
        <v>-24.4305239179954</v>
      </c>
      <c r="O60" s="12">
        <f>IF(AND(ISNUMBER(RU_Clean!O60),ISNUMBER(RU_Clean!O48)),(RU_Clean!O60-RU_Clean!O48)/RU_Clean!O48*100,"")</f>
        <v>7.35163861824623</v>
      </c>
      <c r="P60" s="12">
        <f>IF(AND(ISNUMBER(RU_Clean!P60),ISNUMBER(RU_Clean!P48)),(RU_Clean!P60-RU_Clean!P48)/RU_Clean!P48*100,"")</f>
        <v>-1.81028240405503</v>
      </c>
      <c r="Q60" s="12">
        <f>IF(AND(ISNUMBER(RU_Clean!Q60),ISNUMBER(RU_Clean!Q48)),(RU_Clean!Q60-RU_Clean!Q48)/RU_Clean!Q48*100,"")</f>
        <v>2.54980079681274</v>
      </c>
      <c r="R60" s="12">
        <f>IF(AND(ISNUMBER(RU_Clean!R60),ISNUMBER(RU_Clean!R48)),(RU_Clean!R60-RU_Clean!R48)/RU_Clean!R48*100,"")</f>
        <v>5.23297491039427</v>
      </c>
      <c r="S60" s="12">
        <f>IF(AND(ISNUMBER(RU_Clean!S60),ISNUMBER(RU_Clean!S48)),(RU_Clean!S60-RU_Clean!S48)/RU_Clean!S48*100,"")</f>
        <v>1.95794053662073</v>
      </c>
      <c r="T60" s="12">
        <f>IF(AND(ISNUMBER(RU_Clean!T60),ISNUMBER(RU_Clean!T48)),(RU_Clean!T60-RU_Clean!T48)/RU_Clean!T48*100,"")</f>
        <v>6.84736091298147</v>
      </c>
      <c r="U60" s="12">
        <f>IF(AND(ISNUMBER(RU_Clean!U60),ISNUMBER(RU_Clean!U48)),(RU_Clean!U60-RU_Clean!U48)/RU_Clean!U48*100,"")</f>
        <v>4.62341536167041</v>
      </c>
      <c r="V60" s="12">
        <f>IF(AND(ISNUMBER(RU_Clean!V60),ISNUMBER(RU_Clean!V48)),(RU_Clean!V60-RU_Clean!V48)/RU_Clean!V48*100,"")</f>
        <v>3.74414976599065</v>
      </c>
      <c r="W60" s="12">
        <f>IF(AND(ISNUMBER(RU_Clean!W60),ISNUMBER(RU_Clean!W48)),(RU_Clean!W60-RU_Clean!W48)/RU_Clean!W48*100,"")</f>
        <v>4.5795795795796</v>
      </c>
      <c r="X60" s="12">
        <f>IF(AND(ISNUMBER(RU_Clean!X60),ISNUMBER(RU_Clean!X48)),(RU_Clean!X60-RU_Clean!X48)/RU_Clean!X48*100,"")</f>
        <v>5.57737627651218</v>
      </c>
      <c r="Y60" s="12">
        <f>IF(AND(ISNUMBER(RU_Clean!Y60),ISNUMBER(RU_Clean!Y48)),(RU_Clean!Y60-RU_Clean!Y48)/RU_Clean!Y48*100,"")</f>
        <v>5.01618122977348</v>
      </c>
      <c r="Z60" s="12">
        <f>IF(AND(ISNUMBER(RU_Clean!Z60),ISNUMBER(RU_Clean!Z48)),(RU_Clean!Z60-RU_Clean!Z48)/RU_Clean!Z48*100,"")</f>
        <v>4.23861852433281</v>
      </c>
      <c r="AA60" s="12">
        <f>IF(AND(ISNUMBER(RU_Clean!AA60),ISNUMBER(RU_Clean!AA48)),(RU_Clean!AA60-RU_Clean!AA48)/RU_Clean!AA48*100,"")</f>
        <v>4.32692307692307</v>
      </c>
      <c r="AB60" s="12">
        <f>IF(AND(ISNUMBER(RU_Clean!AB60),ISNUMBER(RU_Clean!AB48)),(RU_Clean!AB60-RU_Clean!AB48)/RU_Clean!AB48*100,"")</f>
        <v>3.71352785145889</v>
      </c>
      <c r="AC60" s="12">
        <f>IF(AND(ISNUMBER(RU_Clean!AC60),ISNUMBER(RU_Clean!AC48)),(RU_Clean!AC60-RU_Clean!AC48)/RU_Clean!AC48*100,"")</f>
        <v>3.74898125509372</v>
      </c>
      <c r="AD60" s="12">
        <f>IF(AND(ISNUMBER(RU_Clean!AD60),ISNUMBER(RU_Clean!AD48)),(RU_Clean!AD60-RU_Clean!AD48)/RU_Clean!AD48*100,"")</f>
        <v>4.47987851176918</v>
      </c>
      <c r="AE60" s="12">
        <f>IF(AND(ISNUMBER(RU_Clean!AE60),ISNUMBER(RU_Clean!AE48)),(RU_Clean!AE60-RU_Clean!AE48)/RU_Clean!AE48*100,"")</f>
        <v>2.46913580246914</v>
      </c>
      <c r="AF60" s="12">
        <f>IF(AND(ISNUMBER(RU_Clean!AF60),ISNUMBER(RU_Clean!AF48)),(RU_Clean!AF60-RU_Clean!AF48)/RU_Clean!AF48*100,"")</f>
        <v>3.84930384930385</v>
      </c>
      <c r="AG60" s="12">
        <f>IF(AND(ISNUMBER(RU_Clean!AG60),ISNUMBER(RU_Clean!AG48)),(RU_Clean!AG60-RU_Clean!AG48)/RU_Clean!AG48*100,"")</f>
        <v>3.27993897787949</v>
      </c>
      <c r="AH60" s="12">
        <f>IF(AND(ISNUMBER(RU_Clean!AH60),ISNUMBER(RU_Clean!AH48)),(RU_Clean!AH60-RU_Clean!AH48)/RU_Clean!AH48*100,"")</f>
        <v>0.195121951219515</v>
      </c>
    </row>
    <row r="61" spans="1:34">
      <c r="A61" s="6">
        <f>RU_Clean!A61</f>
        <v>2017</v>
      </c>
      <c r="B61" s="6">
        <f>RU_Clean!B61</f>
        <v>9</v>
      </c>
      <c r="C61" s="6" t="str">
        <f>RU_Clean!C61</f>
        <v>September</v>
      </c>
      <c r="D61" s="9">
        <f>RU_Clean!D61</f>
        <v>42979</v>
      </c>
      <c r="E61" s="6"/>
      <c r="F61" s="6"/>
      <c r="G61" s="12">
        <f>IF(AND(ISNUMBER(RU_Clean!G61),ISNUMBER(RU_Clean!G49)),(RU_Clean!G61-RU_Clean!G49)/RU_Clean!G49*100,"")</f>
        <v>3.69515011547343</v>
      </c>
      <c r="H61" s="12">
        <f>IF(AND(ISNUMBER(RU_Clean!H61),ISNUMBER(RU_Clean!H49)),(RU_Clean!H61-RU_Clean!H49)/RU_Clean!H49*100,"")</f>
        <v>3.18840579710145</v>
      </c>
      <c r="I61" s="12">
        <f>IF(AND(ISNUMBER(RU_Clean!I61),ISNUMBER(RU_Clean!I49)),(RU_Clean!I61-RU_Clean!I49)/RU_Clean!I49*100,"")</f>
        <v>-0.229885057471273</v>
      </c>
      <c r="J61" s="12">
        <f>IF(AND(ISNUMBER(RU_Clean!J61),ISNUMBER(RU_Clean!J49)),(RU_Clean!J61-RU_Clean!J49)/RU_Clean!J49*100,"")</f>
        <v>3.86904761904761</v>
      </c>
      <c r="K61" s="12">
        <f>IF(AND(ISNUMBER(RU_Clean!K61),ISNUMBER(RU_Clean!K49)),(RU_Clean!K61-RU_Clean!K49)/RU_Clean!K49*100,"")</f>
        <v>1.02389078498294</v>
      </c>
      <c r="L61" s="12">
        <f>IF(AND(ISNUMBER(RU_Clean!L61),ISNUMBER(RU_Clean!L49)),(RU_Clean!L61-RU_Clean!L49)/RU_Clean!L49*100,"")</f>
        <v>5.06980161645849</v>
      </c>
      <c r="M61" s="12">
        <f>IF(AND(ISNUMBER(RU_Clean!M61),ISNUMBER(RU_Clean!M49)),(RU_Clean!M61-RU_Clean!M49)/RU_Clean!M49*100,"")</f>
        <v>3.91506303915063</v>
      </c>
      <c r="N61" s="12">
        <f>IF(AND(ISNUMBER(RU_Clean!N61),ISNUMBER(RU_Clean!N49)),(RU_Clean!N61-RU_Clean!N49)/RU_Clean!N49*100,"")</f>
        <v>-22.5072886297376</v>
      </c>
      <c r="O61" s="12">
        <f>IF(AND(ISNUMBER(RU_Clean!O61),ISNUMBER(RU_Clean!O49)),(RU_Clean!O61-RU_Clean!O49)/RU_Clean!O49*100,"")</f>
        <v>6.76625659050967</v>
      </c>
      <c r="P61" s="12">
        <f>IF(AND(ISNUMBER(RU_Clean!P61),ISNUMBER(RU_Clean!P49)),(RU_Clean!P61-RU_Clean!P49)/RU_Clean!P49*100,"")</f>
        <v>-2.30547550432278</v>
      </c>
      <c r="Q61" s="12">
        <f>IF(AND(ISNUMBER(RU_Clean!Q61),ISNUMBER(RU_Clean!Q49)),(RU_Clean!Q61-RU_Clean!Q49)/RU_Clean!Q49*100,"")</f>
        <v>2.22222222222223</v>
      </c>
      <c r="R61" s="12">
        <f>IF(AND(ISNUMBER(RU_Clean!R61),ISNUMBER(RU_Clean!R49)),(RU_Clean!R61-RU_Clean!R49)/RU_Clean!R49*100,"")</f>
        <v>5.06419400855922</v>
      </c>
      <c r="S61" s="12">
        <f>IF(AND(ISNUMBER(RU_Clean!S61),ISNUMBER(RU_Clean!S49)),(RU_Clean!S61-RU_Clean!S49)/RU_Clean!S49*100,"")</f>
        <v>1.75695461200586</v>
      </c>
      <c r="T61" s="12">
        <f>IF(AND(ISNUMBER(RU_Clean!T61),ISNUMBER(RU_Clean!T49)),(RU_Clean!T61-RU_Clean!T49)/RU_Clean!T49*100,"")</f>
        <v>6.95035460992909</v>
      </c>
      <c r="U61" s="12">
        <f>IF(AND(ISNUMBER(RU_Clean!U61),ISNUMBER(RU_Clean!U49)),(RU_Clean!U61-RU_Clean!U49)/RU_Clean!U49*100,"")</f>
        <v>4.82912332838039</v>
      </c>
      <c r="V61" s="12">
        <f>IF(AND(ISNUMBER(RU_Clean!V61),ISNUMBER(RU_Clean!V49)),(RU_Clean!V61-RU_Clean!V49)/RU_Clean!V49*100,"")</f>
        <v>3.73250388802489</v>
      </c>
      <c r="W61" s="12">
        <f>IF(AND(ISNUMBER(RU_Clean!W61),ISNUMBER(RU_Clean!W49)),(RU_Clean!W61-RU_Clean!W49)/RU_Clean!W49*100,"")</f>
        <v>4.6337817638266</v>
      </c>
      <c r="X61" s="12">
        <f>IF(AND(ISNUMBER(RU_Clean!X61),ISNUMBER(RU_Clean!X49)),(RU_Clean!X61-RU_Clean!X49)/RU_Clean!X49*100,"")</f>
        <v>6.09851446442532</v>
      </c>
      <c r="Y61" s="12">
        <f>IF(AND(ISNUMBER(RU_Clean!Y61),ISNUMBER(RU_Clean!Y49)),(RU_Clean!Y61-RU_Clean!Y49)/RU_Clean!Y49*100,"")</f>
        <v>5.56003223207092</v>
      </c>
      <c r="Z61" s="12">
        <f>IF(AND(ISNUMBER(RU_Clean!Z61),ISNUMBER(RU_Clean!Z49)),(RU_Clean!Z61-RU_Clean!Z49)/RU_Clean!Z49*100,"")</f>
        <v>4.22204847537139</v>
      </c>
      <c r="AA61" s="12">
        <f>IF(AND(ISNUMBER(RU_Clean!AA61),ISNUMBER(RU_Clean!AA49)),(RU_Clean!AA61-RU_Clean!AA49)/RU_Clean!AA49*100,"")</f>
        <v>4.14673046251993</v>
      </c>
      <c r="AB61" s="12">
        <f>IF(AND(ISNUMBER(RU_Clean!AB61),ISNUMBER(RU_Clean!AB49)),(RU_Clean!AB61-RU_Clean!AB49)/RU_Clean!AB49*100,"")</f>
        <v>3.49956255468066</v>
      </c>
      <c r="AC61" s="12">
        <f>IF(AND(ISNUMBER(RU_Clean!AC61),ISNUMBER(RU_Clean!AC49)),(RU_Clean!AC61-RU_Clean!AC49)/RU_Clean!AC49*100,"")</f>
        <v>4.06834825061025</v>
      </c>
      <c r="AD61" s="12">
        <f>IF(AND(ISNUMBER(RU_Clean!AD61),ISNUMBER(RU_Clean!AD49)),(RU_Clean!AD61-RU_Clean!AD49)/RU_Clean!AD49*100,"")</f>
        <v>4.24886191198786</v>
      </c>
      <c r="AE61" s="12">
        <f>IF(AND(ISNUMBER(RU_Clean!AE61),ISNUMBER(RU_Clean!AE49)),(RU_Clean!AE61-RU_Clean!AE49)/RU_Clean!AE49*100,"")</f>
        <v>2.94840294840296</v>
      </c>
      <c r="AF61" s="12">
        <f>IF(AND(ISNUMBER(RU_Clean!AF61),ISNUMBER(RU_Clean!AF49)),(RU_Clean!AF61-RU_Clean!AF49)/RU_Clean!AF49*100,"")</f>
        <v>3.82736156351792</v>
      </c>
      <c r="AG61" s="12">
        <f>IF(AND(ISNUMBER(RU_Clean!AG61),ISNUMBER(RU_Clean!AG49)),(RU_Clean!AG61-RU_Clean!AG49)/RU_Clean!AG49*100,"")</f>
        <v>3.28495034377386</v>
      </c>
      <c r="AH61" s="12">
        <f>IF(AND(ISNUMBER(RU_Clean!AH61),ISNUMBER(RU_Clean!AH49)),(RU_Clean!AH61-RU_Clean!AH49)/RU_Clean!AH49*100,"")</f>
        <v>0.239690246450732</v>
      </c>
    </row>
    <row r="62" spans="1:34">
      <c r="A62" s="6">
        <f>RU_Clean!A62</f>
        <v>2017</v>
      </c>
      <c r="B62" s="6">
        <f>RU_Clean!B62</f>
        <v>10</v>
      </c>
      <c r="C62" s="6" t="str">
        <f>RU_Clean!C62</f>
        <v>October</v>
      </c>
      <c r="D62" s="9">
        <f>RU_Clean!D62</f>
        <v>43009</v>
      </c>
      <c r="E62" s="6"/>
      <c r="F62" s="6"/>
      <c r="G62" s="12">
        <f>IF(AND(ISNUMBER(RU_Clean!G62),ISNUMBER(RU_Clean!G50)),(RU_Clean!G62-RU_Clean!G50)/RU_Clean!G50*100,"")</f>
        <v>3.67816091954024</v>
      </c>
      <c r="H62" s="12">
        <f>IF(AND(ISNUMBER(RU_Clean!H62),ISNUMBER(RU_Clean!H50)),(RU_Clean!H62-RU_Clean!H50)/RU_Clean!H50*100,"")</f>
        <v>3.11820159535894</v>
      </c>
      <c r="I62" s="12">
        <f>IF(AND(ISNUMBER(RU_Clean!I62),ISNUMBER(RU_Clean!I50)),(RU_Clean!I62-RU_Clean!I50)/RU_Clean!I50*100,"")</f>
        <v>0.768049155145929</v>
      </c>
      <c r="J62" s="12">
        <f>IF(AND(ISNUMBER(RU_Clean!J62),ISNUMBER(RU_Clean!J50)),(RU_Clean!J62-RU_Clean!J50)/RU_Clean!J50*100,"")</f>
        <v>4.30267062314539</v>
      </c>
      <c r="K62" s="12">
        <f>IF(AND(ISNUMBER(RU_Clean!K62),ISNUMBER(RU_Clean!K50)),(RU_Clean!K62-RU_Clean!K50)/RU_Clean!K50*100,"")</f>
        <v>1.01867572156197</v>
      </c>
      <c r="L62" s="12">
        <f>IF(AND(ISNUMBER(RU_Clean!L62),ISNUMBER(RU_Clean!L50)),(RU_Clean!L62-RU_Clean!L50)/RU_Clean!L50*100,"")</f>
        <v>5.04825538233111</v>
      </c>
      <c r="M62" s="12">
        <f>IF(AND(ISNUMBER(RU_Clean!M62),ISNUMBER(RU_Clean!M50)),(RU_Clean!M62-RU_Clean!M50)/RU_Clean!M50*100,"")</f>
        <v>7.53968253968254</v>
      </c>
      <c r="N62" s="12">
        <f>IF(AND(ISNUMBER(RU_Clean!N62),ISNUMBER(RU_Clean!N50)),(RU_Clean!N62-RU_Clean!N50)/RU_Clean!N50*100,"")</f>
        <v>-23.1260894828588</v>
      </c>
      <c r="O62" s="12">
        <f>IF(AND(ISNUMBER(RU_Clean!O62),ISNUMBER(RU_Clean!O50)),(RU_Clean!O62-RU_Clean!O50)/RU_Clean!O50*100,"")</f>
        <v>6.74846625766871</v>
      </c>
      <c r="P62" s="12">
        <f>IF(AND(ISNUMBER(RU_Clean!P62),ISNUMBER(RU_Clean!P50)),(RU_Clean!P62-RU_Clean!P50)/RU_Clean!P50*100,"")</f>
        <v>-2.15362526920316</v>
      </c>
      <c r="Q62" s="12">
        <f>IF(AND(ISNUMBER(RU_Clean!Q62),ISNUMBER(RU_Clean!Q50)),(RU_Clean!Q62-RU_Clean!Q50)/RU_Clean!Q50*100,"")</f>
        <v>2.06185567010309</v>
      </c>
      <c r="R62" s="12">
        <f>IF(AND(ISNUMBER(RU_Clean!R62),ISNUMBER(RU_Clean!R50)),(RU_Clean!R62-RU_Clean!R50)/RU_Clean!R50*100,"")</f>
        <v>4.96102055279943</v>
      </c>
      <c r="S62" s="12">
        <f>IF(AND(ISNUMBER(RU_Clean!S62),ISNUMBER(RU_Clean!S50)),(RU_Clean!S62-RU_Clean!S50)/RU_Clean!S50*100,"")</f>
        <v>2.26277372262773</v>
      </c>
      <c r="T62" s="12">
        <f>IF(AND(ISNUMBER(RU_Clean!T62),ISNUMBER(RU_Clean!T50)),(RU_Clean!T62-RU_Clean!T50)/RU_Clean!T50*100,"")</f>
        <v>6.91114245416078</v>
      </c>
      <c r="U62" s="12">
        <f>IF(AND(ISNUMBER(RU_Clean!U62),ISNUMBER(RU_Clean!U50)),(RU_Clean!U62-RU_Clean!U50)/RU_Clean!U50*100,"")</f>
        <v>4.7970479704797</v>
      </c>
      <c r="V62" s="12">
        <f>IF(AND(ISNUMBER(RU_Clean!V62),ISNUMBER(RU_Clean!V50)),(RU_Clean!V62-RU_Clean!V50)/RU_Clean!V50*100,"")</f>
        <v>3.87296669248644</v>
      </c>
      <c r="W62" s="12">
        <f>IF(AND(ISNUMBER(RU_Clean!W62),ISNUMBER(RU_Clean!W50)),(RU_Clean!W62-RU_Clean!W50)/RU_Clean!W50*100,"")</f>
        <v>4.68401486988848</v>
      </c>
      <c r="X62" s="12">
        <f>IF(AND(ISNUMBER(RU_Clean!X62),ISNUMBER(RU_Clean!X50)),(RU_Clean!X62-RU_Clean!X50)/RU_Clean!X50*100,"")</f>
        <v>6.6822066822067</v>
      </c>
      <c r="Y62" s="12">
        <f>IF(AND(ISNUMBER(RU_Clean!Y62),ISNUMBER(RU_Clean!Y50)),(RU_Clean!Y62-RU_Clean!Y50)/RU_Clean!Y50*100,"")</f>
        <v>6.35559131134352</v>
      </c>
      <c r="Z62" s="12">
        <f>IF(AND(ISNUMBER(RU_Clean!Z62),ISNUMBER(RU_Clean!Z50)),(RU_Clean!Z62-RU_Clean!Z50)/RU_Clean!Z50*100,"")</f>
        <v>4.04984423676012</v>
      </c>
      <c r="AA62" s="12">
        <f>IF(AND(ISNUMBER(RU_Clean!AA62),ISNUMBER(RU_Clean!AA50)),(RU_Clean!AA62-RU_Clean!AA50)/RU_Clean!AA50*100,"")</f>
        <v>4.1237113402062</v>
      </c>
      <c r="AB62" s="12">
        <f>IF(AND(ISNUMBER(RU_Clean!AB62),ISNUMBER(RU_Clean!AB50)),(RU_Clean!AB62-RU_Clean!AB50)/RU_Clean!AB50*100,"")</f>
        <v>2.25694444444444</v>
      </c>
      <c r="AC62" s="12">
        <f>IF(AND(ISNUMBER(RU_Clean!AC62),ISNUMBER(RU_Clean!AC50)),(RU_Clean!AC62-RU_Clean!AC50)/RU_Clean!AC50*100,"")</f>
        <v>3.96761133603239</v>
      </c>
      <c r="AD62" s="12">
        <f>IF(AND(ISNUMBER(RU_Clean!AD62),ISNUMBER(RU_Clean!AD50)),(RU_Clean!AD62-RU_Clean!AD50)/RU_Clean!AD50*100,"")</f>
        <v>4.15407854984894</v>
      </c>
      <c r="AE62" s="12">
        <f>IF(AND(ISNUMBER(RU_Clean!AE62),ISNUMBER(RU_Clean!AE50)),(RU_Clean!AE62-RU_Clean!AE50)/RU_Clean!AE50*100,"")</f>
        <v>3.35790335790336</v>
      </c>
      <c r="AF62" s="12">
        <f>IF(AND(ISNUMBER(RU_Clean!AF62),ISNUMBER(RU_Clean!AF50)),(RU_Clean!AF62-RU_Clean!AF50)/RU_Clean!AF50*100,"")</f>
        <v>3.48460291734197</v>
      </c>
      <c r="AG62" s="12">
        <f>IF(AND(ISNUMBER(RU_Clean!AG62),ISNUMBER(RU_Clean!AG50)),(RU_Clean!AG62-RU_Clean!AG50)/RU_Clean!AG50*100,"")</f>
        <v>3.57686453576864</v>
      </c>
      <c r="AH62" s="12">
        <f>IF(AND(ISNUMBER(RU_Clean!AH62),ISNUMBER(RU_Clean!AH50)),(RU_Clean!AH62-RU_Clean!AH50)/RU_Clean!AH50*100,"")</f>
        <v>0.601300773101019</v>
      </c>
    </row>
    <row r="63" spans="1:34">
      <c r="A63" s="6">
        <f>RU_Clean!A63</f>
        <v>2017</v>
      </c>
      <c r="B63" s="6">
        <f>RU_Clean!B63</f>
        <v>11</v>
      </c>
      <c r="C63" s="6" t="str">
        <f>RU_Clean!C63</f>
        <v>November</v>
      </c>
      <c r="D63" s="9">
        <f>RU_Clean!D63</f>
        <v>43040</v>
      </c>
      <c r="E63" s="6"/>
      <c r="F63" s="6"/>
      <c r="G63" s="12">
        <f>IF(AND(ISNUMBER(RU_Clean!G63),ISNUMBER(RU_Clean!G51)),(RU_Clean!G63-RU_Clean!G51)/RU_Clean!G51*100,"")</f>
        <v>3.27245053272449</v>
      </c>
      <c r="H63" s="12">
        <f>IF(AND(ISNUMBER(RU_Clean!H63),ISNUMBER(RU_Clean!H51)),(RU_Clean!H63-RU_Clean!H51)/RU_Clean!H51*100,"")</f>
        <v>3.33817126269956</v>
      </c>
      <c r="I63" s="12">
        <f>IF(AND(ISNUMBER(RU_Clean!I63),ISNUMBER(RU_Clean!I51)),(RU_Clean!I63-RU_Clean!I51)/RU_Clean!I51*100,"")</f>
        <v>8.25757575757576</v>
      </c>
      <c r="J63" s="12">
        <f>IF(AND(ISNUMBER(RU_Clean!J63),ISNUMBER(RU_Clean!J51)),(RU_Clean!J63-RU_Clean!J51)/RU_Clean!J51*100,"")</f>
        <v>4.2962962962963</v>
      </c>
      <c r="K63" s="12">
        <f>IF(AND(ISNUMBER(RU_Clean!K63),ISNUMBER(RU_Clean!K51)),(RU_Clean!K63-RU_Clean!K51)/RU_Clean!K51*100,"")</f>
        <v>1.01694915254238</v>
      </c>
      <c r="L63" s="12">
        <f>IF(AND(ISNUMBER(RU_Clean!L63),ISNUMBER(RU_Clean!L51)),(RU_Clean!L63-RU_Clean!L51)/RU_Clean!L51*100,"")</f>
        <v>6.04026845637584</v>
      </c>
      <c r="M63" s="12">
        <f>IF(AND(ISNUMBER(RU_Clean!M63),ISNUMBER(RU_Clean!M51)),(RU_Clean!M63-RU_Clean!M51)/RU_Clean!M51*100,"")</f>
        <v>22.4806201550388</v>
      </c>
      <c r="N63" s="12">
        <f>IF(AND(ISNUMBER(RU_Clean!N63),ISNUMBER(RU_Clean!N51)),(RU_Clean!N63-RU_Clean!N51)/RU_Clean!N51*100,"")</f>
        <v>-23.5876528829354</v>
      </c>
      <c r="O63" s="12">
        <f>IF(AND(ISNUMBER(RU_Clean!O63),ISNUMBER(RU_Clean!O51)),(RU_Clean!O63-RU_Clean!O51)/RU_Clean!O51*100,"")</f>
        <v>7.80017528483787</v>
      </c>
      <c r="P63" s="12">
        <f>IF(AND(ISNUMBER(RU_Clean!P63),ISNUMBER(RU_Clean!P51)),(RU_Clean!P63-RU_Clean!P51)/RU_Clean!P51*100,"")</f>
        <v>-2.07587687902647</v>
      </c>
      <c r="Q63" s="12">
        <f>IF(AND(ISNUMBER(RU_Clean!Q63),ISNUMBER(RU_Clean!Q51)),(RU_Clean!Q63-RU_Clean!Q51)/RU_Clean!Q51*100,"")</f>
        <v>2.37717908082408</v>
      </c>
      <c r="R63" s="12">
        <f>IF(AND(ISNUMBER(RU_Clean!R63),ISNUMBER(RU_Clean!R51)),(RU_Clean!R63-RU_Clean!R51)/RU_Clean!R51*100,"")</f>
        <v>5.00705218617771</v>
      </c>
      <c r="S63" s="12">
        <f>IF(AND(ISNUMBER(RU_Clean!S63),ISNUMBER(RU_Clean!S51)),(RU_Clean!S63-RU_Clean!S51)/RU_Clean!S51*100,"")</f>
        <v>4.40852314474651</v>
      </c>
      <c r="T63" s="12">
        <f>IF(AND(ISNUMBER(RU_Clean!T63),ISNUMBER(RU_Clean!T51)),(RU_Clean!T63-RU_Clean!T51)/RU_Clean!T51*100,"")</f>
        <v>7.88732394366196</v>
      </c>
      <c r="U63" s="12">
        <f>IF(AND(ISNUMBER(RU_Clean!U63),ISNUMBER(RU_Clean!U51)),(RU_Clean!U63-RU_Clean!U51)/RU_Clean!U51*100,"")</f>
        <v>5.30191458026509</v>
      </c>
      <c r="V63" s="12">
        <f>IF(AND(ISNUMBER(RU_Clean!V63),ISNUMBER(RU_Clean!V51)),(RU_Clean!V63-RU_Clean!V51)/RU_Clean!V51*100,"")</f>
        <v>4.25367362722351</v>
      </c>
      <c r="W63" s="12">
        <f>IF(AND(ISNUMBER(RU_Clean!W63),ISNUMBER(RU_Clean!W51)),(RU_Clean!W63-RU_Clean!W51)/RU_Clean!W51*100,"")</f>
        <v>5.03703703703705</v>
      </c>
      <c r="X63" s="12">
        <f>IF(AND(ISNUMBER(RU_Clean!X63),ISNUMBER(RU_Clean!X51)),(RU_Clean!X63-RU_Clean!X51)/RU_Clean!X51*100,"")</f>
        <v>7.35863671572425</v>
      </c>
      <c r="Y63" s="12">
        <f>IF(AND(ISNUMBER(RU_Clean!Y63),ISNUMBER(RU_Clean!Y51)),(RU_Clean!Y63-RU_Clean!Y51)/RU_Clean!Y51*100,"")</f>
        <v>8.24000000000001</v>
      </c>
      <c r="Z63" s="12">
        <f>IF(AND(ISNUMBER(RU_Clean!Z63),ISNUMBER(RU_Clean!Z51)),(RU_Clean!Z63-RU_Clean!Z51)/RU_Clean!Z51*100,"")</f>
        <v>4.51010886469674</v>
      </c>
      <c r="AA63" s="12">
        <f>IF(AND(ISNUMBER(RU_Clean!AA63),ISNUMBER(RU_Clean!AA51)),(RU_Clean!AA63-RU_Clean!AA51)/RU_Clean!AA51*100,"")</f>
        <v>4.90506329113923</v>
      </c>
      <c r="AB63" s="12">
        <f>IF(AND(ISNUMBER(RU_Clean!AB63),ISNUMBER(RU_Clean!AB51)),(RU_Clean!AB63-RU_Clean!AB51)/RU_Clean!AB51*100,"")</f>
        <v>2.24719101123595</v>
      </c>
      <c r="AC63" s="12">
        <f>IF(AND(ISNUMBER(RU_Clean!AC63),ISNUMBER(RU_Clean!AC51)),(RU_Clean!AC63-RU_Clean!AC51)/RU_Clean!AC51*100,"")</f>
        <v>3.95161290322581</v>
      </c>
      <c r="AD63" s="12">
        <f>IF(AND(ISNUMBER(RU_Clean!AD63),ISNUMBER(RU_Clean!AD51)),(RU_Clean!AD63-RU_Clean!AD51)/RU_Clean!AD51*100,"")</f>
        <v>4.36746987951806</v>
      </c>
      <c r="AE63" s="12">
        <f>IF(AND(ISNUMBER(RU_Clean!AE63),ISNUMBER(RU_Clean!AE51)),(RU_Clean!AE63-RU_Clean!AE51)/RU_Clean!AE51*100,"")</f>
        <v>3.4257748776509</v>
      </c>
      <c r="AF63" s="12">
        <f>IF(AND(ISNUMBER(RU_Clean!AF63),ISNUMBER(RU_Clean!AF51)),(RU_Clean!AF63-RU_Clean!AF51)/RU_Clean!AF51*100,"")</f>
        <v>3.71567043618741</v>
      </c>
      <c r="AG63" s="12">
        <f>IF(AND(ISNUMBER(RU_Clean!AG63),ISNUMBER(RU_Clean!AG51)),(RU_Clean!AG63-RU_Clean!AG51)/RU_Clean!AG51*100,"")</f>
        <v>4.87804878048781</v>
      </c>
      <c r="AH63" s="12">
        <f>IF(AND(ISNUMBER(RU_Clean!AH63),ISNUMBER(RU_Clean!AH51)),(RU_Clean!AH63-RU_Clean!AH51)/RU_Clean!AH51*100,"")</f>
        <v>2.61131982509085</v>
      </c>
    </row>
    <row r="64" spans="1:34">
      <c r="A64" s="6">
        <f>RU_Clean!A64</f>
        <v>2017</v>
      </c>
      <c r="B64" s="6">
        <f>RU_Clean!B64</f>
        <v>12</v>
      </c>
      <c r="C64" s="6" t="str">
        <f>RU_Clean!C64</f>
        <v>December</v>
      </c>
      <c r="D64" s="9">
        <f>RU_Clean!D64</f>
        <v>43070</v>
      </c>
      <c r="E64" s="6"/>
      <c r="F64" s="6"/>
      <c r="G64" s="12">
        <f>IF(AND(ISNUMBER(RU_Clean!G64),ISNUMBER(RU_Clean!G52)),(RU_Clean!G64-RU_Clean!G52)/RU_Clean!G52*100,"")</f>
        <v>2.64550264550265</v>
      </c>
      <c r="H64" s="12">
        <f>IF(AND(ISNUMBER(RU_Clean!H64),ISNUMBER(RU_Clean!H52)),(RU_Clean!H64-RU_Clean!H52)/RU_Clean!H52*100,"")</f>
        <v>4.14244186046513</v>
      </c>
      <c r="I64" s="12">
        <f>IF(AND(ISNUMBER(RU_Clean!I64),ISNUMBER(RU_Clean!I52)),(RU_Clean!I64-RU_Clean!I52)/RU_Clean!I52*100,"")</f>
        <v>9.255079006772</v>
      </c>
      <c r="J64" s="12">
        <f>IF(AND(ISNUMBER(RU_Clean!J64),ISNUMBER(RU_Clean!J52)),(RU_Clean!J64-RU_Clean!J52)/RU_Clean!J52*100,"")</f>
        <v>4.36713545521836</v>
      </c>
      <c r="K64" s="12">
        <f>IF(AND(ISNUMBER(RU_Clean!K64),ISNUMBER(RU_Clean!K52)),(RU_Clean!K64-RU_Clean!K52)/RU_Clean!K52*100,"")</f>
        <v>1.60202360876898</v>
      </c>
      <c r="L64" s="12">
        <f>IF(AND(ISNUMBER(RU_Clean!L64),ISNUMBER(RU_Clean!L52)),(RU_Clean!L64-RU_Clean!L52)/RU_Clean!L52*100,"")</f>
        <v>6.63149962321026</v>
      </c>
      <c r="M64" s="12">
        <f>IF(AND(ISNUMBER(RU_Clean!M64),ISNUMBER(RU_Clean!M52)),(RU_Clean!M64-RU_Clean!M52)/RU_Clean!M52*100,"")</f>
        <v>29.0502793296089</v>
      </c>
      <c r="N64" s="12">
        <f>IF(AND(ISNUMBER(RU_Clean!N64),ISNUMBER(RU_Clean!N52)),(RU_Clean!N64-RU_Clean!N52)/RU_Clean!N52*100,"")</f>
        <v>-23.4736218138708</v>
      </c>
      <c r="O64" s="12">
        <f>IF(AND(ISNUMBER(RU_Clean!O64),ISNUMBER(RU_Clean!O52)),(RU_Clean!O64-RU_Clean!O52)/RU_Clean!O52*100,"")</f>
        <v>6.2062937062937</v>
      </c>
      <c r="P64" s="12">
        <f>IF(AND(ISNUMBER(RU_Clean!P64),ISNUMBER(RU_Clean!P52)),(RU_Clean!P64-RU_Clean!P52)/RU_Clean!P52*100,"")</f>
        <v>-2.21112696148359</v>
      </c>
      <c r="Q64" s="12">
        <f>IF(AND(ISNUMBER(RU_Clean!Q64),ISNUMBER(RU_Clean!Q52)),(RU_Clean!Q64-RU_Clean!Q52)/RU_Clean!Q52*100,"")</f>
        <v>1.73775671406005</v>
      </c>
      <c r="R64" s="12">
        <f>IF(AND(ISNUMBER(RU_Clean!R64),ISNUMBER(RU_Clean!R52)),(RU_Clean!R64-RU_Clean!R52)/RU_Clean!R52*100,"")</f>
        <v>4.70836261419535</v>
      </c>
      <c r="S64" s="12">
        <f>IF(AND(ISNUMBER(RU_Clean!S64),ISNUMBER(RU_Clean!S52)),(RU_Clean!S64-RU_Clean!S52)/RU_Clean!S52*100,"")</f>
        <v>4.85074626865672</v>
      </c>
      <c r="T64" s="12">
        <f>IF(AND(ISNUMBER(RU_Clean!T64),ISNUMBER(RU_Clean!T52)),(RU_Clean!T64-RU_Clean!T52)/RU_Clean!T52*100,"")</f>
        <v>7.75681341719077</v>
      </c>
      <c r="U64" s="12">
        <f>IF(AND(ISNUMBER(RU_Clean!U64),ISNUMBER(RU_Clean!U52)),(RU_Clean!U64-RU_Clean!U52)/RU_Clean!U52*100,"")</f>
        <v>4.98899486426998</v>
      </c>
      <c r="V64" s="12">
        <f>IF(AND(ISNUMBER(RU_Clean!V64),ISNUMBER(RU_Clean!V52)),(RU_Clean!V64-RU_Clean!V52)/RU_Clean!V52*100,"")</f>
        <v>4.08320493066254</v>
      </c>
      <c r="W64" s="12">
        <f>IF(AND(ISNUMBER(RU_Clean!W64),ISNUMBER(RU_Clean!W52)),(RU_Clean!W64-RU_Clean!W52)/RU_Clean!W52*100,"")</f>
        <v>4.87444608567208</v>
      </c>
      <c r="X64" s="12">
        <f>IF(AND(ISNUMBER(RU_Clean!X64),ISNUMBER(RU_Clean!X52)),(RU_Clean!X64-RU_Clean!X52)/RU_Clean!X52*100,"")</f>
        <v>8.24902723735408</v>
      </c>
      <c r="Y64" s="12">
        <f>IF(AND(ISNUMBER(RU_Clean!Y64),ISNUMBER(RU_Clean!Y52)),(RU_Clean!Y64-RU_Clean!Y52)/RU_Clean!Y52*100,"")</f>
        <v>7.89889415481833</v>
      </c>
      <c r="Z64" s="12">
        <f>IF(AND(ISNUMBER(RU_Clean!Z64),ISNUMBER(RU_Clean!Z52)),(RU_Clean!Z64-RU_Clean!Z52)/RU_Clean!Z52*100,"")</f>
        <v>4.25696594427245</v>
      </c>
      <c r="AA64" s="12">
        <f>IF(AND(ISNUMBER(RU_Clean!AA64),ISNUMBER(RU_Clean!AA52)),(RU_Clean!AA64-RU_Clean!AA52)/RU_Clean!AA52*100,"")</f>
        <v>4.88573680063041</v>
      </c>
      <c r="AB64" s="12">
        <f>IF(AND(ISNUMBER(RU_Clean!AB64),ISNUMBER(RU_Clean!AB52)),(RU_Clean!AB64-RU_Clean!AB52)/RU_Clean!AB52*100,"")</f>
        <v>2.1551724137931</v>
      </c>
      <c r="AC64" s="12">
        <f>IF(AND(ISNUMBER(RU_Clean!AC64),ISNUMBER(RU_Clean!AC52)),(RU_Clean!AC64-RU_Clean!AC52)/RU_Clean!AC52*100,"")</f>
        <v>3.86473429951691</v>
      </c>
      <c r="AD64" s="12">
        <f>IF(AND(ISNUMBER(RU_Clean!AD64),ISNUMBER(RU_Clean!AD52)),(RU_Clean!AD64-RU_Clean!AD52)/RU_Clean!AD52*100,"")</f>
        <v>4.05709992486852</v>
      </c>
      <c r="AE64" s="12">
        <f>IF(AND(ISNUMBER(RU_Clean!AE64),ISNUMBER(RU_Clean!AE52)),(RU_Clean!AE64-RU_Clean!AE52)/RU_Clean!AE52*100,"")</f>
        <v>4.45912469033857</v>
      </c>
      <c r="AF64" s="12">
        <f>IF(AND(ISNUMBER(RU_Clean!AF64),ISNUMBER(RU_Clean!AF52)),(RU_Clean!AF64-RU_Clean!AF52)/RU_Clean!AF52*100,"")</f>
        <v>3.79338175948344</v>
      </c>
      <c r="AG64" s="12">
        <f>IF(AND(ISNUMBER(RU_Clean!AG64),ISNUMBER(RU_Clean!AG52)),(RU_Clean!AG64-RU_Clean!AG52)/RU_Clean!AG52*100,"")</f>
        <v>5.21472392638035</v>
      </c>
      <c r="AH64" s="12">
        <f>IF(AND(ISNUMBER(RU_Clean!AH64),ISNUMBER(RU_Clean!AH52)),(RU_Clean!AH64-RU_Clean!AH52)/RU_Clean!AH52*100,"")</f>
        <v>2.97504201157651</v>
      </c>
    </row>
    <row r="65" spans="1:34">
      <c r="A65" s="6">
        <f>RU_Clean!A65</f>
        <v>2018</v>
      </c>
      <c r="B65" s="6">
        <f>RU_Clean!B65</f>
        <v>1</v>
      </c>
      <c r="C65" s="6" t="str">
        <f>RU_Clean!C65</f>
        <v>January</v>
      </c>
      <c r="D65" s="9">
        <f>RU_Clean!D65</f>
        <v>43101</v>
      </c>
      <c r="E65" s="6"/>
      <c r="F65" s="6"/>
      <c r="G65" s="12">
        <f>IF(AND(ISNUMBER(RU_Clean!G65),ISNUMBER(RU_Clean!G53)),(RU_Clean!G65-RU_Clean!G53)/RU_Clean!G53*100,"")</f>
        <v>2.40963855421686</v>
      </c>
      <c r="H65" s="12">
        <f>IF(AND(ISNUMBER(RU_Clean!H65),ISNUMBER(RU_Clean!H53)),(RU_Clean!H65-RU_Clean!H53)/RU_Clean!H53*100,"")</f>
        <v>4.34153400868307</v>
      </c>
      <c r="I65" s="12">
        <f>IF(AND(ISNUMBER(RU_Clean!I65),ISNUMBER(RU_Clean!I53)),(RU_Clean!I65-RU_Clean!I53)/RU_Clean!I53*100,"")</f>
        <v>8.69894099848714</v>
      </c>
      <c r="J65" s="12">
        <f>IF(AND(ISNUMBER(RU_Clean!J65),ISNUMBER(RU_Clean!J53)),(RU_Clean!J65-RU_Clean!J53)/RU_Clean!J53*100,"")</f>
        <v>4.20974889217134</v>
      </c>
      <c r="K65" s="12">
        <f>IF(AND(ISNUMBER(RU_Clean!K65),ISNUMBER(RU_Clean!K53)),(RU_Clean!K65-RU_Clean!K53)/RU_Clean!K53*100,"")</f>
        <v>1.34340890008397</v>
      </c>
      <c r="L65" s="12">
        <f>IF(AND(ISNUMBER(RU_Clean!L65),ISNUMBER(RU_Clean!L53)),(RU_Clean!L65-RU_Clean!L53)/RU_Clean!L53*100,"")</f>
        <v>6.24060150375941</v>
      </c>
      <c r="M65" s="12">
        <f>IF(AND(ISNUMBER(RU_Clean!M65),ISNUMBER(RU_Clean!M53)),(RU_Clean!M65-RU_Clean!M53)/RU_Clean!M53*100,"")</f>
        <v>26.9681742043551</v>
      </c>
      <c r="N65" s="12">
        <f>IF(AND(ISNUMBER(RU_Clean!N65),ISNUMBER(RU_Clean!N53)),(RU_Clean!N65-RU_Clean!N53)/RU_Clean!N53*100,"")</f>
        <v>-20.1880877742947</v>
      </c>
      <c r="O65" s="12">
        <f>IF(AND(ISNUMBER(RU_Clean!O65),ISNUMBER(RU_Clean!O53)),(RU_Clean!O65-RU_Clean!O53)/RU_Clean!O53*100,"")</f>
        <v>2.7681660899654</v>
      </c>
      <c r="P65" s="12">
        <f>IF(AND(ISNUMBER(RU_Clean!P65),ISNUMBER(RU_Clean!P53)),(RU_Clean!P65-RU_Clean!P53)/RU_Clean!P53*100,"")</f>
        <v>-1.50429799426934</v>
      </c>
      <c r="Q65" s="12">
        <f>IF(AND(ISNUMBER(RU_Clean!Q65),ISNUMBER(RU_Clean!Q53)),(RU_Clean!Q65-RU_Clean!Q53)/RU_Clean!Q53*100,"")</f>
        <v>1.8957345971564</v>
      </c>
      <c r="R65" s="12">
        <f>IF(AND(ISNUMBER(RU_Clean!R65),ISNUMBER(RU_Clean!R53)),(RU_Clean!R65-RU_Clean!R53)/RU_Clean!R53*100,"")</f>
        <v>4.69187675070027</v>
      </c>
      <c r="S65" s="12">
        <f>IF(AND(ISNUMBER(RU_Clean!S65),ISNUMBER(RU_Clean!S53)),(RU_Clean!S65-RU_Clean!S53)/RU_Clean!S53*100,"")</f>
        <v>4.58302028549962</v>
      </c>
      <c r="T65" s="12">
        <f>IF(AND(ISNUMBER(RU_Clean!T65),ISNUMBER(RU_Clean!T53)),(RU_Clean!T65-RU_Clean!T53)/RU_Clean!T53*100,"")</f>
        <v>7.5799721835883</v>
      </c>
      <c r="U65" s="12">
        <f>IF(AND(ISNUMBER(RU_Clean!U65),ISNUMBER(RU_Clean!U53)),(RU_Clean!U65-RU_Clean!U53)/RU_Clean!U53*100,"")</f>
        <v>5.05124450951684</v>
      </c>
      <c r="V65" s="12">
        <f>IF(AND(ISNUMBER(RU_Clean!V65),ISNUMBER(RU_Clean!V53)),(RU_Clean!V65-RU_Clean!V53)/RU_Clean!V53*100,"")</f>
        <v>4.07066052227343</v>
      </c>
      <c r="W65" s="12">
        <f>IF(AND(ISNUMBER(RU_Clean!W65),ISNUMBER(RU_Clean!W53)),(RU_Clean!W65-RU_Clean!W53)/RU_Clean!W53*100,"")</f>
        <v>4.94100294985252</v>
      </c>
      <c r="X65" s="12">
        <f>IF(AND(ISNUMBER(RU_Clean!X65),ISNUMBER(RU_Clean!X53)),(RU_Clean!X65-RU_Clean!X53)/RU_Clean!X53*100,"")</f>
        <v>8.33333333333334</v>
      </c>
      <c r="Y65" s="12">
        <f>IF(AND(ISNUMBER(RU_Clean!Y65),ISNUMBER(RU_Clean!Y53)),(RU_Clean!Y65-RU_Clean!Y53)/RU_Clean!Y53*100,"")</f>
        <v>7.72870662460568</v>
      </c>
      <c r="Z65" s="12">
        <f>IF(AND(ISNUMBER(RU_Clean!Z65),ISNUMBER(RU_Clean!Z53)),(RU_Clean!Z65-RU_Clean!Z53)/RU_Clean!Z53*100,"")</f>
        <v>4.25038639876352</v>
      </c>
      <c r="AA65" s="12">
        <f>IF(AND(ISNUMBER(RU_Clean!AA65),ISNUMBER(RU_Clean!AA53)),(RU_Clean!AA65-RU_Clean!AA53)/RU_Clean!AA53*100,"")</f>
        <v>4.87804878048782</v>
      </c>
      <c r="AB65" s="12">
        <f>IF(AND(ISNUMBER(RU_Clean!AB65),ISNUMBER(RU_Clean!AB53)),(RU_Clean!AB65-RU_Clean!AB53)/RU_Clean!AB53*100,"")</f>
        <v>1.96581196581196</v>
      </c>
      <c r="AC65" s="12">
        <f>IF(AND(ISNUMBER(RU_Clean!AC65),ISNUMBER(RU_Clean!AC53)),(RU_Clean!AC65-RU_Clean!AC53)/RU_Clean!AC53*100,"")</f>
        <v>4.42834138486311</v>
      </c>
      <c r="AD65" s="12">
        <f>IF(AND(ISNUMBER(RU_Clean!AD65),ISNUMBER(RU_Clean!AD53)),(RU_Clean!AD65-RU_Clean!AD53)/RU_Clean!AD53*100,"")</f>
        <v>4.2760690172543</v>
      </c>
      <c r="AE65" s="12">
        <f>IF(AND(ISNUMBER(RU_Clean!AE65),ISNUMBER(RU_Clean!AE53)),(RU_Clean!AE65-RU_Clean!AE53)/RU_Clean!AE53*100,"")</f>
        <v>4.60147904683648</v>
      </c>
      <c r="AF65" s="12">
        <f>IF(AND(ISNUMBER(RU_Clean!AF65),ISNUMBER(RU_Clean!AF53)),(RU_Clean!AF65-RU_Clean!AF53)/RU_Clean!AF53*100,"")</f>
        <v>3.7781350482315</v>
      </c>
      <c r="AG65" s="12">
        <f>IF(AND(ISNUMBER(RU_Clean!AG65),ISNUMBER(RU_Clean!AG53)),(RU_Clean!AG65-RU_Clean!AG53)/RU_Clean!AG53*100,"")</f>
        <v>5.06523407521105</v>
      </c>
      <c r="AH65" s="12">
        <f>IF(AND(ISNUMBER(RU_Clean!AH65),ISNUMBER(RU_Clean!AH53)),(RU_Clean!AH65-RU_Clean!AH53)/RU_Clean!AH53*100,"")</f>
        <v>2.91682348513364</v>
      </c>
    </row>
    <row r="66" spans="1:34">
      <c r="A66" s="6">
        <f>RU_Clean!A66</f>
        <v>2018</v>
      </c>
      <c r="B66" s="6">
        <f>RU_Clean!B66</f>
        <v>2</v>
      </c>
      <c r="C66" s="6" t="str">
        <f>RU_Clean!C66</f>
        <v>February</v>
      </c>
      <c r="D66" s="9">
        <f>RU_Clean!D66</f>
        <v>43132</v>
      </c>
      <c r="E66" s="6"/>
      <c r="F66" s="6"/>
      <c r="G66" s="12">
        <f>IF(AND(ISNUMBER(RU_Clean!G66),ISNUMBER(RU_Clean!G54)),(RU_Clean!G66-RU_Clean!G54)/RU_Clean!G54*100,"")</f>
        <v>2.10368144252443</v>
      </c>
      <c r="H66" s="12">
        <f>IF(AND(ISNUMBER(RU_Clean!H66),ISNUMBER(RU_Clean!H54)),(RU_Clean!H66-RU_Clean!H54)/RU_Clean!H54*100,"")</f>
        <v>3.38616714697405</v>
      </c>
      <c r="I66" s="12">
        <f>IF(AND(ISNUMBER(RU_Clean!I66),ISNUMBER(RU_Clean!I54)),(RU_Clean!I66-RU_Clean!I54)/RU_Clean!I54*100,"")</f>
        <v>8.50734725444702</v>
      </c>
      <c r="J66" s="12">
        <f>IF(AND(ISNUMBER(RU_Clean!J66),ISNUMBER(RU_Clean!J54)),(RU_Clean!J66-RU_Clean!J54)/RU_Clean!J54*100,"")</f>
        <v>3.75552282768777</v>
      </c>
      <c r="K66" s="12">
        <f>IF(AND(ISNUMBER(RU_Clean!K66),ISNUMBER(RU_Clean!K54)),(RU_Clean!K66-RU_Clean!K54)/RU_Clean!K54*100,"")</f>
        <v>1.00671140939598</v>
      </c>
      <c r="L66" s="12">
        <f>IF(AND(ISNUMBER(RU_Clean!L66),ISNUMBER(RU_Clean!L54)),(RU_Clean!L66-RU_Clean!L54)/RU_Clean!L54*100,"")</f>
        <v>5.61714708056171</v>
      </c>
      <c r="M66" s="12">
        <f>IF(AND(ISNUMBER(RU_Clean!M66),ISNUMBER(RU_Clean!M54)),(RU_Clean!M66-RU_Clean!M54)/RU_Clean!M54*100,"")</f>
        <v>17.5732217573222</v>
      </c>
      <c r="N66" s="12">
        <f>IF(AND(ISNUMBER(RU_Clean!N66),ISNUMBER(RU_Clean!N54)),(RU_Clean!N66-RU_Clean!N54)/RU_Clean!N54*100,"")</f>
        <v>-17.3455978975033</v>
      </c>
      <c r="O66" s="12">
        <f>IF(AND(ISNUMBER(RU_Clean!O66),ISNUMBER(RU_Clean!O54)),(RU_Clean!O66-RU_Clean!O54)/RU_Clean!O54*100,"")</f>
        <v>-0.170502983802219</v>
      </c>
      <c r="P66" s="12">
        <f>IF(AND(ISNUMBER(RU_Clean!P66),ISNUMBER(RU_Clean!P54)),(RU_Clean!P66-RU_Clean!P54)/RU_Clean!P54*100,"")</f>
        <v>-1.00937274693582</v>
      </c>
      <c r="Q66" s="12">
        <f>IF(AND(ISNUMBER(RU_Clean!Q66),ISNUMBER(RU_Clean!Q54)),(RU_Clean!Q66-RU_Clean!Q54)/RU_Clean!Q54*100,"")</f>
        <v>1.33963750985027</v>
      </c>
      <c r="R66" s="12">
        <f>IF(AND(ISNUMBER(RU_Clean!R66),ISNUMBER(RU_Clean!R54)),(RU_Clean!R66-RU_Clean!R54)/RU_Clean!R54*100,"")</f>
        <v>4.46927374301676</v>
      </c>
      <c r="S66" s="12">
        <f>IF(AND(ISNUMBER(RU_Clean!S66),ISNUMBER(RU_Clean!S54)),(RU_Clean!S66-RU_Clean!S54)/RU_Clean!S54*100,"")</f>
        <v>3.45864661654135</v>
      </c>
      <c r="T66" s="12">
        <f>IF(AND(ISNUMBER(RU_Clean!T66),ISNUMBER(RU_Clean!T54)),(RU_Clean!T66-RU_Clean!T54)/RU_Clean!T54*100,"")</f>
        <v>7.27146814404432</v>
      </c>
      <c r="U66" s="12">
        <f>IF(AND(ISNUMBER(RU_Clean!U66),ISNUMBER(RU_Clean!U54)),(RU_Clean!U66-RU_Clean!U54)/RU_Clean!U54*100,"")</f>
        <v>5.11695906432749</v>
      </c>
      <c r="V66" s="12">
        <f>IF(AND(ISNUMBER(RU_Clean!V66),ISNUMBER(RU_Clean!V54)),(RU_Clean!V66-RU_Clean!V54)/RU_Clean!V54*100,"")</f>
        <v>4.06753645433613</v>
      </c>
      <c r="W66" s="12">
        <f>IF(AND(ISNUMBER(RU_Clean!W66),ISNUMBER(RU_Clean!W54)),(RU_Clean!W66-RU_Clean!W54)/RU_Clean!W54*100,"")</f>
        <v>4.93009565857247</v>
      </c>
      <c r="X66" s="12">
        <f>IF(AND(ISNUMBER(RU_Clean!X66),ISNUMBER(RU_Clean!X54)),(RU_Clean!X66-RU_Clean!X54)/RU_Clean!X54*100,"")</f>
        <v>8.27586206896552</v>
      </c>
      <c r="Y66" s="12">
        <f>IF(AND(ISNUMBER(RU_Clean!Y66),ISNUMBER(RU_Clean!Y54)),(RU_Clean!Y66-RU_Clean!Y54)/RU_Clean!Y54*100,"")</f>
        <v>6.8803752931978</v>
      </c>
      <c r="Z66" s="12">
        <f>IF(AND(ISNUMBER(RU_Clean!Z66),ISNUMBER(RU_Clean!Z54)),(RU_Clean!Z66-RU_Clean!Z54)/RU_Clean!Z54*100,"")</f>
        <v>4.24055512721665</v>
      </c>
      <c r="AA66" s="12">
        <f>IF(AND(ISNUMBER(RU_Clean!AA66),ISNUMBER(RU_Clean!AA54)),(RU_Clean!AA66-RU_Clean!AA54)/RU_Clean!AA54*100,"")</f>
        <v>5.02354788069074</v>
      </c>
      <c r="AB66" s="12">
        <f>IF(AND(ISNUMBER(RU_Clean!AB66),ISNUMBER(RU_Clean!AB54)),(RU_Clean!AB66-RU_Clean!AB54)/RU_Clean!AB54*100,"")</f>
        <v>2.38500851788756</v>
      </c>
      <c r="AC66" s="12">
        <f>IF(AND(ISNUMBER(RU_Clean!AC66),ISNUMBER(RU_Clean!AC54)),(RU_Clean!AC66-RU_Clean!AC54)/RU_Clean!AC54*100,"")</f>
        <v>4.25361155698235</v>
      </c>
      <c r="AD66" s="12">
        <f>IF(AND(ISNUMBER(RU_Clean!AD66),ISNUMBER(RU_Clean!AD54)),(RU_Clean!AD66-RU_Clean!AD54)/RU_Clean!AD54*100,"")</f>
        <v>4.19790104947526</v>
      </c>
      <c r="AE66" s="12">
        <f>IF(AND(ISNUMBER(RU_Clean!AE66),ISNUMBER(RU_Clean!AE54)),(RU_Clean!AE66-RU_Clean!AE54)/RU_Clean!AE54*100,"")</f>
        <v>4.15986949429038</v>
      </c>
      <c r="AF66" s="12">
        <f>IF(AND(ISNUMBER(RU_Clean!AF66),ISNUMBER(RU_Clean!AF54)),(RU_Clean!AF66-RU_Clean!AF54)/RU_Clean!AF54*100,"")</f>
        <v>3.84615384615384</v>
      </c>
      <c r="AG66" s="12">
        <f>IF(AND(ISNUMBER(RU_Clean!AG66),ISNUMBER(RU_Clean!AG54)),(RU_Clean!AG66-RU_Clean!AG54)/RU_Clean!AG54*100,"")</f>
        <v>4.44104134762635</v>
      </c>
      <c r="AH66" s="12">
        <f>IF(AND(ISNUMBER(RU_Clean!AH66),ISNUMBER(RU_Clean!AH54)),(RU_Clean!AH66-RU_Clean!AH54)/RU_Clean!AH54*100,"")</f>
        <v>2.10784622160697</v>
      </c>
    </row>
    <row r="67" spans="1:34">
      <c r="A67" s="6">
        <f>RU_Clean!A67</f>
        <v>2018</v>
      </c>
      <c r="B67" s="6">
        <f>RU_Clean!B67</f>
        <v>3</v>
      </c>
      <c r="C67" s="6" t="str">
        <f>RU_Clean!C67</f>
        <v>March</v>
      </c>
      <c r="D67" s="9">
        <f>RU_Clean!D67</f>
        <v>43160</v>
      </c>
      <c r="E67" s="6"/>
      <c r="F67" s="6"/>
      <c r="G67" s="12">
        <f>IF(AND(ISNUMBER(RU_Clean!G67),ISNUMBER(RU_Clean!G55)),(RU_Clean!G67-RU_Clean!G55)/RU_Clean!G55*100,"")</f>
        <v>2.17554388597148</v>
      </c>
      <c r="H67" s="12">
        <f>IF(AND(ISNUMBER(RU_Clean!H67),ISNUMBER(RU_Clean!H55)),(RU_Clean!H67-RU_Clean!H55)/RU_Clean!H55*100,"")</f>
        <v>3.30935251798561</v>
      </c>
      <c r="I67" s="12">
        <f>IF(AND(ISNUMBER(RU_Clean!I67),ISNUMBER(RU_Clean!I55)),(RU_Clean!I67-RU_Clean!I55)/RU_Clean!I55*100,"")</f>
        <v>7.54276827371697</v>
      </c>
      <c r="J67" s="12">
        <f>IF(AND(ISNUMBER(RU_Clean!J67),ISNUMBER(RU_Clean!J55)),(RU_Clean!J67-RU_Clean!J55)/RU_Clean!J55*100,"")</f>
        <v>3.59501100513571</v>
      </c>
      <c r="K67" s="12">
        <f>IF(AND(ISNUMBER(RU_Clean!K67),ISNUMBER(RU_Clean!K55)),(RU_Clean!K67-RU_Clean!K55)/RU_Clean!K55*100,"")</f>
        <v>1.5993265993266</v>
      </c>
      <c r="L67" s="12">
        <f>IF(AND(ISNUMBER(RU_Clean!L67),ISNUMBER(RU_Clean!L55)),(RU_Clean!L67-RU_Clean!L55)/RU_Clean!L55*100,"")</f>
        <v>5.71221981200288</v>
      </c>
      <c r="M67" s="12">
        <f>IF(AND(ISNUMBER(RU_Clean!M67),ISNUMBER(RU_Clean!M55)),(RU_Clean!M67-RU_Clean!M55)/RU_Clean!M55*100,"")</f>
        <v>11.701244813278</v>
      </c>
      <c r="N67" s="12">
        <f>IF(AND(ISNUMBER(RU_Clean!N67),ISNUMBER(RU_Clean!N55)),(RU_Clean!N67-RU_Clean!N55)/RU_Clean!N55*100,"")</f>
        <v>-13.4120917303683</v>
      </c>
      <c r="O67" s="12">
        <f>IF(AND(ISNUMBER(RU_Clean!O67),ISNUMBER(RU_Clean!O55)),(RU_Clean!O67-RU_Clean!O55)/RU_Clean!O55*100,"")</f>
        <v>-1.61016949152543</v>
      </c>
      <c r="P67" s="12">
        <f>IF(AND(ISNUMBER(RU_Clean!P67),ISNUMBER(RU_Clean!P55)),(RU_Clean!P67-RU_Clean!P55)/RU_Clean!P55*100,"")</f>
        <v>-0.0725163161711344</v>
      </c>
      <c r="Q67" s="12">
        <f>IF(AND(ISNUMBER(RU_Clean!Q67),ISNUMBER(RU_Clean!Q55)),(RU_Clean!Q67-RU_Clean!Q55)/RU_Clean!Q55*100,"")</f>
        <v>1.49371069182389</v>
      </c>
      <c r="R67" s="12">
        <f>IF(AND(ISNUMBER(RU_Clean!R67),ISNUMBER(RU_Clean!R55)),(RU_Clean!R67-RU_Clean!R55)/RU_Clean!R55*100,"")</f>
        <v>4.44444444444445</v>
      </c>
      <c r="S67" s="12">
        <f>IF(AND(ISNUMBER(RU_Clean!S67),ISNUMBER(RU_Clean!S55)),(RU_Clean!S67-RU_Clean!S55)/RU_Clean!S55*100,"")</f>
        <v>3.08039068369646</v>
      </c>
      <c r="T67" s="12">
        <f>IF(AND(ISNUMBER(RU_Clean!T67),ISNUMBER(RU_Clean!T55)),(RU_Clean!T67-RU_Clean!T55)/RU_Clean!T55*100,"")</f>
        <v>7.71881461061338</v>
      </c>
      <c r="U67" s="12">
        <f>IF(AND(ISNUMBER(RU_Clean!U67),ISNUMBER(RU_Clean!U55)),(RU_Clean!U67-RU_Clean!U55)/RU_Clean!U55*100,"")</f>
        <v>5.09832483612527</v>
      </c>
      <c r="V67" s="12">
        <f>IF(AND(ISNUMBER(RU_Clean!V67),ISNUMBER(RU_Clean!V55)),(RU_Clean!V67-RU_Clean!V55)/RU_Clean!V55*100,"")</f>
        <v>4.28790199081163</v>
      </c>
      <c r="W67" s="12">
        <f>IF(AND(ISNUMBER(RU_Clean!W67),ISNUMBER(RU_Clean!W55)),(RU_Clean!W67-RU_Clean!W55)/RU_Clean!W55*100,"")</f>
        <v>4.91202346041055</v>
      </c>
      <c r="X67" s="12">
        <f>IF(AND(ISNUMBER(RU_Clean!X67),ISNUMBER(RU_Clean!X55)),(RU_Clean!X67-RU_Clean!X55)/RU_Clean!X55*100,"")</f>
        <v>8.31426392067125</v>
      </c>
      <c r="Y67" s="12">
        <f>IF(AND(ISNUMBER(RU_Clean!Y67),ISNUMBER(RU_Clean!Y55)),(RU_Clean!Y67-RU_Clean!Y55)/RU_Clean!Y55*100,"")</f>
        <v>5.73199070487994</v>
      </c>
      <c r="Z67" s="12">
        <f>IF(AND(ISNUMBER(RU_Clean!Z67),ISNUMBER(RU_Clean!Z55)),(RU_Clean!Z67-RU_Clean!Z55)/RU_Clean!Z55*100,"")</f>
        <v>4.22751729438893</v>
      </c>
      <c r="AA67" s="12">
        <f>IF(AND(ISNUMBER(RU_Clean!AA67),ISNUMBER(RU_Clean!AA55)),(RU_Clean!AA67-RU_Clean!AA55)/RU_Clean!AA55*100,"")</f>
        <v>5.08607198748045</v>
      </c>
      <c r="AB67" s="12">
        <f>IF(AND(ISNUMBER(RU_Clean!AB67),ISNUMBER(RU_Clean!AB55)),(RU_Clean!AB67-RU_Clean!AB55)/RU_Clean!AB55*100,"")</f>
        <v>2.89115646258504</v>
      </c>
      <c r="AC67" s="12">
        <f>IF(AND(ISNUMBER(RU_Clean!AC67),ISNUMBER(RU_Clean!AC55)),(RU_Clean!AC67-RU_Clean!AC55)/RU_Clean!AC55*100,"")</f>
        <v>4.32</v>
      </c>
      <c r="AD67" s="12">
        <f>IF(AND(ISNUMBER(RU_Clean!AD67),ISNUMBER(RU_Clean!AD55)),(RU_Clean!AD67-RU_Clean!AD55)/RU_Clean!AD55*100,"")</f>
        <v>4.48430493273543</v>
      </c>
      <c r="AE67" s="12">
        <f>IF(AND(ISNUMBER(RU_Clean!AE67),ISNUMBER(RU_Clean!AE55)),(RU_Clean!AE67-RU_Clean!AE55)/RU_Clean!AE55*100,"")</f>
        <v>4.56769983686786</v>
      </c>
      <c r="AF67" s="12">
        <f>IF(AND(ISNUMBER(RU_Clean!AF67),ISNUMBER(RU_Clean!AF55)),(RU_Clean!AF67-RU_Clean!AF55)/RU_Clean!AF55*100,"")</f>
        <v>4.1566746602718</v>
      </c>
      <c r="AG67" s="12">
        <f>IF(AND(ISNUMBER(RU_Clean!AG67),ISNUMBER(RU_Clean!AG55)),(RU_Clean!AG67-RU_Clean!AG55)/RU_Clean!AG55*100,"")</f>
        <v>4.27807486631016</v>
      </c>
      <c r="AH67" s="12">
        <f>IF(AND(ISNUMBER(RU_Clean!AH67),ISNUMBER(RU_Clean!AH55)),(RU_Clean!AH67-RU_Clean!AH55)/RU_Clean!AH55*100,"")</f>
        <v>2.08096859629208</v>
      </c>
    </row>
    <row r="68" spans="1:34">
      <c r="A68" s="6">
        <f>RU_Clean!A68</f>
        <v>2018</v>
      </c>
      <c r="B68" s="6">
        <f>RU_Clean!B68</f>
        <v>4</v>
      </c>
      <c r="C68" s="6" t="str">
        <f>RU_Clean!C68</f>
        <v>April</v>
      </c>
      <c r="D68" s="9">
        <f>RU_Clean!D68</f>
        <v>43191</v>
      </c>
      <c r="E68" s="6"/>
      <c r="F68" s="6"/>
      <c r="G68" s="12">
        <f>IF(AND(ISNUMBER(RU_Clean!G68),ISNUMBER(RU_Clean!G56)),(RU_Clean!G68-RU_Clean!G56)/RU_Clean!G56*100,"")</f>
        <v>2.55639097744361</v>
      </c>
      <c r="H68" s="12">
        <f>IF(AND(ISNUMBER(RU_Clean!H68),ISNUMBER(RU_Clean!H56)),(RU_Clean!H68-RU_Clean!H56)/RU_Clean!H56*100,"")</f>
        <v>3.58680057388809</v>
      </c>
      <c r="I68" s="12">
        <f>IF(AND(ISNUMBER(RU_Clean!I68),ISNUMBER(RU_Clean!I56)),(RU_Clean!I68-RU_Clean!I56)/RU_Clean!I56*100,"")</f>
        <v>6.18556701030929</v>
      </c>
      <c r="J68" s="12">
        <f>IF(AND(ISNUMBER(RU_Clean!J68),ISNUMBER(RU_Clean!J56)),(RU_Clean!J68-RU_Clean!J56)/RU_Clean!J56*100,"")</f>
        <v>3.20699708454811</v>
      </c>
      <c r="K68" s="12">
        <f>IF(AND(ISNUMBER(RU_Clean!K68),ISNUMBER(RU_Clean!K56)),(RU_Clean!K68-RU_Clean!K56)/RU_Clean!K56*100,"")</f>
        <v>2.19594594594594</v>
      </c>
      <c r="L68" s="12">
        <f>IF(AND(ISNUMBER(RU_Clean!L68),ISNUMBER(RU_Clean!L56)),(RU_Clean!L68-RU_Clean!L56)/RU_Clean!L56*100,"")</f>
        <v>9.72122944960686</v>
      </c>
      <c r="M68" s="12">
        <f>IF(AND(ISNUMBER(RU_Clean!M68),ISNUMBER(RU_Clean!M56)),(RU_Clean!M68-RU_Clean!M56)/RU_Clean!M56*100,"")</f>
        <v>7.45542949756887</v>
      </c>
      <c r="N68" s="12">
        <f>IF(AND(ISNUMBER(RU_Clean!N68),ISNUMBER(RU_Clean!N56)),(RU_Clean!N68-RU_Clean!N56)/RU_Clean!N56*100,"")</f>
        <v>-12.3491838183109</v>
      </c>
      <c r="O68" s="12">
        <f>IF(AND(ISNUMBER(RU_Clean!O68),ISNUMBER(RU_Clean!O56)),(RU_Clean!O68-RU_Clean!O56)/RU_Clean!O56*100,"")</f>
        <v>-4.0506329113924</v>
      </c>
      <c r="P68" s="12">
        <f>IF(AND(ISNUMBER(RU_Clean!P68),ISNUMBER(RU_Clean!P56)),(RU_Clean!P68-RU_Clean!P56)/RU_Clean!P56*100,"")</f>
        <v>1.24542124542124</v>
      </c>
      <c r="Q68" s="12">
        <f>IF(AND(ISNUMBER(RU_Clean!Q68),ISNUMBER(RU_Clean!Q56)),(RU_Clean!Q68-RU_Clean!Q56)/RU_Clean!Q56*100,"")</f>
        <v>1.72684458398743</v>
      </c>
      <c r="R68" s="12">
        <f>IF(AND(ISNUMBER(RU_Clean!R68),ISNUMBER(RU_Clean!R56)),(RU_Clean!R68-RU_Clean!R56)/RU_Clean!R56*100,"")</f>
        <v>4.85436893203884</v>
      </c>
      <c r="S68" s="12">
        <f>IF(AND(ISNUMBER(RU_Clean!S68),ISNUMBER(RU_Clean!S56)),(RU_Clean!S68-RU_Clean!S56)/RU_Clean!S56*100,"")</f>
        <v>2.99625468164794</v>
      </c>
      <c r="T68" s="12">
        <f>IF(AND(ISNUMBER(RU_Clean!T68),ISNUMBER(RU_Clean!T56)),(RU_Clean!T68-RU_Clean!T56)/RU_Clean!T56*100,"")</f>
        <v>7.90921595598349</v>
      </c>
      <c r="U68" s="12">
        <f>IF(AND(ISNUMBER(RU_Clean!U68),ISNUMBER(RU_Clean!U56)),(RU_Clean!U68-RU_Clean!U56)/RU_Clean!U56*100,"")</f>
        <v>5.28985507246378</v>
      </c>
      <c r="V68" s="12">
        <f>IF(AND(ISNUMBER(RU_Clean!V68),ISNUMBER(RU_Clean!V56)),(RU_Clean!V68-RU_Clean!V56)/RU_Clean!V56*100,"")</f>
        <v>4.27154843630816</v>
      </c>
      <c r="W68" s="12">
        <f>IF(AND(ISNUMBER(RU_Clean!W68),ISNUMBER(RU_Clean!W56)),(RU_Clean!W68-RU_Clean!W56)/RU_Clean!W56*100,"")</f>
        <v>5.10948905109489</v>
      </c>
      <c r="X68" s="12">
        <f>IF(AND(ISNUMBER(RU_Clean!X68),ISNUMBER(RU_Clean!X56)),(RU_Clean!X68-RU_Clean!X56)/RU_Clean!X56*100,"")</f>
        <v>8.50417615793471</v>
      </c>
      <c r="Y68" s="12">
        <f>IF(AND(ISNUMBER(RU_Clean!Y68),ISNUMBER(RU_Clean!Y56)),(RU_Clean!Y68-RU_Clean!Y56)/RU_Clean!Y56*100,"")</f>
        <v>5.16178736517719</v>
      </c>
      <c r="Z68" s="12">
        <f>IF(AND(ISNUMBER(RU_Clean!Z68),ISNUMBER(RU_Clean!Z56)),(RU_Clean!Z68-RU_Clean!Z56)/RU_Clean!Z56*100,"")</f>
        <v>4.75460122699386</v>
      </c>
      <c r="AA68" s="12">
        <f>IF(AND(ISNUMBER(RU_Clean!AA68),ISNUMBER(RU_Clean!AA56)),(RU_Clean!AA68-RU_Clean!AA56)/RU_Clean!AA56*100,"")</f>
        <v>5.54254488680718</v>
      </c>
      <c r="AB68" s="12">
        <f>IF(AND(ISNUMBER(RU_Clean!AB68),ISNUMBER(RU_Clean!AB56)),(RU_Clean!AB68-RU_Clean!AB56)/RU_Clean!AB56*100,"")</f>
        <v>4.54545454545456</v>
      </c>
      <c r="AC68" s="12">
        <f>IF(AND(ISNUMBER(RU_Clean!AC68),ISNUMBER(RU_Clean!AC56)),(RU_Clean!AC68-RU_Clean!AC56)/RU_Clean!AC56*100,"")</f>
        <v>4.95603517186252</v>
      </c>
      <c r="AD68" s="12">
        <f>IF(AND(ISNUMBER(RU_Clean!AD68),ISNUMBER(RU_Clean!AD56)),(RU_Clean!AD68-RU_Clean!AD56)/RU_Clean!AD56*100,"")</f>
        <v>5.13011152416357</v>
      </c>
      <c r="AE68" s="12">
        <f>IF(AND(ISNUMBER(RU_Clean!AE68),ISNUMBER(RU_Clean!AE56)),(RU_Clean!AE68-RU_Clean!AE56)/RU_Clean!AE56*100,"")</f>
        <v>4.9553208773355</v>
      </c>
      <c r="AF68" s="12">
        <f>IF(AND(ISNUMBER(RU_Clean!AF68),ISNUMBER(RU_Clean!AF56)),(RU_Clean!AF68-RU_Clean!AF56)/RU_Clean!AF56*100,"")</f>
        <v>4.95603517186252</v>
      </c>
      <c r="AG68" s="12">
        <f>IF(AND(ISNUMBER(RU_Clean!AG68),ISNUMBER(RU_Clean!AG56)),(RU_Clean!AG68-RU_Clean!AG56)/RU_Clean!AG56*100,"")</f>
        <v>4.5766590389016</v>
      </c>
      <c r="AH68" s="12">
        <f>IF(AND(ISNUMBER(RU_Clean!AH68),ISNUMBER(RU_Clean!AH56)),(RU_Clean!AH68-RU_Clean!AH56)/RU_Clean!AH56*100,"")</f>
        <v>2.18941258123541</v>
      </c>
    </row>
    <row r="69" spans="1:34">
      <c r="A69" s="6">
        <f>RU_Clean!A69</f>
        <v>2018</v>
      </c>
      <c r="B69" s="6">
        <f>RU_Clean!B69</f>
        <v>5</v>
      </c>
      <c r="C69" s="6" t="str">
        <f>RU_Clean!C69</f>
        <v>May</v>
      </c>
      <c r="D69" s="9">
        <f>RU_Clean!D69</f>
        <v>43221</v>
      </c>
      <c r="E69" s="6"/>
      <c r="F69" s="6"/>
      <c r="G69" s="12">
        <f>IF(AND(ISNUMBER(RU_Clean!G69),ISNUMBER(RU_Clean!G57)),(RU_Clean!G69-RU_Clean!G57)/RU_Clean!G57*100,"")</f>
        <v>2.78404815650864</v>
      </c>
      <c r="H69" s="12">
        <f>IF(AND(ISNUMBER(RU_Clean!H69),ISNUMBER(RU_Clean!H57)),(RU_Clean!H69-RU_Clean!H57)/RU_Clean!H57*100,"")</f>
        <v>3.53107344632768</v>
      </c>
      <c r="I69" s="12">
        <f>IF(AND(ISNUMBER(RU_Clean!I69),ISNUMBER(RU_Clean!I57)),(RU_Clean!I69-RU_Clean!I57)/RU_Clean!I57*100,"")</f>
        <v>5.77988915281077</v>
      </c>
      <c r="J69" s="12">
        <f>IF(AND(ISNUMBER(RU_Clean!J69),ISNUMBER(RU_Clean!J57)),(RU_Clean!J69-RU_Clean!J57)/RU_Clean!J57*100,"")</f>
        <v>3.19535221496006</v>
      </c>
      <c r="K69" s="12">
        <f>IF(AND(ISNUMBER(RU_Clean!K69),ISNUMBER(RU_Clean!K57)),(RU_Clean!K69-RU_Clean!K57)/RU_Clean!K57*100,"")</f>
        <v>2.45554614733277</v>
      </c>
      <c r="L69" s="12">
        <f>IF(AND(ISNUMBER(RU_Clean!L69),ISNUMBER(RU_Clean!L57)),(RU_Clean!L69-RU_Clean!L57)/RU_Clean!L57*100,"")</f>
        <v>12.1102248005801</v>
      </c>
      <c r="M69" s="12">
        <f>IF(AND(ISNUMBER(RU_Clean!M69),ISNUMBER(RU_Clean!M57)),(RU_Clean!M69-RU_Clean!M57)/RU_Clean!M57*100,"")</f>
        <v>7.96178343949045</v>
      </c>
      <c r="N69" s="12">
        <f>IF(AND(ISNUMBER(RU_Clean!N69),ISNUMBER(RU_Clean!N57)),(RU_Clean!N69-RU_Clean!N57)/RU_Clean!N57*100,"")</f>
        <v>-11.5690527838033</v>
      </c>
      <c r="O69" s="12">
        <f>IF(AND(ISNUMBER(RU_Clean!O69),ISNUMBER(RU_Clean!O57)),(RU_Clean!O69-RU_Clean!O57)/RU_Clean!O57*100,"")</f>
        <v>-8.20770519262982</v>
      </c>
      <c r="P69" s="12">
        <f>IF(AND(ISNUMBER(RU_Clean!P69),ISNUMBER(RU_Clean!P57)),(RU_Clean!P69-RU_Clean!P57)/RU_Clean!P57*100,"")</f>
        <v>1.54411764705882</v>
      </c>
      <c r="Q69" s="12">
        <f>IF(AND(ISNUMBER(RU_Clean!Q69),ISNUMBER(RU_Clean!Q57)),(RU_Clean!Q69-RU_Clean!Q57)/RU_Clean!Q57*100,"")</f>
        <v>1.8025078369906</v>
      </c>
      <c r="R69" s="12">
        <f>IF(AND(ISNUMBER(RU_Clean!R69),ISNUMBER(RU_Clean!R57)),(RU_Clean!R69-RU_Clean!R57)/RU_Clean!R57*100,"")</f>
        <v>4.98269896193771</v>
      </c>
      <c r="S69" s="12">
        <f>IF(AND(ISNUMBER(RU_Clean!S69),ISNUMBER(RU_Clean!S57)),(RU_Clean!S69-RU_Clean!S57)/RU_Clean!S57*100,"")</f>
        <v>3.29094988780853</v>
      </c>
      <c r="T69" s="12">
        <f>IF(AND(ISNUMBER(RU_Clean!T69),ISNUMBER(RU_Clean!T57)),(RU_Clean!T69-RU_Clean!T57)/RU_Clean!T57*100,"")</f>
        <v>8.00273597811219</v>
      </c>
      <c r="U69" s="12">
        <f>IF(AND(ISNUMBER(RU_Clean!U69),ISNUMBER(RU_Clean!U57)),(RU_Clean!U69-RU_Clean!U57)/RU_Clean!U57*100,"")</f>
        <v>5.643994211288</v>
      </c>
      <c r="V69" s="12">
        <f>IF(AND(ISNUMBER(RU_Clean!V69),ISNUMBER(RU_Clean!V57)),(RU_Clean!V69-RU_Clean!V57)/RU_Clean!V57*100,"")</f>
        <v>4.5662100456621</v>
      </c>
      <c r="W69" s="12">
        <f>IF(AND(ISNUMBER(RU_Clean!W69),ISNUMBER(RU_Clean!W57)),(RU_Clean!W69-RU_Clean!W57)/RU_Clean!W57*100,"")</f>
        <v>5.466472303207</v>
      </c>
      <c r="X69" s="12">
        <f>IF(AND(ISNUMBER(RU_Clean!X69),ISNUMBER(RU_Clean!X57)),(RU_Clean!X69-RU_Clean!X57)/RU_Clean!X57*100,"")</f>
        <v>8.40272520817562</v>
      </c>
      <c r="Y69" s="12">
        <f>IF(AND(ISNUMBER(RU_Clean!Y69),ISNUMBER(RU_Clean!Y57)),(RU_Clean!Y69-RU_Clean!Y57)/RU_Clean!Y57*100,"")</f>
        <v>5.79598145285935</v>
      </c>
      <c r="Z69" s="12">
        <f>IF(AND(ISNUMBER(RU_Clean!Z69),ISNUMBER(RU_Clean!Z57)),(RU_Clean!Z69-RU_Clean!Z57)/RU_Clean!Z57*100,"")</f>
        <v>4.96562261268144</v>
      </c>
      <c r="AA69" s="12">
        <f>IF(AND(ISNUMBER(RU_Clean!AA69),ISNUMBER(RU_Clean!AA57)),(RU_Clean!AA69-RU_Clean!AA57)/RU_Clean!AA57*100,"")</f>
        <v>5.91900311526479</v>
      </c>
      <c r="AB69" s="12">
        <f>IF(AND(ISNUMBER(RU_Clean!AB69),ISNUMBER(RU_Clean!AB57)),(RU_Clean!AB69-RU_Clean!AB57)/RU_Clean!AB57*100,"")</f>
        <v>5.31276778063411</v>
      </c>
      <c r="AC69" s="12">
        <f>IF(AND(ISNUMBER(RU_Clean!AC69),ISNUMBER(RU_Clean!AC57)),(RU_Clean!AC69-RU_Clean!AC57)/RU_Clean!AC57*100,"")</f>
        <v>4.85282418456643</v>
      </c>
      <c r="AD69" s="12">
        <f>IF(AND(ISNUMBER(RU_Clean!AD69),ISNUMBER(RU_Clean!AD57)),(RU_Clean!AD69-RU_Clean!AD57)/RU_Clean!AD57*100,"")</f>
        <v>5.4154302670623</v>
      </c>
      <c r="AE69" s="12">
        <f>IF(AND(ISNUMBER(RU_Clean!AE69),ISNUMBER(RU_Clean!AE57)),(RU_Clean!AE69-RU_Clean!AE57)/RU_Clean!AE57*100,"")</f>
        <v>5.60975609756098</v>
      </c>
      <c r="AF69" s="12">
        <f>IF(AND(ISNUMBER(RU_Clean!AF69),ISNUMBER(RU_Clean!AF57)),(RU_Clean!AF69-RU_Clean!AF57)/RU_Clean!AF57*100,"")</f>
        <v>5.42697525937749</v>
      </c>
      <c r="AG69" s="12">
        <f>IF(AND(ISNUMBER(RU_Clean!AG69),ISNUMBER(RU_Clean!AG57)),(RU_Clean!AG69-RU_Clean!AG57)/RU_Clean!AG57*100,"")</f>
        <v>4.87062404870624</v>
      </c>
      <c r="AH69" s="12">
        <f>IF(AND(ISNUMBER(RU_Clean!AH69),ISNUMBER(RU_Clean!AH57)),(RU_Clean!AH69-RU_Clean!AH57)/RU_Clean!AH57*100,"")</f>
        <v>2.2573932782647</v>
      </c>
    </row>
    <row r="70" spans="1:34">
      <c r="A70" s="6">
        <f>RU_Clean!A70</f>
        <v>2018</v>
      </c>
      <c r="B70" s="6">
        <f>RU_Clean!B70</f>
        <v>6</v>
      </c>
      <c r="C70" s="6" t="str">
        <f>RU_Clean!C70</f>
        <v>June</v>
      </c>
      <c r="D70" s="9">
        <f>RU_Clean!D70</f>
        <v>43252</v>
      </c>
      <c r="E70" s="6"/>
      <c r="F70" s="6"/>
      <c r="G70" s="12">
        <f>IF(AND(ISNUMBER(RU_Clean!G70),ISNUMBER(RU_Clean!G58)),(RU_Clean!G70-RU_Clean!G58)/RU_Clean!G58*100,"")</f>
        <v>2.70067516879219</v>
      </c>
      <c r="H70" s="12">
        <f>IF(AND(ISNUMBER(RU_Clean!H70),ISNUMBER(RU_Clean!H58)),(RU_Clean!H70-RU_Clean!H58)/RU_Clean!H58*100,"")</f>
        <v>2.19931271477662</v>
      </c>
      <c r="I70" s="12">
        <f>IF(AND(ISNUMBER(RU_Clean!I70),ISNUMBER(RU_Clean!I58)),(RU_Clean!I70-RU_Clean!I58)/RU_Clean!I58*100,"")</f>
        <v>5.85480093676815</v>
      </c>
      <c r="J70" s="12">
        <f>IF(AND(ISNUMBER(RU_Clean!J70),ISNUMBER(RU_Clean!J58)),(RU_Clean!J70-RU_Clean!J58)/RU_Clean!J58*100,"")</f>
        <v>3.04127443881247</v>
      </c>
      <c r="K70" s="12">
        <f>IF(AND(ISNUMBER(RU_Clean!K70),ISNUMBER(RU_Clean!K58)),(RU_Clean!K70-RU_Clean!K58)/RU_Clean!K58*100,"")</f>
        <v>2.62267343485617</v>
      </c>
      <c r="L70" s="12">
        <f>IF(AND(ISNUMBER(RU_Clean!L70),ISNUMBER(RU_Clean!L58)),(RU_Clean!L70-RU_Clean!L58)/RU_Clean!L58*100,"")</f>
        <v>10.0574712643678</v>
      </c>
      <c r="M70" s="12">
        <f>IF(AND(ISNUMBER(RU_Clean!M70),ISNUMBER(RU_Clean!M58)),(RU_Clean!M70-RU_Clean!M58)/RU_Clean!M58*100,"")</f>
        <v>7.80195048762189</v>
      </c>
      <c r="N70" s="12">
        <f>IF(AND(ISNUMBER(RU_Clean!N70),ISNUMBER(RU_Clean!N58)),(RU_Clean!N70-RU_Clean!N58)/RU_Clean!N58*100,"")</f>
        <v>-10.8663729809104</v>
      </c>
      <c r="O70" s="12">
        <f>IF(AND(ISNUMBER(RU_Clean!O70),ISNUMBER(RU_Clean!O58)),(RU_Clean!O70-RU_Clean!O58)/RU_Clean!O58*100,"")</f>
        <v>-7.10702341137124</v>
      </c>
      <c r="P70" s="12">
        <f>IF(AND(ISNUMBER(RU_Clean!P70),ISNUMBER(RU_Clean!P58)),(RU_Clean!P70-RU_Clean!P58)/RU_Clean!P58*100,"")</f>
        <v>2.29120473022912</v>
      </c>
      <c r="Q70" s="12">
        <f>IF(AND(ISNUMBER(RU_Clean!Q70),ISNUMBER(RU_Clean!Q58)),(RU_Clean!Q70-RU_Clean!Q58)/RU_Clean!Q58*100,"")</f>
        <v>1.95618153364633</v>
      </c>
      <c r="R70" s="12">
        <f>IF(AND(ISNUMBER(RU_Clean!R70),ISNUMBER(RU_Clean!R58)),(RU_Clean!R70-RU_Clean!R58)/RU_Clean!R58*100,"")</f>
        <v>4.76190476190477</v>
      </c>
      <c r="S70" s="12">
        <f>IF(AND(ISNUMBER(RU_Clean!S70),ISNUMBER(RU_Clean!S58)),(RU_Clean!S70-RU_Clean!S58)/RU_Clean!S58*100,"")</f>
        <v>3.10650887573966</v>
      </c>
      <c r="T70" s="12">
        <f>IF(AND(ISNUMBER(RU_Clean!T70),ISNUMBER(RU_Clean!T58)),(RU_Clean!T70-RU_Clean!T58)/RU_Clean!T58*100,"")</f>
        <v>8.05460750853243</v>
      </c>
      <c r="U70" s="12">
        <f>IF(AND(ISNUMBER(RU_Clean!U70),ISNUMBER(RU_Clean!U58)),(RU_Clean!U70-RU_Clean!U58)/RU_Clean!U58*100,"")</f>
        <v>5.70397111913358</v>
      </c>
      <c r="V70" s="12">
        <f>IF(AND(ISNUMBER(RU_Clean!V70),ISNUMBER(RU_Clean!V58)),(RU_Clean!V70-RU_Clean!V58)/RU_Clean!V58*100,"")</f>
        <v>4.85952923310555</v>
      </c>
      <c r="W70" s="12">
        <f>IF(AND(ISNUMBER(RU_Clean!W70),ISNUMBER(RU_Clean!W58)),(RU_Clean!W70-RU_Clean!W58)/RU_Clean!W58*100,"")</f>
        <v>5.59999999999999</v>
      </c>
      <c r="X70" s="12">
        <f>IF(AND(ISNUMBER(RU_Clean!X70),ISNUMBER(RU_Clean!X58)),(RU_Clean!X70-RU_Clean!X58)/RU_Clean!X58*100,"")</f>
        <v>8.44748858447488</v>
      </c>
      <c r="Y70" s="12">
        <f>IF(AND(ISNUMBER(RU_Clean!Y70),ISNUMBER(RU_Clean!Y58)),(RU_Clean!Y70-RU_Clean!Y58)/RU_Clean!Y58*100,"")</f>
        <v>7.22049689440992</v>
      </c>
      <c r="Z70" s="12">
        <f>IF(AND(ISNUMBER(RU_Clean!Z70),ISNUMBER(RU_Clean!Z58)),(RU_Clean!Z70-RU_Clean!Z58)/RU_Clean!Z58*100,"")</f>
        <v>5.10670731707318</v>
      </c>
      <c r="AA70" s="12">
        <f>IF(AND(ISNUMBER(RU_Clean!AA70),ISNUMBER(RU_Clean!AA58)),(RU_Clean!AA70-RU_Clean!AA58)/RU_Clean!AA58*100,"")</f>
        <v>5.99221789883268</v>
      </c>
      <c r="AB70" s="12">
        <f>IF(AND(ISNUMBER(RU_Clean!AB70),ISNUMBER(RU_Clean!AB58)),(RU_Clean!AB70-RU_Clean!AB58)/RU_Clean!AB58*100,"")</f>
        <v>6.18025751072962</v>
      </c>
      <c r="AC70" s="12">
        <f>IF(AND(ISNUMBER(RU_Clean!AC70),ISNUMBER(RU_Clean!AC58)),(RU_Clean!AC70-RU_Clean!AC58)/RU_Clean!AC58*100,"")</f>
        <v>5.32168387609213</v>
      </c>
      <c r="AD70" s="12">
        <f>IF(AND(ISNUMBER(RU_Clean!AD70),ISNUMBER(RU_Clean!AD58)),(RU_Clean!AD70-RU_Clean!AD58)/RU_Clean!AD58*100,"")</f>
        <v>5.46528803545052</v>
      </c>
      <c r="AE70" s="12">
        <f>IF(AND(ISNUMBER(RU_Clean!AE70),ISNUMBER(RU_Clean!AE58)),(RU_Clean!AE70-RU_Clean!AE58)/RU_Clean!AE58*100,"")</f>
        <v>5.42949756888168</v>
      </c>
      <c r="AF70" s="12">
        <f>IF(AND(ISNUMBER(RU_Clean!AF70),ISNUMBER(RU_Clean!AF58)),(RU_Clean!AF70-RU_Clean!AF58)/RU_Clean!AF58*100,"")</f>
        <v>5.65737051792828</v>
      </c>
      <c r="AG70" s="12">
        <f>IF(AND(ISNUMBER(RU_Clean!AG70),ISNUMBER(RU_Clean!AG58)),(RU_Clean!AG70-RU_Clean!AG58)/RU_Clean!AG58*100,"")</f>
        <v>4.92424242424242</v>
      </c>
      <c r="AH70" s="12">
        <f>IF(AND(ISNUMBER(RU_Clean!AH70),ISNUMBER(RU_Clean!AH58)),(RU_Clean!AH70-RU_Clean!AH58)/RU_Clean!AH58*100,"")</f>
        <v>2.20068771491091</v>
      </c>
    </row>
    <row r="71" spans="1:34">
      <c r="A71" s="6">
        <f>RU_Clean!A71</f>
        <v>2018</v>
      </c>
      <c r="B71" s="6">
        <f>RU_Clean!B71</f>
        <v>7</v>
      </c>
      <c r="C71" s="6" t="str">
        <f>RU_Clean!C71</f>
        <v>July</v>
      </c>
      <c r="D71" s="9">
        <f>RU_Clean!D71</f>
        <v>43282</v>
      </c>
      <c r="E71" s="6"/>
      <c r="F71" s="6"/>
      <c r="G71" s="12">
        <f>IF(AND(ISNUMBER(RU_Clean!G71),ISNUMBER(RU_Clean!G59)),(RU_Clean!G71-RU_Clean!G59)/RU_Clean!G59*100,"")</f>
        <v>2.91916167664671</v>
      </c>
      <c r="H71" s="12">
        <f>IF(AND(ISNUMBER(RU_Clean!H71),ISNUMBER(RU_Clean!H59)),(RU_Clean!H71-RU_Clean!H59)/RU_Clean!H59*100,"")</f>
        <v>2.33356211393274</v>
      </c>
      <c r="I71" s="12">
        <f>IF(AND(ISNUMBER(RU_Clean!I71),ISNUMBER(RU_Clean!I59)),(RU_Clean!I71-RU_Clean!I59)/RU_Clean!I59*100,"")</f>
        <v>7.4074074074074</v>
      </c>
      <c r="J71" s="12">
        <f>IF(AND(ISNUMBER(RU_Clean!J71),ISNUMBER(RU_Clean!J59)),(RU_Clean!J71-RU_Clean!J59)/RU_Clean!J59*100,"")</f>
        <v>2.88808664259928</v>
      </c>
      <c r="K71" s="12">
        <f>IF(AND(ISNUMBER(RU_Clean!K71),ISNUMBER(RU_Clean!K59)),(RU_Clean!K71-RU_Clean!K59)/RU_Clean!K59*100,"")</f>
        <v>2.79424216765454</v>
      </c>
      <c r="L71" s="12">
        <f>IF(AND(ISNUMBER(RU_Clean!L71),ISNUMBER(RU_Clean!L59)),(RU_Clean!L71-RU_Clean!L59)/RU_Clean!L59*100,"")</f>
        <v>6.91114245416078</v>
      </c>
      <c r="M71" s="12">
        <f>IF(AND(ISNUMBER(RU_Clean!M71),ISNUMBER(RU_Clean!M59)),(RU_Clean!M71-RU_Clean!M59)/RU_Clean!M59*100,"")</f>
        <v>-2.25705329153605</v>
      </c>
      <c r="N71" s="12">
        <f>IF(AND(ISNUMBER(RU_Clean!N71),ISNUMBER(RU_Clean!N59)),(RU_Clean!N71-RU_Clean!N59)/RU_Clean!N59*100,"")</f>
        <v>-8.90718562874251</v>
      </c>
      <c r="O71" s="12">
        <f>IF(AND(ISNUMBER(RU_Clean!O71),ISNUMBER(RU_Clean!O59)),(RU_Clean!O71-RU_Clean!O59)/RU_Clean!O59*100,"")</f>
        <v>-5.80912863070539</v>
      </c>
      <c r="P71" s="12">
        <f>IF(AND(ISNUMBER(RU_Clean!P71),ISNUMBER(RU_Clean!P59)),(RU_Clean!P71-RU_Clean!P59)/RU_Clean!P59*100,"")</f>
        <v>2.73668639053256</v>
      </c>
      <c r="Q71" s="12">
        <f>IF(AND(ISNUMBER(RU_Clean!Q71),ISNUMBER(RU_Clean!Q59)),(RU_Clean!Q71-RU_Clean!Q59)/RU_Clean!Q59*100,"")</f>
        <v>1.40077821011674</v>
      </c>
      <c r="R71" s="12">
        <f>IF(AND(ISNUMBER(RU_Clean!R71),ISNUMBER(RU_Clean!R59)),(RU_Clean!R71-RU_Clean!R59)/RU_Clean!R59*100,"")</f>
        <v>4.45816186556927</v>
      </c>
      <c r="S71" s="12">
        <f>IF(AND(ISNUMBER(RU_Clean!S71),ISNUMBER(RU_Clean!S59)),(RU_Clean!S71-RU_Clean!S59)/RU_Clean!S59*100,"")</f>
        <v>1.72661870503598</v>
      </c>
      <c r="T71" s="12">
        <f>IF(AND(ISNUMBER(RU_Clean!T71),ISNUMBER(RU_Clean!T59)),(RU_Clean!T71-RU_Clean!T59)/RU_Clean!T59*100,"")</f>
        <v>6.2753036437247</v>
      </c>
      <c r="U71" s="12">
        <f>IF(AND(ISNUMBER(RU_Clean!U71),ISNUMBER(RU_Clean!U59)),(RU_Clean!U71-RU_Clean!U59)/RU_Clean!U59*100,"")</f>
        <v>5.3840631730079</v>
      </c>
      <c r="V71" s="12">
        <f>IF(AND(ISNUMBER(RU_Clean!V71),ISNUMBER(RU_Clean!V59)),(RU_Clean!V71-RU_Clean!V59)/RU_Clean!V59*100,"")</f>
        <v>4.76911430734293</v>
      </c>
      <c r="W71" s="12">
        <f>IF(AND(ISNUMBER(RU_Clean!W71),ISNUMBER(RU_Clean!W59)),(RU_Clean!W71-RU_Clean!W59)/RU_Clean!W59*100,"")</f>
        <v>5.27838033261025</v>
      </c>
      <c r="X71" s="12">
        <f>IF(AND(ISNUMBER(RU_Clean!X71),ISNUMBER(RU_Clean!X59)),(RU_Clean!X71-RU_Clean!X59)/RU_Clean!X59*100,"")</f>
        <v>8.29562594268477</v>
      </c>
      <c r="Y71" s="12">
        <f>IF(AND(ISNUMBER(RU_Clean!Y71),ISNUMBER(RU_Clean!Y59)),(RU_Clean!Y71-RU_Clean!Y59)/RU_Clean!Y59*100,"")</f>
        <v>7.95981452859349</v>
      </c>
      <c r="Z71" s="12">
        <f>IF(AND(ISNUMBER(RU_Clean!Z71),ISNUMBER(RU_Clean!Z59)),(RU_Clean!Z71-RU_Clean!Z59)/RU_Clean!Z59*100,"")</f>
        <v>5.07960576194086</v>
      </c>
      <c r="AA71" s="12">
        <f>IF(AND(ISNUMBER(RU_Clean!AA71),ISNUMBER(RU_Clean!AA59)),(RU_Clean!AA71-RU_Clean!AA59)/RU_Clean!AA59*100,"")</f>
        <v>5.87326120556414</v>
      </c>
      <c r="AB71" s="12">
        <f>IF(AND(ISNUMBER(RU_Clean!AB71),ISNUMBER(RU_Clean!AB59)),(RU_Clean!AB71-RU_Clean!AB59)/RU_Clean!AB59*100,"")</f>
        <v>6.55172413793103</v>
      </c>
      <c r="AC71" s="12">
        <f>IF(AND(ISNUMBER(RU_Clean!AC71),ISNUMBER(RU_Clean!AC59)),(RU_Clean!AC71-RU_Clean!AC59)/RU_Clean!AC59*100,"")</f>
        <v>5.13428120063191</v>
      </c>
      <c r="AD71" s="12">
        <f>IF(AND(ISNUMBER(RU_Clean!AD71),ISNUMBER(RU_Clean!AD59)),(RU_Clean!AD71-RU_Clean!AD59)/RU_Clean!AD59*100,"")</f>
        <v>5.77485380116957</v>
      </c>
      <c r="AE71" s="12">
        <f>IF(AND(ISNUMBER(RU_Clean!AE71),ISNUMBER(RU_Clean!AE59)),(RU_Clean!AE71-RU_Clean!AE59)/RU_Clean!AE59*100,"")</f>
        <v>5.2588996763754</v>
      </c>
      <c r="AF71" s="12">
        <f>IF(AND(ISNUMBER(RU_Clean!AF71),ISNUMBER(RU_Clean!AF59)),(RU_Clean!AF71-RU_Clean!AF59)/RU_Clean!AF59*100,"")</f>
        <v>5.79825258141381</v>
      </c>
      <c r="AG71" s="12">
        <f>IF(AND(ISNUMBER(RU_Clean!AG71),ISNUMBER(RU_Clean!AG59)),(RU_Clean!AG71-RU_Clean!AG59)/RU_Clean!AG59*100,"")</f>
        <v>4.17287630402386</v>
      </c>
      <c r="AH71" s="12">
        <f>IF(AND(ISNUMBER(RU_Clean!AH71),ISNUMBER(RU_Clean!AH59)),(RU_Clean!AH71-RU_Clean!AH59)/RU_Clean!AH59*100,"")</f>
        <v>1.44136408243376</v>
      </c>
    </row>
    <row r="72" spans="1:34">
      <c r="A72" s="6">
        <f>RU_Clean!A72</f>
        <v>2018</v>
      </c>
      <c r="B72" s="6">
        <f>RU_Clean!B72</f>
        <v>8</v>
      </c>
      <c r="C72" s="6" t="str">
        <f>RU_Clean!C72</f>
        <v>August</v>
      </c>
      <c r="D72" s="9">
        <f>RU_Clean!D72</f>
        <v>43313</v>
      </c>
      <c r="E72" s="6"/>
      <c r="F72" s="6"/>
      <c r="G72" s="12">
        <f>IF(AND(ISNUMBER(RU_Clean!G72),ISNUMBER(RU_Clean!G60)),(RU_Clean!G72-RU_Clean!G60)/RU_Clean!G60*100,"")</f>
        <v>2.97840655249442</v>
      </c>
      <c r="H72" s="12">
        <f>IF(AND(ISNUMBER(RU_Clean!H72),ISNUMBER(RU_Clean!H60)),(RU_Clean!H72-RU_Clean!H60)/RU_Clean!H60*100,"")</f>
        <v>3.20781032078103</v>
      </c>
      <c r="I72" s="12">
        <f>IF(AND(ISNUMBER(RU_Clean!I72),ISNUMBER(RU_Clean!I60)),(RU_Clean!I72-RU_Clean!I60)/RU_Clean!I60*100,"")</f>
        <v>6.8058778035576</v>
      </c>
      <c r="J72" s="12">
        <f>IF(AND(ISNUMBER(RU_Clean!J72),ISNUMBER(RU_Clean!J60)),(RU_Clean!J72-RU_Clean!J60)/RU_Clean!J60*100,"")</f>
        <v>2.58992805755395</v>
      </c>
      <c r="K72" s="12">
        <f>IF(AND(ISNUMBER(RU_Clean!K72),ISNUMBER(RU_Clean!K60)),(RU_Clean!K72-RU_Clean!K60)/RU_Clean!K60*100,"")</f>
        <v>3.47163420829806</v>
      </c>
      <c r="L72" s="12">
        <f>IF(AND(ISNUMBER(RU_Clean!L72),ISNUMBER(RU_Clean!L60)),(RU_Clean!L72-RU_Clean!L60)/RU_Clean!L60*100,"")</f>
        <v>3.50515463917525</v>
      </c>
      <c r="M72" s="12">
        <f>IF(AND(ISNUMBER(RU_Clean!M72),ISNUMBER(RU_Clean!M60)),(RU_Clean!M72-RU_Clean!M60)/RU_Clean!M60*100,"")</f>
        <v>-7.11743772241993</v>
      </c>
      <c r="N72" s="12">
        <f>IF(AND(ISNUMBER(RU_Clean!N72),ISNUMBER(RU_Clean!N60)),(RU_Clean!N72-RU_Clean!N60)/RU_Clean!N60*100,"")</f>
        <v>-7.76186887716653</v>
      </c>
      <c r="O72" s="12">
        <f>IF(AND(ISNUMBER(RU_Clean!O72),ISNUMBER(RU_Clean!O60)),(RU_Clean!O72-RU_Clean!O60)/RU_Clean!O60*100,"")</f>
        <v>-5.36303630363036</v>
      </c>
      <c r="P72" s="12">
        <f>IF(AND(ISNUMBER(RU_Clean!P72),ISNUMBER(RU_Clean!P60)),(RU_Clean!P72-RU_Clean!P60)/RU_Clean!P60*100,"")</f>
        <v>2.80235988200591</v>
      </c>
      <c r="Q72" s="12">
        <f>IF(AND(ISNUMBER(RU_Clean!Q72),ISNUMBER(RU_Clean!Q60)),(RU_Clean!Q72-RU_Clean!Q60)/RU_Clean!Q60*100,"")</f>
        <v>1.86480186480187</v>
      </c>
      <c r="R72" s="12">
        <f>IF(AND(ISNUMBER(RU_Clean!R72),ISNUMBER(RU_Clean!R60)),(RU_Clean!R72-RU_Clean!R60)/RU_Clean!R60*100,"")</f>
        <v>4.2234332425068</v>
      </c>
      <c r="S72" s="12">
        <f>IF(AND(ISNUMBER(RU_Clean!S72),ISNUMBER(RU_Clean!S60)),(RU_Clean!S72-RU_Clean!S60)/RU_Clean!S60*100,"")</f>
        <v>0.782361308677094</v>
      </c>
      <c r="T72" s="12">
        <f>IF(AND(ISNUMBER(RU_Clean!T72),ISNUMBER(RU_Clean!T60)),(RU_Clean!T72-RU_Clean!T60)/RU_Clean!T60*100,"")</f>
        <v>5.40720961281709</v>
      </c>
      <c r="U72" s="12">
        <f>IF(AND(ISNUMBER(RU_Clean!U72),ISNUMBER(RU_Clean!U60)),(RU_Clean!U72-RU_Clean!U60)/RU_Clean!U60*100,"")</f>
        <v>4.98930862437634</v>
      </c>
      <c r="V72" s="12">
        <f>IF(AND(ISNUMBER(RU_Clean!V72),ISNUMBER(RU_Clean!V60)),(RU_Clean!V72-RU_Clean!V60)/RU_Clean!V60*100,"")</f>
        <v>4.36090225563911</v>
      </c>
      <c r="W72" s="12">
        <f>IF(AND(ISNUMBER(RU_Clean!W72),ISNUMBER(RU_Clean!W60)),(RU_Clean!W72-RU_Clean!W60)/RU_Clean!W60*100,"")</f>
        <v>4.88155061019381</v>
      </c>
      <c r="X72" s="12">
        <f>IF(AND(ISNUMBER(RU_Clean!X72),ISNUMBER(RU_Clean!X60)),(RU_Clean!X72-RU_Clean!X60)/RU_Clean!X60*100,"")</f>
        <v>7.58928571428571</v>
      </c>
      <c r="Y72" s="12">
        <f>IF(AND(ISNUMBER(RU_Clean!Y72),ISNUMBER(RU_Clean!Y60)),(RU_Clean!Y72-RU_Clean!Y60)/RU_Clean!Y60*100,"")</f>
        <v>8.55161787365177</v>
      </c>
      <c r="Z72" s="12">
        <f>IF(AND(ISNUMBER(RU_Clean!Z72),ISNUMBER(RU_Clean!Z60)),(RU_Clean!Z72-RU_Clean!Z60)/RU_Clean!Z60*100,"")</f>
        <v>4.96987951807228</v>
      </c>
      <c r="AA72" s="12">
        <f>IF(AND(ISNUMBER(RU_Clean!AA72),ISNUMBER(RU_Clean!AA60)),(RU_Clean!AA72-RU_Clean!AA60)/RU_Clean!AA60*100,"")</f>
        <v>5.76036866359447</v>
      </c>
      <c r="AB72" s="12">
        <f>IF(AND(ISNUMBER(RU_Clean!AB72),ISNUMBER(RU_Clean!AB60)),(RU_Clean!AB72-RU_Clean!AB60)/RU_Clean!AB60*100,"")</f>
        <v>5.96760443307758</v>
      </c>
      <c r="AC72" s="12">
        <f>IF(AND(ISNUMBER(RU_Clean!AC72),ISNUMBER(RU_Clean!AC60)),(RU_Clean!AC72-RU_Clean!AC60)/RU_Clean!AC60*100,"")</f>
        <v>4.94893951296151</v>
      </c>
      <c r="AD72" s="12">
        <f>IF(AND(ISNUMBER(RU_Clean!AD72),ISNUMBER(RU_Clean!AD60)),(RU_Clean!AD72-RU_Clean!AD60)/RU_Clean!AD60*100,"")</f>
        <v>6.1046511627907</v>
      </c>
      <c r="AE72" s="12">
        <f>IF(AND(ISNUMBER(RU_Clean!AE72),ISNUMBER(RU_Clean!AE60)),(RU_Clean!AE72-RU_Clean!AE60)/RU_Clean!AE60*100,"")</f>
        <v>4.49799196787148</v>
      </c>
      <c r="AF72" s="12">
        <f>IF(AND(ISNUMBER(RU_Clean!AF72),ISNUMBER(RU_Clean!AF60)),(RU_Clean!AF72-RU_Clean!AF60)/RU_Clean!AF60*100,"")</f>
        <v>5.59936908517351</v>
      </c>
      <c r="AG72" s="12">
        <f>IF(AND(ISNUMBER(RU_Clean!AG72),ISNUMBER(RU_Clean!AG60)),(RU_Clean!AG72-RU_Clean!AG60)/RU_Clean!AG60*100,"")</f>
        <v>3.69276218611521</v>
      </c>
      <c r="AH72" s="12">
        <f>IF(AND(ISNUMBER(RU_Clean!AH72),ISNUMBER(RU_Clean!AH60)),(RU_Clean!AH72-RU_Clean!AH60)/RU_Clean!AH60*100,"")</f>
        <v>0.839824732229807</v>
      </c>
    </row>
    <row r="73" spans="1:34">
      <c r="A73" s="6">
        <f>RU_Clean!A73</f>
        <v>2018</v>
      </c>
      <c r="B73" s="6">
        <f>RU_Clean!B73</f>
        <v>9</v>
      </c>
      <c r="C73" s="6" t="str">
        <f>RU_Clean!C73</f>
        <v>September</v>
      </c>
      <c r="D73" s="9">
        <f>RU_Clean!D73</f>
        <v>43344</v>
      </c>
      <c r="E73" s="6"/>
      <c r="F73" s="6"/>
      <c r="G73" s="12">
        <f>IF(AND(ISNUMBER(RU_Clean!G73),ISNUMBER(RU_Clean!G61)),(RU_Clean!G73-RU_Clean!G61)/RU_Clean!G61*100,"")</f>
        <v>2.89532293986637</v>
      </c>
      <c r="H73" s="12">
        <f>IF(AND(ISNUMBER(RU_Clean!H73),ISNUMBER(RU_Clean!H61)),(RU_Clean!H73-RU_Clean!H61)/RU_Clean!H61*100,"")</f>
        <v>2.38764044943821</v>
      </c>
      <c r="I73" s="12">
        <f>IF(AND(ISNUMBER(RU_Clean!I73),ISNUMBER(RU_Clean!I61)),(RU_Clean!I73-RU_Clean!I61)/RU_Clean!I61*100,"")</f>
        <v>3.76344086021506</v>
      </c>
      <c r="J73" s="12">
        <f>IF(AND(ISNUMBER(RU_Clean!J73),ISNUMBER(RU_Clean!J61)),(RU_Clean!J73-RU_Clean!J61)/RU_Clean!J61*100,"")</f>
        <v>2.36389684813754</v>
      </c>
      <c r="K73" s="12">
        <f>IF(AND(ISNUMBER(RU_Clean!K73),ISNUMBER(RU_Clean!K61)),(RU_Clean!K73-RU_Clean!K61)/RU_Clean!K61*100,"")</f>
        <v>3.12499999999999</v>
      </c>
      <c r="L73" s="12">
        <f>IF(AND(ISNUMBER(RU_Clean!L73),ISNUMBER(RU_Clean!L61)),(RU_Clean!L73-RU_Clean!L61)/RU_Clean!L61*100,"")</f>
        <v>1.67832167832168</v>
      </c>
      <c r="M73" s="12">
        <f>IF(AND(ISNUMBER(RU_Clean!M73),ISNUMBER(RU_Clean!M61)),(RU_Clean!M73-RU_Clean!M61)/RU_Clean!M61*100,"")</f>
        <v>-4.21455938697318</v>
      </c>
      <c r="N73" s="12">
        <f>IF(AND(ISNUMBER(RU_Clean!N73),ISNUMBER(RU_Clean!N61)),(RU_Clean!N73-RU_Clean!N61)/RU_Clean!N61*100,"")</f>
        <v>-8.65312264860797</v>
      </c>
      <c r="O73" s="12">
        <f>IF(AND(ISNUMBER(RU_Clean!O73),ISNUMBER(RU_Clean!O61)),(RU_Clean!O73-RU_Clean!O61)/RU_Clean!O61*100,"")</f>
        <v>-6.41975308641975</v>
      </c>
      <c r="P73" s="12">
        <f>IF(AND(ISNUMBER(RU_Clean!P73),ISNUMBER(RU_Clean!P61)),(RU_Clean!P73-RU_Clean!P61)/RU_Clean!P61*100,"")</f>
        <v>2.87610619469027</v>
      </c>
      <c r="Q73" s="12">
        <f>IF(AND(ISNUMBER(RU_Clean!Q73),ISNUMBER(RU_Clean!Q61)),(RU_Clean!Q73-RU_Clean!Q61)/RU_Clean!Q61*100,"")</f>
        <v>1.5527950310559</v>
      </c>
      <c r="R73" s="12">
        <f>IF(AND(ISNUMBER(RU_Clean!R73),ISNUMBER(RU_Clean!R61)),(RU_Clean!R73-RU_Clean!R61)/RU_Clean!R61*100,"")</f>
        <v>4.41276306856755</v>
      </c>
      <c r="S73" s="12">
        <f>IF(AND(ISNUMBER(RU_Clean!S73),ISNUMBER(RU_Clean!S61)),(RU_Clean!S73-RU_Clean!S61)/RU_Clean!S61*100,"")</f>
        <v>1.00719424460432</v>
      </c>
      <c r="T73" s="12">
        <f>IF(AND(ISNUMBER(RU_Clean!T73),ISNUMBER(RU_Clean!T61)),(RU_Clean!T73-RU_Clean!T61)/RU_Clean!T61*100,"")</f>
        <v>5.57029177718831</v>
      </c>
      <c r="U73" s="12">
        <f>IF(AND(ISNUMBER(RU_Clean!U73),ISNUMBER(RU_Clean!U61)),(RU_Clean!U73-RU_Clean!U61)/RU_Clean!U61*100,"")</f>
        <v>4.67753366406803</v>
      </c>
      <c r="V73" s="12">
        <f>IF(AND(ISNUMBER(RU_Clean!V73),ISNUMBER(RU_Clean!V61)),(RU_Clean!V73-RU_Clean!V61)/RU_Clean!V61*100,"")</f>
        <v>4.27286356821588</v>
      </c>
      <c r="W73" s="12">
        <f>IF(AND(ISNUMBER(RU_Clean!W73),ISNUMBER(RU_Clean!W61)),(RU_Clean!W73-RU_Clean!W61)/RU_Clean!W61*100,"")</f>
        <v>4.64285714285714</v>
      </c>
      <c r="X73" s="12">
        <f>IF(AND(ISNUMBER(RU_Clean!X73),ISNUMBER(RU_Clean!X61)),(RU_Clean!X73-RU_Clean!X61)/RU_Clean!X61*100,"")</f>
        <v>7.07442888725131</v>
      </c>
      <c r="Y73" s="12">
        <f>IF(AND(ISNUMBER(RU_Clean!Y73),ISNUMBER(RU_Clean!Y61)),(RU_Clean!Y73-RU_Clean!Y61)/RU_Clean!Y61*100,"")</f>
        <v>8.62595419847329</v>
      </c>
      <c r="Z73" s="12">
        <f>IF(AND(ISNUMBER(RU_Clean!Z73),ISNUMBER(RU_Clean!Z61)),(RU_Clean!Z73-RU_Clean!Z61)/RU_Clean!Z61*100,"")</f>
        <v>4.801200300075</v>
      </c>
      <c r="AA73" s="12">
        <f>IF(AND(ISNUMBER(RU_Clean!AA73),ISNUMBER(RU_Clean!AA61)),(RU_Clean!AA73-RU_Clean!AA61)/RU_Clean!AA61*100,"")</f>
        <v>5.97243491577336</v>
      </c>
      <c r="AB73" s="12">
        <f>IF(AND(ISNUMBER(RU_Clean!AB73),ISNUMBER(RU_Clean!AB61)),(RU_Clean!AB73-RU_Clean!AB61)/RU_Clean!AB61*100,"")</f>
        <v>6.50887573964497</v>
      </c>
      <c r="AC73" s="12">
        <f>IF(AND(ISNUMBER(RU_Clean!AC73),ISNUMBER(RU_Clean!AC61)),(RU_Clean!AC73-RU_Clean!AC61)/RU_Clean!AC61*100,"")</f>
        <v>5.16028146989835</v>
      </c>
      <c r="AD73" s="12">
        <f>IF(AND(ISNUMBER(RU_Clean!AD73),ISNUMBER(RU_Clean!AD61)),(RU_Clean!AD73-RU_Clean!AD61)/RU_Clean!AD61*100,"")</f>
        <v>6.4046579330422</v>
      </c>
      <c r="AE73" s="12">
        <f>IF(AND(ISNUMBER(RU_Clean!AE73),ISNUMBER(RU_Clean!AE61)),(RU_Clean!AE73-RU_Clean!AE61)/RU_Clean!AE61*100,"")</f>
        <v>4.13683373110581</v>
      </c>
      <c r="AF73" s="12">
        <f>IF(AND(ISNUMBER(RU_Clean!AF73),ISNUMBER(RU_Clean!AF61)),(RU_Clean!AF73-RU_Clean!AF61)/RU_Clean!AF61*100,"")</f>
        <v>5.6470588235294</v>
      </c>
      <c r="AG73" s="12">
        <f>IF(AND(ISNUMBER(RU_Clean!AG73),ISNUMBER(RU_Clean!AG61)),(RU_Clean!AG73-RU_Clean!AG61)/RU_Clean!AG61*100,"")</f>
        <v>3.69822485207101</v>
      </c>
      <c r="AH73" s="12">
        <f>IF(AND(ISNUMBER(RU_Clean!AH73),ISNUMBER(RU_Clean!AH61)),(RU_Clean!AH73-RU_Clean!AH61)/RU_Clean!AH61*100,"")</f>
        <v>0.496627835683638</v>
      </c>
    </row>
    <row r="74" spans="1:34">
      <c r="A74" s="6">
        <f>RU_Clean!A74</f>
        <v>2018</v>
      </c>
      <c r="B74" s="6">
        <f>RU_Clean!B74</f>
        <v>10</v>
      </c>
      <c r="C74" s="6" t="str">
        <f>RU_Clean!C74</f>
        <v>October</v>
      </c>
      <c r="D74" s="9">
        <f>RU_Clean!D74</f>
        <v>43374</v>
      </c>
      <c r="E74" s="6"/>
      <c r="F74" s="6"/>
      <c r="G74" s="12">
        <f>IF(AND(ISNUMBER(RU_Clean!G74),ISNUMBER(RU_Clean!G62)),(RU_Clean!G74-RU_Clean!G62)/RU_Clean!G62*100,"")</f>
        <v>1.55210643015521</v>
      </c>
      <c r="H74" s="12">
        <f>IF(AND(ISNUMBER(RU_Clean!H74),ISNUMBER(RU_Clean!H62)),(RU_Clean!H74-RU_Clean!H62)/RU_Clean!H62*100,"")</f>
        <v>5.13361462728552</v>
      </c>
      <c r="I74" s="12">
        <f>IF(AND(ISNUMBER(RU_Clean!I74),ISNUMBER(RU_Clean!I62)),(RU_Clean!I74-RU_Clean!I62)/RU_Clean!I62*100,"")</f>
        <v>4.64939024390246</v>
      </c>
      <c r="J74" s="12">
        <f>IF(AND(ISNUMBER(RU_Clean!J74),ISNUMBER(RU_Clean!J62)),(RU_Clean!J74-RU_Clean!J62)/RU_Clean!J62*100,"")</f>
        <v>0.92460881934567</v>
      </c>
      <c r="K74" s="12">
        <f>IF(AND(ISNUMBER(RU_Clean!K74),ISNUMBER(RU_Clean!K62)),(RU_Clean!K74-RU_Clean!K62)/RU_Clean!K62*100,"")</f>
        <v>1.76470588235294</v>
      </c>
      <c r="L74" s="12">
        <f>IF(AND(ISNUMBER(RU_Clean!L74),ISNUMBER(RU_Clean!L62)),(RU_Clean!L74-RU_Clean!L62)/RU_Clean!L62*100,"")</f>
        <v>0.706713780918728</v>
      </c>
      <c r="M74" s="12">
        <f>IF(AND(ISNUMBER(RU_Clean!M74),ISNUMBER(RU_Clean!M62)),(RU_Clean!M74-RU_Clean!M62)/RU_Clean!M62*100,"")</f>
        <v>-9.77859778597786</v>
      </c>
      <c r="N74" s="12">
        <f>IF(AND(ISNUMBER(RU_Clean!N74),ISNUMBER(RU_Clean!N62)),(RU_Clean!N74-RU_Clean!N62)/RU_Clean!N62*100,"")</f>
        <v>-9.97732426303856</v>
      </c>
      <c r="O74" s="12">
        <f>IF(AND(ISNUMBER(RU_Clean!O74),ISNUMBER(RU_Clean!O62)),(RU_Clean!O74-RU_Clean!O62)/RU_Clean!O62*100,"")</f>
        <v>-8.12807881773398</v>
      </c>
      <c r="P74" s="12">
        <f>IF(AND(ISNUMBER(RU_Clean!P74),ISNUMBER(RU_Clean!P62)),(RU_Clean!P74-RU_Clean!P62)/RU_Clean!P62*100,"")</f>
        <v>3.44827586206896</v>
      </c>
      <c r="Q74" s="12">
        <f>IF(AND(ISNUMBER(RU_Clean!Q74),ISNUMBER(RU_Clean!Q62)),(RU_Clean!Q74-RU_Clean!Q62)/RU_Clean!Q62*100,"")</f>
        <v>3.80730380730381</v>
      </c>
      <c r="R74" s="12">
        <f>IF(AND(ISNUMBER(RU_Clean!R74),ISNUMBER(RU_Clean!R62)),(RU_Clean!R74-RU_Clean!R62)/RU_Clean!R62*100,"")</f>
        <v>4.32140445644835</v>
      </c>
      <c r="S74" s="12">
        <f>IF(AND(ISNUMBER(RU_Clean!S74),ISNUMBER(RU_Clean!S62)),(RU_Clean!S74-RU_Clean!S62)/RU_Clean!S62*100,"")</f>
        <v>-0.285510349750183</v>
      </c>
      <c r="T74" s="12">
        <f>IF(AND(ISNUMBER(RU_Clean!T74),ISNUMBER(RU_Clean!T62)),(RU_Clean!T74-RU_Clean!T62)/RU_Clean!T62*100,"")</f>
        <v>7.25593667546174</v>
      </c>
      <c r="U74" s="12">
        <f>IF(AND(ISNUMBER(RU_Clean!U74),ISNUMBER(RU_Clean!U62)),(RU_Clean!U74-RU_Clean!U62)/RU_Clean!U62*100,"")</f>
        <v>4.22535211267606</v>
      </c>
      <c r="V74" s="12">
        <f>IF(AND(ISNUMBER(RU_Clean!V74),ISNUMBER(RU_Clean!V62)),(RU_Clean!V74-RU_Clean!V62)/RU_Clean!V62*100,"")</f>
        <v>3.80313199105145</v>
      </c>
      <c r="W74" s="12">
        <f>IF(AND(ISNUMBER(RU_Clean!W74),ISNUMBER(RU_Clean!W62)),(RU_Clean!W74-RU_Clean!W62)/RU_Clean!W62*100,"")</f>
        <v>4.26136363636364</v>
      </c>
      <c r="X74" s="12">
        <f>IF(AND(ISNUMBER(RU_Clean!X74),ISNUMBER(RU_Clean!X62)),(RU_Clean!X74-RU_Clean!X62)/RU_Clean!X62*100,"")</f>
        <v>6.99198834668608</v>
      </c>
      <c r="Y74" s="12">
        <f>IF(AND(ISNUMBER(RU_Clean!Y74),ISNUMBER(RU_Clean!Y62)),(RU_Clean!Y74-RU_Clean!Y62)/RU_Clean!Y62*100,"")</f>
        <v>9.90922844175493</v>
      </c>
      <c r="Z74" s="12">
        <f>IF(AND(ISNUMBER(RU_Clean!Z74),ISNUMBER(RU_Clean!Z62)),(RU_Clean!Z74-RU_Clean!Z62)/RU_Clean!Z62*100,"")</f>
        <v>6.43712574850299</v>
      </c>
      <c r="AA74" s="12">
        <f>IF(AND(ISNUMBER(RU_Clean!AA74),ISNUMBER(RU_Clean!AA62)),(RU_Clean!AA74-RU_Clean!AA62)/RU_Clean!AA62*100,"")</f>
        <v>8.22543792840821</v>
      </c>
      <c r="AB74" s="12">
        <f>IF(AND(ISNUMBER(RU_Clean!AB74),ISNUMBER(RU_Clean!AB62)),(RU_Clean!AB74-RU_Clean!AB62)/RU_Clean!AB62*100,"")</f>
        <v>6.53650254668931</v>
      </c>
      <c r="AC74" s="12">
        <f>IF(AND(ISNUMBER(RU_Clean!AC74),ISNUMBER(RU_Clean!AC62)),(RU_Clean!AC74-RU_Clean!AC62)/RU_Clean!AC62*100,"")</f>
        <v>6.30841121495327</v>
      </c>
      <c r="AD74" s="12">
        <f>IF(AND(ISNUMBER(RU_Clean!AD74),ISNUMBER(RU_Clean!AD62)),(RU_Clean!AD74-RU_Clean!AD62)/RU_Clean!AD62*100,"")</f>
        <v>7.17911530094272</v>
      </c>
      <c r="AE74" s="12">
        <f>IF(AND(ISNUMBER(RU_Clean!AE74),ISNUMBER(RU_Clean!AE62)),(RU_Clean!AE74-RU_Clean!AE62)/RU_Clean!AE62*100,"")</f>
        <v>4.5958795562599</v>
      </c>
      <c r="AF74" s="12">
        <f>IF(AND(ISNUMBER(RU_Clean!AF74),ISNUMBER(RU_Clean!AF62)),(RU_Clean!AF74-RU_Clean!AF62)/RU_Clean!AF62*100,"")</f>
        <v>6.73453406421301</v>
      </c>
      <c r="AG74" s="12">
        <f>IF(AND(ISNUMBER(RU_Clean!AG74),ISNUMBER(RU_Clean!AG62)),(RU_Clean!AG74-RU_Clean!AG62)/RU_Clean!AG62*100,"")</f>
        <v>3.45334313005145</v>
      </c>
      <c r="AH74" s="12">
        <f>IF(AND(ISNUMBER(RU_Clean!AH74),ISNUMBER(RU_Clean!AH62)),(RU_Clean!AH74-RU_Clean!AH62)/RU_Clean!AH62*100,"")</f>
        <v>-0.189070505001214</v>
      </c>
    </row>
    <row r="75" spans="1:34">
      <c r="A75" s="6">
        <f>RU_Clean!A75</f>
        <v>2018</v>
      </c>
      <c r="B75" s="6">
        <f>RU_Clean!B75</f>
        <v>11</v>
      </c>
      <c r="C75" s="6" t="str">
        <f>RU_Clean!C75</f>
        <v>November</v>
      </c>
      <c r="D75" s="9">
        <f>RU_Clean!D75</f>
        <v>43405</v>
      </c>
      <c r="E75" s="6"/>
      <c r="F75" s="6"/>
      <c r="G75" s="12">
        <f>IF(AND(ISNUMBER(RU_Clean!G75),ISNUMBER(RU_Clean!G63)),(RU_Clean!G75-RU_Clean!G63)/RU_Clean!G63*100,"")</f>
        <v>1.2527634487841</v>
      </c>
      <c r="H75" s="12">
        <f>IF(AND(ISNUMBER(RU_Clean!H75),ISNUMBER(RU_Clean!H63)),(RU_Clean!H75-RU_Clean!H63)/RU_Clean!H63*100,"")</f>
        <v>4.77528089887639</v>
      </c>
      <c r="I75" s="12">
        <f>IF(AND(ISNUMBER(RU_Clean!I75),ISNUMBER(RU_Clean!I63)),(RU_Clean!I75-RU_Clean!I63)/RU_Clean!I63*100,"")</f>
        <v>-4.05878236529042</v>
      </c>
      <c r="J75" s="12">
        <f>IF(AND(ISNUMBER(RU_Clean!J75),ISNUMBER(RU_Clean!J63)),(RU_Clean!J75-RU_Clean!J63)/RU_Clean!J63*100,"")</f>
        <v>0.710227272727273</v>
      </c>
      <c r="K75" s="12">
        <f>IF(AND(ISNUMBER(RU_Clean!K75),ISNUMBER(RU_Clean!K63)),(RU_Clean!K75-RU_Clean!K63)/RU_Clean!K63*100,"")</f>
        <v>1.59395973154362</v>
      </c>
      <c r="L75" s="12">
        <f>IF(AND(ISNUMBER(RU_Clean!L75),ISNUMBER(RU_Clean!L63)),(RU_Clean!L75-RU_Clean!L63)/RU_Clean!L63*100,"")</f>
        <v>0.421940928270058</v>
      </c>
      <c r="M75" s="12">
        <f>IF(AND(ISNUMBER(RU_Clean!M75),ISNUMBER(RU_Clean!M63)),(RU_Clean!M75-RU_Clean!M63)/RU_Clean!M63*100,"")</f>
        <v>-15.5926352128884</v>
      </c>
      <c r="N75" s="12">
        <f>IF(AND(ISNUMBER(RU_Clean!N75),ISNUMBER(RU_Clean!N63)),(RU_Clean!N75-RU_Clean!N63)/RU_Clean!N63*100,"")</f>
        <v>-9.22256097560975</v>
      </c>
      <c r="O75" s="12">
        <f>IF(AND(ISNUMBER(RU_Clean!O75),ISNUMBER(RU_Clean!O63)),(RU_Clean!O75-RU_Clean!O63)/RU_Clean!O63*100,"")</f>
        <v>-9.02439024390243</v>
      </c>
      <c r="P75" s="12">
        <f>IF(AND(ISNUMBER(RU_Clean!P75),ISNUMBER(RU_Clean!P63)),(RU_Clean!P75-RU_Clean!P63)/RU_Clean!P63*100,"")</f>
        <v>2.99707602339181</v>
      </c>
      <c r="Q75" s="12">
        <f>IF(AND(ISNUMBER(RU_Clean!Q75),ISNUMBER(RU_Clean!Q63)),(RU_Clean!Q75-RU_Clean!Q63)/RU_Clean!Q63*100,"")</f>
        <v>3.32817337461301</v>
      </c>
      <c r="R75" s="12">
        <f>IF(AND(ISNUMBER(RU_Clean!R75),ISNUMBER(RU_Clean!R63)),(RU_Clean!R75-RU_Clean!R63)/RU_Clean!R63*100,"")</f>
        <v>3.76091336467427</v>
      </c>
      <c r="S75" s="12">
        <f>IF(AND(ISNUMBER(RU_Clean!S75),ISNUMBER(RU_Clean!S63)),(RU_Clean!S75-RU_Clean!S63)/RU_Clean!S63*100,"")</f>
        <v>-1.68895144264603</v>
      </c>
      <c r="T75" s="12">
        <f>IF(AND(ISNUMBER(RU_Clean!T75),ISNUMBER(RU_Clean!T63)),(RU_Clean!T75-RU_Clean!T63)/RU_Clean!T63*100,"")</f>
        <v>6.13577023498695</v>
      </c>
      <c r="U75" s="12">
        <f>IF(AND(ISNUMBER(RU_Clean!U75),ISNUMBER(RU_Clean!U63)),(RU_Clean!U75-RU_Clean!U63)/RU_Clean!U63*100,"")</f>
        <v>3.4965034965035</v>
      </c>
      <c r="V75" s="12">
        <f>IF(AND(ISNUMBER(RU_Clean!V75),ISNUMBER(RU_Clean!V63)),(RU_Clean!V75-RU_Clean!V63)/RU_Clean!V63*100,"")</f>
        <v>3.18991097922847</v>
      </c>
      <c r="W75" s="12">
        <f>IF(AND(ISNUMBER(RU_Clean!W75),ISNUMBER(RU_Clean!W63)),(RU_Clean!W75-RU_Clean!W63)/RU_Clean!W63*100,"")</f>
        <v>3.45557122708038</v>
      </c>
      <c r="X75" s="12">
        <f>IF(AND(ISNUMBER(RU_Clean!X75),ISNUMBER(RU_Clean!X63)),(RU_Clean!X75-RU_Clean!X63)/RU_Clean!X63*100,"")</f>
        <v>5.988455988456</v>
      </c>
      <c r="Y75" s="12">
        <f>IF(AND(ISNUMBER(RU_Clean!Y75),ISNUMBER(RU_Clean!Y63)),(RU_Clean!Y75-RU_Clean!Y63)/RU_Clean!Y63*100,"")</f>
        <v>7.2431633407243</v>
      </c>
      <c r="Z75" s="12">
        <f>IF(AND(ISNUMBER(RU_Clean!Z75),ISNUMBER(RU_Clean!Z63)),(RU_Clean!Z75-RU_Clean!Z63)/RU_Clean!Z63*100,"")</f>
        <v>5.80357142857142</v>
      </c>
      <c r="AA75" s="12">
        <f>IF(AND(ISNUMBER(RU_Clean!AA75),ISNUMBER(RU_Clean!AA63)),(RU_Clean!AA75-RU_Clean!AA63)/RU_Clean!AA63*100,"")</f>
        <v>7.16440422322775</v>
      </c>
      <c r="AB75" s="12">
        <f>IF(AND(ISNUMBER(RU_Clean!AB75),ISNUMBER(RU_Clean!AB63)),(RU_Clean!AB75-RU_Clean!AB63)/RU_Clean!AB63*100,"")</f>
        <v>6.08622147083686</v>
      </c>
      <c r="AC75" s="12">
        <f>IF(AND(ISNUMBER(RU_Clean!AC75),ISNUMBER(RU_Clean!AC63)),(RU_Clean!AC75-RU_Clean!AC63)/RU_Clean!AC63*100,"")</f>
        <v>5.89604344453064</v>
      </c>
      <c r="AD75" s="12">
        <f>IF(AND(ISNUMBER(RU_Clean!AD75),ISNUMBER(RU_Clean!AD63)),(RU_Clean!AD75-RU_Clean!AD63)/RU_Clean!AD63*100,"")</f>
        <v>6.63780663780665</v>
      </c>
      <c r="AE75" s="12">
        <f>IF(AND(ISNUMBER(RU_Clean!AE75),ISNUMBER(RU_Clean!AE63)),(RU_Clean!AE75-RU_Clean!AE63)/RU_Clean!AE63*100,"")</f>
        <v>4.10094637223975</v>
      </c>
      <c r="AF75" s="12">
        <f>IF(AND(ISNUMBER(RU_Clean!AF75),ISNUMBER(RU_Clean!AF63)),(RU_Clean!AF75-RU_Clean!AF63)/RU_Clean!AF63*100,"")</f>
        <v>6.15264797507789</v>
      </c>
      <c r="AG75" s="12">
        <f>IF(AND(ISNUMBER(RU_Clean!AG75),ISNUMBER(RU_Clean!AG63)),(RU_Clean!AG75-RU_Clean!AG63)/RU_Clean!AG63*100,"")</f>
        <v>2.32558139534885</v>
      </c>
      <c r="AH75" s="12">
        <f>IF(AND(ISNUMBER(RU_Clean!AH75),ISNUMBER(RU_Clean!AH63)),(RU_Clean!AH75-RU_Clean!AH63)/RU_Clean!AH63*100,"")</f>
        <v>-1.8066142488446</v>
      </c>
    </row>
    <row r="76" spans="1:34">
      <c r="A76" s="6">
        <f>RU_Clean!A76</f>
        <v>2018</v>
      </c>
      <c r="B76" s="6">
        <f>RU_Clean!B76</f>
        <v>12</v>
      </c>
      <c r="C76" s="6" t="str">
        <f>RU_Clean!C76</f>
        <v>December</v>
      </c>
      <c r="D76" s="9">
        <f>RU_Clean!D76</f>
        <v>43435</v>
      </c>
      <c r="E76" s="6"/>
      <c r="F76" s="6"/>
      <c r="G76" s="12">
        <f>IF(AND(ISNUMBER(RU_Clean!G76),ISNUMBER(RU_Clean!G64)),(RU_Clean!G76-RU_Clean!G64)/RU_Clean!G64*100,"")</f>
        <v>1.25184094256258</v>
      </c>
      <c r="H76" s="12">
        <f>IF(AND(ISNUMBER(RU_Clean!H76),ISNUMBER(RU_Clean!H64)),(RU_Clean!H76-RU_Clean!H64)/RU_Clean!H64*100,"")</f>
        <v>5.02442428471737</v>
      </c>
      <c r="I76" s="12">
        <f>IF(AND(ISNUMBER(RU_Clean!I76),ISNUMBER(RU_Clean!I64)),(RU_Clean!I76-RU_Clean!I64)/RU_Clean!I64*100,"")</f>
        <v>-4.40771349862257</v>
      </c>
      <c r="J76" s="12">
        <f>IF(AND(ISNUMBER(RU_Clean!J76),ISNUMBER(RU_Clean!J64)),(RU_Clean!J76-RU_Clean!J64)/RU_Clean!J64*100,"")</f>
        <v>0.780141843971627</v>
      </c>
      <c r="K76" s="12">
        <f>IF(AND(ISNUMBER(RU_Clean!K76),ISNUMBER(RU_Clean!K64)),(RU_Clean!K76-RU_Clean!K64)/RU_Clean!K64*100,"")</f>
        <v>1.2448132780083</v>
      </c>
      <c r="L76" s="12">
        <f>IF(AND(ISNUMBER(RU_Clean!L76),ISNUMBER(RU_Clean!L64)),(RU_Clean!L76-RU_Clean!L64)/RU_Clean!L64*100,"")</f>
        <v>-1.48409893992932</v>
      </c>
      <c r="M76" s="12">
        <f>IF(AND(ISNUMBER(RU_Clean!M76),ISNUMBER(RU_Clean!M64)),(RU_Clean!M76-RU_Clean!M64)/RU_Clean!M64*100,"")</f>
        <v>-16.3883735312307</v>
      </c>
      <c r="N76" s="12">
        <f>IF(AND(ISNUMBER(RU_Clean!N76),ISNUMBER(RU_Clean!N64)),(RU_Clean!N76-RU_Clean!N64)/RU_Clean!N64*100,"")</f>
        <v>-7.20371804802478</v>
      </c>
      <c r="O76" s="12">
        <f>IF(AND(ISNUMBER(RU_Clean!O76),ISNUMBER(RU_Clean!O64)),(RU_Clean!O76-RU_Clean!O64)/RU_Clean!O64*100,"")</f>
        <v>-9.21810699588478</v>
      </c>
      <c r="P76" s="12">
        <f>IF(AND(ISNUMBER(RU_Clean!P76),ISNUMBER(RU_Clean!P64)),(RU_Clean!P76-RU_Clean!P64)/RU_Clean!P64*100,"")</f>
        <v>2.5528811086798</v>
      </c>
      <c r="Q76" s="12">
        <f>IF(AND(ISNUMBER(RU_Clean!Q76),ISNUMBER(RU_Clean!Q64)),(RU_Clean!Q76-RU_Clean!Q64)/RU_Clean!Q64*100,"")</f>
        <v>3.88198757763975</v>
      </c>
      <c r="R76" s="12">
        <f>IF(AND(ISNUMBER(RU_Clean!R76),ISNUMBER(RU_Clean!R64)),(RU_Clean!R76-RU_Clean!R64)/RU_Clean!R64*100,"")</f>
        <v>3.75838926174496</v>
      </c>
      <c r="S76" s="12">
        <f>IF(AND(ISNUMBER(RU_Clean!S76),ISNUMBER(RU_Clean!S64)),(RU_Clean!S76-RU_Clean!S64)/RU_Clean!S64*100,"")</f>
        <v>-1.63701067615659</v>
      </c>
      <c r="T76" s="12">
        <f>IF(AND(ISNUMBER(RU_Clean!T76),ISNUMBER(RU_Clean!T64)),(RU_Clean!T76-RU_Clean!T64)/RU_Clean!T64*100,"")</f>
        <v>5.70687418936447</v>
      </c>
      <c r="U76" s="12">
        <f>IF(AND(ISNUMBER(RU_Clean!U76),ISNUMBER(RU_Clean!U64)),(RU_Clean!U76-RU_Clean!U64)/RU_Clean!U64*100,"")</f>
        <v>3.49406009783368</v>
      </c>
      <c r="V76" s="12">
        <f>IF(AND(ISNUMBER(RU_Clean!V76),ISNUMBER(RU_Clean!V64)),(RU_Clean!V76-RU_Clean!V64)/RU_Clean!V64*100,"")</f>
        <v>3.18282753515915</v>
      </c>
      <c r="W76" s="12">
        <f>IF(AND(ISNUMBER(RU_Clean!W76),ISNUMBER(RU_Clean!W64)),(RU_Clean!W76-RU_Clean!W64)/RU_Clean!W64*100,"")</f>
        <v>3.38028169014085</v>
      </c>
      <c r="X76" s="12">
        <f>IF(AND(ISNUMBER(RU_Clean!X76),ISNUMBER(RU_Clean!X64)),(RU_Clean!X76-RU_Clean!X64)/RU_Clean!X64*100,"")</f>
        <v>5.31991373112869</v>
      </c>
      <c r="Y76" s="12">
        <f>IF(AND(ISNUMBER(RU_Clean!Y76),ISNUMBER(RU_Clean!Y64)),(RU_Clean!Y76-RU_Clean!Y64)/RU_Clean!Y64*100,"")</f>
        <v>4.46559297218155</v>
      </c>
      <c r="Z76" s="12">
        <f>IF(AND(ISNUMBER(RU_Clean!Z76),ISNUMBER(RU_Clean!Z64)),(RU_Clean!Z76-RU_Clean!Z64)/RU_Clean!Z64*100,"")</f>
        <v>6.31031922791388</v>
      </c>
      <c r="AA76" s="12">
        <f>IF(AND(ISNUMBER(RU_Clean!AA76),ISNUMBER(RU_Clean!AA64)),(RU_Clean!AA76-RU_Clean!AA64)/RU_Clean!AA64*100,"")</f>
        <v>8.86551465063863</v>
      </c>
      <c r="AB76" s="12">
        <f>IF(AND(ISNUMBER(RU_Clean!AB76),ISNUMBER(RU_Clean!AB64)),(RU_Clean!AB76-RU_Clean!AB64)/RU_Clean!AB64*100,"")</f>
        <v>4.30379746835443</v>
      </c>
      <c r="AC76" s="12">
        <f>IF(AND(ISNUMBER(RU_Clean!AC76),ISNUMBER(RU_Clean!AC64)),(RU_Clean!AC76-RU_Clean!AC64)/RU_Clean!AC64*100,"")</f>
        <v>6.04651162790699</v>
      </c>
      <c r="AD76" s="12">
        <f>IF(AND(ISNUMBER(RU_Clean!AD76),ISNUMBER(RU_Clean!AD64)),(RU_Clean!AD76-RU_Clean!AD64)/RU_Clean!AD64*100,"")</f>
        <v>8.3754512635379</v>
      </c>
      <c r="AE76" s="12">
        <f>IF(AND(ISNUMBER(RU_Clean!AE76),ISNUMBER(RU_Clean!AE64)),(RU_Clean!AE76-RU_Clean!AE64)/RU_Clean!AE64*100,"")</f>
        <v>4.50592885375493</v>
      </c>
      <c r="AF76" s="12">
        <f>IF(AND(ISNUMBER(RU_Clean!AF76),ISNUMBER(RU_Clean!AF64)),(RU_Clean!AF76-RU_Clean!AF64)/RU_Clean!AF64*100,"")</f>
        <v>6.37636080870919</v>
      </c>
      <c r="AG76" s="12">
        <f>IF(AND(ISNUMBER(RU_Clean!AG76),ISNUMBER(RU_Clean!AG64)),(RU_Clean!AG76-RU_Clean!AG64)/RU_Clean!AG64*100,"")</f>
        <v>2.11370262390671</v>
      </c>
      <c r="AH76" s="12">
        <f>IF(AND(ISNUMBER(RU_Clean!AH76),ISNUMBER(RU_Clean!AH64)),(RU_Clean!AH76-RU_Clean!AH64)/RU_Clean!AH64*100,"")</f>
        <v>-1.80719250528861</v>
      </c>
    </row>
    <row r="77" spans="1:34">
      <c r="A77" s="6">
        <f>RU_Clean!A77</f>
        <v>2019</v>
      </c>
      <c r="B77" s="6">
        <f>RU_Clean!B77</f>
        <v>1</v>
      </c>
      <c r="C77" s="6" t="str">
        <f>RU_Clean!C77</f>
        <v>January</v>
      </c>
      <c r="D77" s="9">
        <f>RU_Clean!D77</f>
        <v>43466</v>
      </c>
      <c r="E77" s="6"/>
      <c r="F77" s="6"/>
      <c r="G77" s="12">
        <f>IF(AND(ISNUMBER(RU_Clean!G77),ISNUMBER(RU_Clean!G65)),(RU_Clean!G77-RU_Clean!G65)/RU_Clean!G65*100,"")</f>
        <v>0.80882352941176</v>
      </c>
      <c r="H77" s="12">
        <f>IF(AND(ISNUMBER(RU_Clean!H77),ISNUMBER(RU_Clean!H65)),(RU_Clean!H77-RU_Clean!H65)/RU_Clean!H65*100,"")</f>
        <v>4.99306518723996</v>
      </c>
      <c r="I77" s="12">
        <f>IF(AND(ISNUMBER(RU_Clean!I77),ISNUMBER(RU_Clean!I65)),(RU_Clean!I77-RU_Clean!I65)/RU_Clean!I65*100,"")</f>
        <v>-2.43562978427279</v>
      </c>
      <c r="J77" s="12">
        <f>IF(AND(ISNUMBER(RU_Clean!J77),ISNUMBER(RU_Clean!J65)),(RU_Clean!J77-RU_Clean!J65)/RU_Clean!J65*100,"")</f>
        <v>0.708717221828491</v>
      </c>
      <c r="K77" s="12">
        <f>IF(AND(ISNUMBER(RU_Clean!K77),ISNUMBER(RU_Clean!K65)),(RU_Clean!K77-RU_Clean!K65)/RU_Clean!K65*100,"")</f>
        <v>0.911350455675223</v>
      </c>
      <c r="L77" s="12">
        <f>IF(AND(ISNUMBER(RU_Clean!L77),ISNUMBER(RU_Clean!L65)),(RU_Clean!L77-RU_Clean!L65)/RU_Clean!L65*100,"")</f>
        <v>-4.17551309271055</v>
      </c>
      <c r="M77" s="12">
        <f>IF(AND(ISNUMBER(RU_Clean!M77),ISNUMBER(RU_Clean!M65)),(RU_Clean!M77-RU_Clean!M65)/RU_Clean!M65*100,"")</f>
        <v>-13.3905013192612</v>
      </c>
      <c r="N77" s="12">
        <f>IF(AND(ISNUMBER(RU_Clean!N77),ISNUMBER(RU_Clean!N65)),(RU_Clean!N77-RU_Clean!N65)/RU_Clean!N65*100,"")</f>
        <v>-5.49882168106834</v>
      </c>
      <c r="O77" s="12">
        <f>IF(AND(ISNUMBER(RU_Clean!O77),ISNUMBER(RU_Clean!O65)),(RU_Clean!O77-RU_Clean!O65)/RU_Clean!O65*100,"")</f>
        <v>-8.16498316498317</v>
      </c>
      <c r="P77" s="12">
        <f>IF(AND(ISNUMBER(RU_Clean!P77),ISNUMBER(RU_Clean!P65)),(RU_Clean!P77-RU_Clean!P65)/RU_Clean!P65*100,"")</f>
        <v>1.38181818181819</v>
      </c>
      <c r="Q77" s="12">
        <f>IF(AND(ISNUMBER(RU_Clean!Q77),ISNUMBER(RU_Clean!Q65)),(RU_Clean!Q77-RU_Clean!Q65)/RU_Clean!Q65*100,"")</f>
        <v>3.33333333333334</v>
      </c>
      <c r="R77" s="12">
        <f>IF(AND(ISNUMBER(RU_Clean!R77),ISNUMBER(RU_Clean!R65)),(RU_Clean!R77-RU_Clean!R65)/RU_Clean!R65*100,"")</f>
        <v>3.41137123745819</v>
      </c>
      <c r="S77" s="12">
        <f>IF(AND(ISNUMBER(RU_Clean!S77),ISNUMBER(RU_Clean!S65)),(RU_Clean!S77-RU_Clean!S65)/RU_Clean!S65*100,"")</f>
        <v>-1.29310344827585</v>
      </c>
      <c r="T77" s="12">
        <f>IF(AND(ISNUMBER(RU_Clean!T77),ISNUMBER(RU_Clean!T65)),(RU_Clean!T77-RU_Clean!T65)/RU_Clean!T65*100,"")</f>
        <v>5.4945054945055</v>
      </c>
      <c r="U77" s="12">
        <f>IF(AND(ISNUMBER(RU_Clean!U77),ISNUMBER(RU_Clean!U65)),(RU_Clean!U77-RU_Clean!U65)/RU_Clean!U65*100,"")</f>
        <v>2.85714285714285</v>
      </c>
      <c r="V77" s="12">
        <f>IF(AND(ISNUMBER(RU_Clean!V77),ISNUMBER(RU_Clean!V65)),(RU_Clean!V77-RU_Clean!V65)/RU_Clean!V65*100,"")</f>
        <v>2.5830258302583</v>
      </c>
      <c r="W77" s="12">
        <f>IF(AND(ISNUMBER(RU_Clean!W77),ISNUMBER(RU_Clean!W65)),(RU_Clean!W77-RU_Clean!W65)/RU_Clean!W65*100,"")</f>
        <v>2.88123682361208</v>
      </c>
      <c r="X77" s="12">
        <f>IF(AND(ISNUMBER(RU_Clean!X77),ISNUMBER(RU_Clean!X65)),(RU_Clean!X77-RU_Clean!X65)/RU_Clean!X65*100,"")</f>
        <v>5.19943019943019</v>
      </c>
      <c r="Y77" s="12">
        <f>IF(AND(ISNUMBER(RU_Clean!Y77),ISNUMBER(RU_Clean!Y65)),(RU_Clean!Y77-RU_Clean!Y65)/RU_Clean!Y65*100,"")</f>
        <v>2.12298682284041</v>
      </c>
      <c r="Z77" s="12">
        <f>IF(AND(ISNUMBER(RU_Clean!Z77),ISNUMBER(RU_Clean!Z65)),(RU_Clean!Z77-RU_Clean!Z65)/RU_Clean!Z65*100,"")</f>
        <v>6.44922164566345</v>
      </c>
      <c r="AA77" s="12">
        <f>IF(AND(ISNUMBER(RU_Clean!AA77),ISNUMBER(RU_Clean!AA65)),(RU_Clean!AA77-RU_Clean!AA65)/RU_Clean!AA65*100,"")</f>
        <v>8.8522130532633</v>
      </c>
      <c r="AB77" s="12">
        <f>IF(AND(ISNUMBER(RU_Clean!AB77),ISNUMBER(RU_Clean!AB65)),(RU_Clean!AB77-RU_Clean!AB65)/RU_Clean!AB65*100,"")</f>
        <v>3.35289186923722</v>
      </c>
      <c r="AC77" s="12">
        <f>IF(AND(ISNUMBER(RU_Clean!AC77),ISNUMBER(RU_Clean!AC65)),(RU_Clean!AC77-RU_Clean!AC65)/RU_Clean!AC65*100,"")</f>
        <v>5.39707016191211</v>
      </c>
      <c r="AD77" s="12">
        <f>IF(AND(ISNUMBER(RU_Clean!AD77),ISNUMBER(RU_Clean!AD65)),(RU_Clean!AD77-RU_Clean!AD65)/RU_Clean!AD65*100,"")</f>
        <v>8.05755395683452</v>
      </c>
      <c r="AE77" s="12">
        <f>IF(AND(ISNUMBER(RU_Clean!AE77),ISNUMBER(RU_Clean!AE65)),(RU_Clean!AE77-RU_Clean!AE65)/RU_Clean!AE65*100,"")</f>
        <v>4.32050274941085</v>
      </c>
      <c r="AF77" s="12">
        <f>IF(AND(ISNUMBER(RU_Clean!AF77),ISNUMBER(RU_Clean!AF65)),(RU_Clean!AF77-RU_Clean!AF65)/RU_Clean!AF65*100,"")</f>
        <v>6.04182804027886</v>
      </c>
      <c r="AG77" s="12">
        <f>IF(AND(ISNUMBER(RU_Clean!AG77),ISNUMBER(RU_Clean!AG65)),(RU_Clean!AG77-RU_Clean!AG65)/RU_Clean!AG65*100,"")</f>
        <v>1.97224251278304</v>
      </c>
      <c r="AH77" s="12">
        <f>IF(AND(ISNUMBER(RU_Clean!AH77),ISNUMBER(RU_Clean!AH65)),(RU_Clean!AH77-RU_Clean!AH65)/RU_Clean!AH65*100,"")</f>
        <v>-1.50545498872434</v>
      </c>
    </row>
    <row r="78" spans="1:34">
      <c r="A78" s="6">
        <f>RU_Clean!A78</f>
        <v>2019</v>
      </c>
      <c r="B78" s="6">
        <f>RU_Clean!B78</f>
        <v>2</v>
      </c>
      <c r="C78" s="6" t="str">
        <f>RU_Clean!C78</f>
        <v>February</v>
      </c>
      <c r="D78" s="9">
        <f>RU_Clean!D78</f>
        <v>43497</v>
      </c>
      <c r="E78" s="6"/>
      <c r="F78" s="6"/>
      <c r="G78" s="12">
        <f>IF(AND(ISNUMBER(RU_Clean!G78),ISNUMBER(RU_Clean!G66)),(RU_Clean!G78-RU_Clean!G66)/RU_Clean!G66*100,"")</f>
        <v>1.25091979396614</v>
      </c>
      <c r="H78" s="12">
        <f>IF(AND(ISNUMBER(RU_Clean!H78),ISNUMBER(RU_Clean!H66)),(RU_Clean!H78-RU_Clean!H66)/RU_Clean!H66*100,"")</f>
        <v>5.92334494773519</v>
      </c>
      <c r="I78" s="12">
        <f>IF(AND(ISNUMBER(RU_Clean!I78),ISNUMBER(RU_Clean!I66)),(RU_Clean!I78-RU_Clean!I66)/RU_Clean!I66*100,"")</f>
        <v>0.855310049893078</v>
      </c>
      <c r="J78" s="12">
        <f>IF(AND(ISNUMBER(RU_Clean!J78),ISNUMBER(RU_Clean!J66)),(RU_Clean!J78-RU_Clean!J66)/RU_Clean!J66*100,"")</f>
        <v>0.922640170333558</v>
      </c>
      <c r="K78" s="12">
        <f>IF(AND(ISNUMBER(RU_Clean!K78),ISNUMBER(RU_Clean!K66)),(RU_Clean!K78-RU_Clean!K66)/RU_Clean!K66*100,"")</f>
        <v>1.32890365448504</v>
      </c>
      <c r="L78" s="12">
        <f>IF(AND(ISNUMBER(RU_Clean!L78),ISNUMBER(RU_Clean!L66)),(RU_Clean!L78-RU_Clean!L66)/RU_Clean!L66*100,"")</f>
        <v>-4.54863540937719</v>
      </c>
      <c r="M78" s="12">
        <f>IF(AND(ISNUMBER(RU_Clean!M78),ISNUMBER(RU_Clean!M66)),(RU_Clean!M78-RU_Clean!M66)/RU_Clean!M66*100,"")</f>
        <v>-7.68683274021353</v>
      </c>
      <c r="N78" s="12">
        <f>IF(AND(ISNUMBER(RU_Clean!N78),ISNUMBER(RU_Clean!N66)),(RU_Clean!N78-RU_Clean!N66)/RU_Clean!N66*100,"")</f>
        <v>-3.81558028616852</v>
      </c>
      <c r="O78" s="12">
        <f>IF(AND(ISNUMBER(RU_Clean!O78),ISNUMBER(RU_Clean!O66)),(RU_Clean!O78-RU_Clean!O66)/RU_Clean!O66*100,"")</f>
        <v>-6.91716481639624</v>
      </c>
      <c r="P78" s="12">
        <f>IF(AND(ISNUMBER(RU_Clean!P78),ISNUMBER(RU_Clean!P66)),(RU_Clean!P78-RU_Clean!P66)/RU_Clean!P66*100,"")</f>
        <v>1.74799708667151</v>
      </c>
      <c r="Q78" s="12">
        <f>IF(AND(ISNUMBER(RU_Clean!Q78),ISNUMBER(RU_Clean!Q66)),(RU_Clean!Q78-RU_Clean!Q66)/RU_Clean!Q66*100,"")</f>
        <v>3.88802488335925</v>
      </c>
      <c r="R78" s="12">
        <f>IF(AND(ISNUMBER(RU_Clean!R78),ISNUMBER(RU_Clean!R66)),(RU_Clean!R78-RU_Clean!R66)/RU_Clean!R66*100,"")</f>
        <v>3.54278074866311</v>
      </c>
      <c r="S78" s="12">
        <f>IF(AND(ISNUMBER(RU_Clean!S78),ISNUMBER(RU_Clean!S66)),(RU_Clean!S78-RU_Clean!S66)/RU_Clean!S66*100,"")</f>
        <v>-0.072674418604647</v>
      </c>
      <c r="T78" s="12">
        <f>IF(AND(ISNUMBER(RU_Clean!T78),ISNUMBER(RU_Clean!T66)),(RU_Clean!T78-RU_Clean!T66)/RU_Clean!T66*100,"")</f>
        <v>5.48741123305358</v>
      </c>
      <c r="U78" s="12">
        <f>IF(AND(ISNUMBER(RU_Clean!U78),ISNUMBER(RU_Clean!U66)),(RU_Clean!U78-RU_Clean!U66)/RU_Clean!U66*100,"")</f>
        <v>2.71210013908204</v>
      </c>
      <c r="V78" s="12">
        <f>IF(AND(ISNUMBER(RU_Clean!V78),ISNUMBER(RU_Clean!V66)),(RU_Clean!V78-RU_Clean!V66)/RU_Clean!V66*100,"")</f>
        <v>3.02359882005899</v>
      </c>
      <c r="W78" s="12">
        <f>IF(AND(ISNUMBER(RU_Clean!W78),ISNUMBER(RU_Clean!W66)),(RU_Clean!W78-RU_Clean!W66)/RU_Clean!W66*100,"")</f>
        <v>2.73492286115007</v>
      </c>
      <c r="X78" s="12">
        <f>IF(AND(ISNUMBER(RU_Clean!X78),ISNUMBER(RU_Clean!X66)),(RU_Clean!X78-RU_Clean!X66)/RU_Clean!X66*100,"")</f>
        <v>5.09554140127388</v>
      </c>
      <c r="Y78" s="12">
        <f>IF(AND(ISNUMBER(RU_Clean!Y78),ISNUMBER(RU_Clean!Y66)),(RU_Clean!Y78-RU_Clean!Y66)/RU_Clean!Y66*100,"")</f>
        <v>1.24359912216534</v>
      </c>
      <c r="Z78" s="12">
        <f>IF(AND(ISNUMBER(RU_Clean!Z78),ISNUMBER(RU_Clean!Z66)),(RU_Clean!Z78-RU_Clean!Z66)/RU_Clean!Z66*100,"")</f>
        <v>6.28698224852071</v>
      </c>
      <c r="AA78" s="12">
        <f>IF(AND(ISNUMBER(RU_Clean!AA78),ISNUMBER(RU_Clean!AA66)),(RU_Clean!AA78-RU_Clean!AA66)/RU_Clean!AA66*100,"")</f>
        <v>8.81913303437966</v>
      </c>
      <c r="AB78" s="12">
        <f>IF(AND(ISNUMBER(RU_Clean!AB78),ISNUMBER(RU_Clean!AB66)),(RU_Clean!AB78-RU_Clean!AB66)/RU_Clean!AB66*100,"")</f>
        <v>3.07820299500832</v>
      </c>
      <c r="AC78" s="12">
        <f>IF(AND(ISNUMBER(RU_Clean!AC78),ISNUMBER(RU_Clean!AC66)),(RU_Clean!AC78-RU_Clean!AC66)/RU_Clean!AC66*100,"")</f>
        <v>5.54272517321015</v>
      </c>
      <c r="AD78" s="12">
        <f>IF(AND(ISNUMBER(RU_Clean!AD78),ISNUMBER(RU_Clean!AD66)),(RU_Clean!AD78-RU_Clean!AD66)/RU_Clean!AD66*100,"")</f>
        <v>8.12949640287771</v>
      </c>
      <c r="AE78" s="12">
        <f>IF(AND(ISNUMBER(RU_Clean!AE78),ISNUMBER(RU_Clean!AE66)),(RU_Clean!AE78-RU_Clean!AE66)/RU_Clean!AE66*100,"")</f>
        <v>5.01174628034455</v>
      </c>
      <c r="AF78" s="12">
        <f>IF(AND(ISNUMBER(RU_Clean!AF78),ISNUMBER(RU_Clean!AF66)),(RU_Clean!AF78-RU_Clean!AF66)/RU_Clean!AF66*100,"")</f>
        <v>6.01851851851853</v>
      </c>
      <c r="AG78" s="12">
        <f>IF(AND(ISNUMBER(RU_Clean!AG78),ISNUMBER(RU_Clean!AG66)),(RU_Clean!AG78-RU_Clean!AG66)/RU_Clean!AG66*100,"")</f>
        <v>2.56598240469208</v>
      </c>
      <c r="AH78" s="12">
        <f>IF(AND(ISNUMBER(RU_Clean!AH78),ISNUMBER(RU_Clean!AH66)),(RU_Clean!AH78-RU_Clean!AH66)/RU_Clean!AH66*100,"")</f>
        <v>-0.197190041902873</v>
      </c>
    </row>
    <row r="79" spans="1:34">
      <c r="A79" s="6">
        <f>RU_Clean!A79</f>
        <v>2019</v>
      </c>
      <c r="B79" s="6">
        <f>RU_Clean!B79</f>
        <v>3</v>
      </c>
      <c r="C79" s="6" t="str">
        <f>RU_Clean!C79</f>
        <v>March</v>
      </c>
      <c r="D79" s="9">
        <f>RU_Clean!D79</f>
        <v>43525</v>
      </c>
      <c r="E79" s="6"/>
      <c r="F79" s="6"/>
      <c r="G79" s="12">
        <f>IF(AND(ISNUMBER(RU_Clean!G79),ISNUMBER(RU_Clean!G67)),(RU_Clean!G79-RU_Clean!G67)/RU_Clean!G67*100,"")</f>
        <v>1.17474302496331</v>
      </c>
      <c r="H79" s="12">
        <f>IF(AND(ISNUMBER(RU_Clean!H79),ISNUMBER(RU_Clean!H67)),(RU_Clean!H79-RU_Clean!H67)/RU_Clean!H67*100,"")</f>
        <v>6.54596100278552</v>
      </c>
      <c r="I79" s="12">
        <f>IF(AND(ISNUMBER(RU_Clean!I79),ISNUMBER(RU_Clean!I67)),(RU_Clean!I79-RU_Clean!I67)/RU_Clean!I67*100,"")</f>
        <v>1.44613159797542</v>
      </c>
      <c r="J79" s="12">
        <f>IF(AND(ISNUMBER(RU_Clean!J79),ISNUMBER(RU_Clean!J67)),(RU_Clean!J79-RU_Clean!J67)/RU_Clean!J67*100,"")</f>
        <v>0.779036827195484</v>
      </c>
      <c r="K79" s="12">
        <f>IF(AND(ISNUMBER(RU_Clean!K79),ISNUMBER(RU_Clean!K67)),(RU_Clean!K79-RU_Clean!K67)/RU_Clean!K67*100,"")</f>
        <v>1.07705053852527</v>
      </c>
      <c r="L79" s="12">
        <f>IF(AND(ISNUMBER(RU_Clean!L79),ISNUMBER(RU_Clean!L67)),(RU_Clean!L79-RU_Clean!L67)/RU_Clean!L67*100,"")</f>
        <v>-5.88235294117647</v>
      </c>
      <c r="M79" s="12">
        <f>IF(AND(ISNUMBER(RU_Clean!M79),ISNUMBER(RU_Clean!M67)),(RU_Clean!M79-RU_Clean!M67)/RU_Clean!M67*100,"")</f>
        <v>-1.48588410104012</v>
      </c>
      <c r="N79" s="12">
        <f>IF(AND(ISNUMBER(RU_Clean!N79),ISNUMBER(RU_Clean!N67)),(RU_Clean!N79-RU_Clean!N67)/RU_Clean!N67*100,"")</f>
        <v>-2.24719101123595</v>
      </c>
      <c r="O79" s="12">
        <f>IF(AND(ISNUMBER(RU_Clean!O79),ISNUMBER(RU_Clean!O67)),(RU_Clean!O79-RU_Clean!O67)/RU_Clean!O67*100,"")</f>
        <v>-6.11541774332472</v>
      </c>
      <c r="P79" s="12">
        <f>IF(AND(ISNUMBER(RU_Clean!P79),ISNUMBER(RU_Clean!P67)),(RU_Clean!P79-RU_Clean!P67)/RU_Clean!P67*100,"")</f>
        <v>1.23367198838896</v>
      </c>
      <c r="Q79" s="12">
        <f>IF(AND(ISNUMBER(RU_Clean!Q79),ISNUMBER(RU_Clean!Q67)),(RU_Clean!Q79-RU_Clean!Q67)/RU_Clean!Q67*100,"")</f>
        <v>3.56312935708753</v>
      </c>
      <c r="R79" s="12">
        <f>IF(AND(ISNUMBER(RU_Clean!R79),ISNUMBER(RU_Clean!R67)),(RU_Clean!R79-RU_Clean!R67)/RU_Clean!R67*100,"")</f>
        <v>3.19148936170212</v>
      </c>
      <c r="S79" s="12">
        <f>IF(AND(ISNUMBER(RU_Clean!S79),ISNUMBER(RU_Clean!S67)),(RU_Clean!S79-RU_Clean!S67)/RU_Clean!S67*100,"")</f>
        <v>0.655976676384844</v>
      </c>
      <c r="T79" s="12">
        <f>IF(AND(ISNUMBER(RU_Clean!T79),ISNUMBER(RU_Clean!T67)),(RU_Clean!T79-RU_Clean!T67)/RU_Clean!T67*100,"")</f>
        <v>4.60652591170825</v>
      </c>
      <c r="U79" s="12">
        <f>IF(AND(ISNUMBER(RU_Clean!U79),ISNUMBER(RU_Clean!U67)),(RU_Clean!U79-RU_Clean!U67)/RU_Clean!U67*100,"")</f>
        <v>2.49480249480249</v>
      </c>
      <c r="V79" s="12">
        <f>IF(AND(ISNUMBER(RU_Clean!V79),ISNUMBER(RU_Clean!V67)),(RU_Clean!V79-RU_Clean!V67)/RU_Clean!V67*100,"")</f>
        <v>2.71659324522762</v>
      </c>
      <c r="W79" s="12">
        <f>IF(AND(ISNUMBER(RU_Clean!W79),ISNUMBER(RU_Clean!W67)),(RU_Clean!W79-RU_Clean!W67)/RU_Clean!W67*100,"")</f>
        <v>2.51572327044025</v>
      </c>
      <c r="X79" s="12">
        <f>IF(AND(ISNUMBER(RU_Clean!X79),ISNUMBER(RU_Clean!X67)),(RU_Clean!X79-RU_Clean!X67)/RU_Clean!X67*100,"")</f>
        <v>4.92957746478873</v>
      </c>
      <c r="Y79" s="12">
        <f>IF(AND(ISNUMBER(RU_Clean!Y79),ISNUMBER(RU_Clean!Y67)),(RU_Clean!Y79-RU_Clean!Y67)/RU_Clean!Y67*100,"")</f>
        <v>2.34432234432234</v>
      </c>
      <c r="Z79" s="12">
        <f>IF(AND(ISNUMBER(RU_Clean!Z79),ISNUMBER(RU_Clean!Z67)),(RU_Clean!Z79-RU_Clean!Z67)/RU_Clean!Z67*100,"")</f>
        <v>6.04719764011801</v>
      </c>
      <c r="AA79" s="12">
        <f>IF(AND(ISNUMBER(RU_Clean!AA79),ISNUMBER(RU_Clean!AA67)),(RU_Clean!AA79-RU_Clean!AA67)/RU_Clean!AA67*100,"")</f>
        <v>8.86075949367087</v>
      </c>
      <c r="AB79" s="12">
        <f>IF(AND(ISNUMBER(RU_Clean!AB79),ISNUMBER(RU_Clean!AB67)),(RU_Clean!AB79-RU_Clean!AB67)/RU_Clean!AB67*100,"")</f>
        <v>2.97520661157024</v>
      </c>
      <c r="AC79" s="12">
        <f>IF(AND(ISNUMBER(RU_Clean!AC79),ISNUMBER(RU_Clean!AC67)),(RU_Clean!AC79-RU_Clean!AC67)/RU_Clean!AC67*100,"")</f>
        <v>5.59815950920244</v>
      </c>
      <c r="AD79" s="12">
        <f>IF(AND(ISNUMBER(RU_Clean!AD79),ISNUMBER(RU_Clean!AD67)),(RU_Clean!AD79-RU_Clean!AD67)/RU_Clean!AD67*100,"")</f>
        <v>7.51072961373391</v>
      </c>
      <c r="AE79" s="12">
        <f>IF(AND(ISNUMBER(RU_Clean!AE79),ISNUMBER(RU_Clean!AE67)),(RU_Clean!AE79-RU_Clean!AE67)/RU_Clean!AE67*100,"")</f>
        <v>4.05616224648987</v>
      </c>
      <c r="AF79" s="12">
        <f>IF(AND(ISNUMBER(RU_Clean!AF79),ISNUMBER(RU_Clean!AF67)),(RU_Clean!AF79-RU_Clean!AF67)/RU_Clean!AF67*100,"")</f>
        <v>5.67920184190328</v>
      </c>
      <c r="AG79" s="12">
        <f>IF(AND(ISNUMBER(RU_Clean!AG79),ISNUMBER(RU_Clean!AG67)),(RU_Clean!AG79-RU_Clean!AG67)/RU_Clean!AG67*100,"")</f>
        <v>2.85714285714286</v>
      </c>
      <c r="AH79" s="12">
        <f>IF(AND(ISNUMBER(RU_Clean!AH79),ISNUMBER(RU_Clean!AH67)),(RU_Clean!AH79-RU_Clean!AH67)/RU_Clean!AH67*100,"")</f>
        <v>0.37064492216458</v>
      </c>
    </row>
    <row r="80" spans="1:34">
      <c r="A80" s="6">
        <f>RU_Clean!A80</f>
        <v>2019</v>
      </c>
      <c r="B80" s="6">
        <f>RU_Clean!B80</f>
        <v>4</v>
      </c>
      <c r="C80" s="6" t="str">
        <f>RU_Clean!C80</f>
        <v>April</v>
      </c>
      <c r="D80" s="9">
        <f>RU_Clean!D80</f>
        <v>43556</v>
      </c>
      <c r="E80" s="6"/>
      <c r="F80" s="6"/>
      <c r="G80" s="12">
        <f>IF(AND(ISNUMBER(RU_Clean!G80),ISNUMBER(RU_Clean!G68)),(RU_Clean!G80-RU_Clean!G68)/RU_Clean!G68*100,"")</f>
        <v>1.20967741935484</v>
      </c>
      <c r="H80" s="12">
        <f>IF(AND(ISNUMBER(RU_Clean!H80),ISNUMBER(RU_Clean!H68)),(RU_Clean!H80-RU_Clean!H68)/RU_Clean!H68*100,"")</f>
        <v>7.8601108033241</v>
      </c>
      <c r="I80" s="12">
        <f>IF(AND(ISNUMBER(RU_Clean!I80),ISNUMBER(RU_Clean!I68)),(RU_Clean!I80-RU_Clean!I68)/RU_Clean!I68*100,"")</f>
        <v>3.17401045556385</v>
      </c>
      <c r="J80" s="12">
        <f>IF(AND(ISNUMBER(RU_Clean!J80),ISNUMBER(RU_Clean!J68)),(RU_Clean!J80-RU_Clean!J68)/RU_Clean!J68*100,"")</f>
        <v>0.564971751412437</v>
      </c>
      <c r="K80" s="12">
        <f>IF(AND(ISNUMBER(RU_Clean!K80),ISNUMBER(RU_Clean!K68)),(RU_Clean!K80-RU_Clean!K68)/RU_Clean!K68*100,"")</f>
        <v>0.826446280991736</v>
      </c>
      <c r="L80" s="12">
        <f>IF(AND(ISNUMBER(RU_Clean!L80),ISNUMBER(RU_Clean!L68)),(RU_Clean!L80-RU_Clean!L68)/RU_Clean!L68*100,"")</f>
        <v>-7.45928338762214</v>
      </c>
      <c r="M80" s="12">
        <f>IF(AND(ISNUMBER(RU_Clean!M80),ISNUMBER(RU_Clean!M68)),(RU_Clean!M80-RU_Clean!M68)/RU_Clean!M68*100,"")</f>
        <v>3.92156862745099</v>
      </c>
      <c r="N80" s="12">
        <f>IF(AND(ISNUMBER(RU_Clean!N80),ISNUMBER(RU_Clean!N68)),(RU_Clean!N80-RU_Clean!N68)/RU_Clean!N68*100,"")</f>
        <v>-0.121457489878547</v>
      </c>
      <c r="O80" s="12">
        <f>IF(AND(ISNUMBER(RU_Clean!O80),ISNUMBER(RU_Clean!O68)),(RU_Clean!O80-RU_Clean!O68)/RU_Clean!O68*100,"")</f>
        <v>-3.73790677220756</v>
      </c>
      <c r="P80" s="12">
        <f>IF(AND(ISNUMBER(RU_Clean!P80),ISNUMBER(RU_Clean!P68)),(RU_Clean!P80-RU_Clean!P68)/RU_Clean!P68*100,"")</f>
        <v>1.08538350217077</v>
      </c>
      <c r="Q80" s="12">
        <f>IF(AND(ISNUMBER(RU_Clean!Q80),ISNUMBER(RU_Clean!Q68)),(RU_Clean!Q80-RU_Clean!Q68)/RU_Clean!Q68*100,"")</f>
        <v>3.27932098765432</v>
      </c>
      <c r="R80" s="12">
        <f>IF(AND(ISNUMBER(RU_Clean!R80),ISNUMBER(RU_Clean!R68)),(RU_Clean!R80-RU_Clean!R68)/RU_Clean!R68*100,"")</f>
        <v>2.744708994709</v>
      </c>
      <c r="S80" s="12">
        <f>IF(AND(ISNUMBER(RU_Clean!S80),ISNUMBER(RU_Clean!S68)),(RU_Clean!S80-RU_Clean!S68)/RU_Clean!S68*100,"")</f>
        <v>1.45454545454545</v>
      </c>
      <c r="T80" s="12">
        <f>IF(AND(ISNUMBER(RU_Clean!T80),ISNUMBER(RU_Clean!T68)),(RU_Clean!T80-RU_Clean!T68)/RU_Clean!T68*100,"")</f>
        <v>4.39770554493308</v>
      </c>
      <c r="U80" s="12">
        <f>IF(AND(ISNUMBER(RU_Clean!U80),ISNUMBER(RU_Clean!U68)),(RU_Clean!U80-RU_Clean!U68)/RU_Clean!U68*100,"")</f>
        <v>1.96145905024088</v>
      </c>
      <c r="V80" s="12">
        <f>IF(AND(ISNUMBER(RU_Clean!V80),ISNUMBER(RU_Clean!V68)),(RU_Clean!V80-RU_Clean!V68)/RU_Clean!V68*100,"")</f>
        <v>2.52377468910023</v>
      </c>
      <c r="W80" s="12">
        <f>IF(AND(ISNUMBER(RU_Clean!W80),ISNUMBER(RU_Clean!W68)),(RU_Clean!W80-RU_Clean!W68)/RU_Clean!W68*100,"")</f>
        <v>2.08333333333333</v>
      </c>
      <c r="X80" s="12">
        <f>IF(AND(ISNUMBER(RU_Clean!X80),ISNUMBER(RU_Clean!X68)),(RU_Clean!X80-RU_Clean!X68)/RU_Clean!X68*100,"")</f>
        <v>4.65360391882436</v>
      </c>
      <c r="Y80" s="12">
        <f>IF(AND(ISNUMBER(RU_Clean!Y80),ISNUMBER(RU_Clean!Y68)),(RU_Clean!Y80-RU_Clean!Y68)/RU_Clean!Y68*100,"")</f>
        <v>2.56410256410256</v>
      </c>
      <c r="Z80" s="12">
        <f>IF(AND(ISNUMBER(RU_Clean!Z80),ISNUMBER(RU_Clean!Z68)),(RU_Clean!Z80-RU_Clean!Z68)/RU_Clean!Z68*100,"")</f>
        <v>5.23426061493412</v>
      </c>
      <c r="AA80" s="12">
        <f>IF(AND(ISNUMBER(RU_Clean!AA80),ISNUMBER(RU_Clean!AA68)),(RU_Clean!AA80-RU_Clean!AA68)/RU_Clean!AA68*100,"")</f>
        <v>8.3949704142012</v>
      </c>
      <c r="AB80" s="12">
        <f>IF(AND(ISNUMBER(RU_Clean!AB80),ISNUMBER(RU_Clean!AB68)),(RU_Clean!AB80-RU_Clean!AB68)/RU_Clean!AB68*100,"")</f>
        <v>2.33798195242001</v>
      </c>
      <c r="AC80" s="12">
        <f>IF(AND(ISNUMBER(RU_Clean!AC80),ISNUMBER(RU_Clean!AC68)),(RU_Clean!AC80-RU_Clean!AC68)/RU_Clean!AC68*100,"")</f>
        <v>5.44554455445543</v>
      </c>
      <c r="AD80" s="12">
        <f>IF(AND(ISNUMBER(RU_Clean!AD80),ISNUMBER(RU_Clean!AD68)),(RU_Clean!AD80-RU_Clean!AD68)/RU_Clean!AD68*100,"")</f>
        <v>6.75388967468174</v>
      </c>
      <c r="AE80" s="12">
        <f>IF(AND(ISNUMBER(RU_Clean!AE80),ISNUMBER(RU_Clean!AE68)),(RU_Clean!AE80-RU_Clean!AE68)/RU_Clean!AE68*100,"")</f>
        <v>3.25077399380806</v>
      </c>
      <c r="AF80" s="12">
        <f>IF(AND(ISNUMBER(RU_Clean!AF80),ISNUMBER(RU_Clean!AF68)),(RU_Clean!AF80-RU_Clean!AF68)/RU_Clean!AF68*100,"")</f>
        <v>5.06473724295505</v>
      </c>
      <c r="AG80" s="12">
        <f>IF(AND(ISNUMBER(RU_Clean!AG80),ISNUMBER(RU_Clean!AG68)),(RU_Clean!AG80-RU_Clean!AG68)/RU_Clean!AG68*100,"")</f>
        <v>2.99051787016776</v>
      </c>
      <c r="AH80" s="12">
        <f>IF(AND(ISNUMBER(RU_Clean!AH80),ISNUMBER(RU_Clean!AH68)),(RU_Clean!AH80-RU_Clean!AH68)/RU_Clean!AH68*100,"")</f>
        <v>1.12990861941218</v>
      </c>
    </row>
    <row r="81" spans="1:34">
      <c r="A81" s="6">
        <f>RU_Clean!A81</f>
        <v>2019</v>
      </c>
      <c r="B81" s="6">
        <f>RU_Clean!B81</f>
        <v>5</v>
      </c>
      <c r="C81" s="6" t="str">
        <f>RU_Clean!C81</f>
        <v>May</v>
      </c>
      <c r="D81" s="9">
        <f>RU_Clean!D81</f>
        <v>43586</v>
      </c>
      <c r="E81" s="6"/>
      <c r="F81" s="6"/>
      <c r="G81" s="12">
        <f>IF(AND(ISNUMBER(RU_Clean!G81),ISNUMBER(RU_Clean!G69)),(RU_Clean!G81-RU_Clean!G69)/RU_Clean!G69*100,"")</f>
        <v>1.24450951683749</v>
      </c>
      <c r="H81" s="12">
        <f>IF(AND(ISNUMBER(RU_Clean!H81),ISNUMBER(RU_Clean!H69)),(RU_Clean!H81-RU_Clean!H69)/RU_Clean!H69*100,"")</f>
        <v>8.11732605729878</v>
      </c>
      <c r="I81" s="12">
        <f>IF(AND(ISNUMBER(RU_Clean!I81),ISNUMBER(RU_Clean!I69)),(RU_Clean!I81-RU_Clean!I69)/RU_Clean!I69*100,"")</f>
        <v>1.79640718562875</v>
      </c>
      <c r="J81" s="12">
        <f>IF(AND(ISNUMBER(RU_Clean!J81),ISNUMBER(RU_Clean!J69)),(RU_Clean!J81-RU_Clean!J69)/RU_Clean!J69*100,"")</f>
        <v>0.281491907107675</v>
      </c>
      <c r="K81" s="12">
        <f>IF(AND(ISNUMBER(RU_Clean!K81),ISNUMBER(RU_Clean!K69)),(RU_Clean!K81-RU_Clean!K69)/RU_Clean!K69*100,"")</f>
        <v>0.826446280991736</v>
      </c>
      <c r="L81" s="12">
        <f>IF(AND(ISNUMBER(RU_Clean!L81),ISNUMBER(RU_Clean!L69)),(RU_Clean!L81-RU_Clean!L69)/RU_Clean!L69*100,"")</f>
        <v>-5.23932729624838</v>
      </c>
      <c r="M81" s="12">
        <f>IF(AND(ISNUMBER(RU_Clean!M81),ISNUMBER(RU_Clean!M69)),(RU_Clean!M81-RU_Clean!M69)/RU_Clean!M69*100,"")</f>
        <v>5.45722713864307</v>
      </c>
      <c r="N81" s="12">
        <f>IF(AND(ISNUMBER(RU_Clean!N81),ISNUMBER(RU_Clean!N69)),(RU_Clean!N81-RU_Clean!N69)/RU_Clean!N69*100,"")</f>
        <v>2.12591986917417</v>
      </c>
      <c r="O81" s="12">
        <f>IF(AND(ISNUMBER(RU_Clean!O81),ISNUMBER(RU_Clean!O69)),(RU_Clean!O81-RU_Clean!O69)/RU_Clean!O69*100,"")</f>
        <v>0.273722627737237</v>
      </c>
      <c r="P81" s="12">
        <f>IF(AND(ISNUMBER(RU_Clean!P81),ISNUMBER(RU_Clean!P69)),(RU_Clean!P81-RU_Clean!P69)/RU_Clean!P69*100,"")</f>
        <v>1.30340333091963</v>
      </c>
      <c r="Q81" s="12">
        <f>IF(AND(ISNUMBER(RU_Clean!Q81),ISNUMBER(RU_Clean!Q69)),(RU_Clean!Q81-RU_Clean!Q69)/RU_Clean!Q69*100,"")</f>
        <v>3.15627405696689</v>
      </c>
      <c r="R81" s="12">
        <f>IF(AND(ISNUMBER(RU_Clean!R81),ISNUMBER(RU_Clean!R69)),(RU_Clean!R81-RU_Clean!R69)/RU_Clean!R69*100,"")</f>
        <v>2.50494396835861</v>
      </c>
      <c r="S81" s="12">
        <f>IF(AND(ISNUMBER(RU_Clean!S81),ISNUMBER(RU_Clean!S69)),(RU_Clean!S81-RU_Clean!S69)/RU_Clean!S69*100,"")</f>
        <v>2.02751629254164</v>
      </c>
      <c r="T81" s="12">
        <f>IF(AND(ISNUMBER(RU_Clean!T81),ISNUMBER(RU_Clean!T69)),(RU_Clean!T81-RU_Clean!T69)/RU_Clean!T69*100,"")</f>
        <v>3.92653578214059</v>
      </c>
      <c r="U81" s="12">
        <f>IF(AND(ISNUMBER(RU_Clean!U81),ISNUMBER(RU_Clean!U69)),(RU_Clean!U81-RU_Clean!U69)/RU_Clean!U69*100,"")</f>
        <v>1.64383561643836</v>
      </c>
      <c r="V81" s="12">
        <f>IF(AND(ISNUMBER(RU_Clean!V81),ISNUMBER(RU_Clean!V69)),(RU_Clean!V81-RU_Clean!V69)/RU_Clean!V69*100,"")</f>
        <v>2.18340611353712</v>
      </c>
      <c r="W81" s="12">
        <f>IF(AND(ISNUMBER(RU_Clean!W81),ISNUMBER(RU_Clean!W69)),(RU_Clean!W81-RU_Clean!W69)/RU_Clean!W69*100,"")</f>
        <v>1.79682100898412</v>
      </c>
      <c r="X81" s="12">
        <f>IF(AND(ISNUMBER(RU_Clean!X81),ISNUMBER(RU_Clean!X69)),(RU_Clean!X81-RU_Clean!X69)/RU_Clean!X69*100,"")</f>
        <v>4.81843575418995</v>
      </c>
      <c r="Y81" s="12">
        <f>IF(AND(ISNUMBER(RU_Clean!Y81),ISNUMBER(RU_Clean!Y69)),(RU_Clean!Y81-RU_Clean!Y69)/RU_Clean!Y69*100,"")</f>
        <v>2.48356464572681</v>
      </c>
      <c r="Z81" s="12">
        <f>IF(AND(ISNUMBER(RU_Clean!Z81),ISNUMBER(RU_Clean!Z69)),(RU_Clean!Z81-RU_Clean!Z69)/RU_Clean!Z69*100,"")</f>
        <v>4.58515283842793</v>
      </c>
      <c r="AA81" s="12">
        <f>IF(AND(ISNUMBER(RU_Clean!AA81),ISNUMBER(RU_Clean!AA69)),(RU_Clean!AA81-RU_Clean!AA69)/RU_Clean!AA69*100,"")</f>
        <v>8.01470588235295</v>
      </c>
      <c r="AB81" s="12">
        <f>IF(AND(ISNUMBER(RU_Clean!AB81),ISNUMBER(RU_Clean!AB69)),(RU_Clean!AB81-RU_Clean!AB69)/RU_Clean!AB69*100,"")</f>
        <v>1.6273393002441</v>
      </c>
      <c r="AC81" s="12">
        <f>IF(AND(ISNUMBER(RU_Clean!AC81),ISNUMBER(RU_Clean!AC69)),(RU_Clean!AC81-RU_Clean!AC69)/RU_Clean!AC69*100,"")</f>
        <v>5.61456752655537</v>
      </c>
      <c r="AD81" s="12">
        <f>IF(AND(ISNUMBER(RU_Clean!AD81),ISNUMBER(RU_Clean!AD69)),(RU_Clean!AD81-RU_Clean!AD69)/RU_Clean!AD69*100,"")</f>
        <v>6.68543279380718</v>
      </c>
      <c r="AE81" s="12">
        <f>IF(AND(ISNUMBER(RU_Clean!AE81),ISNUMBER(RU_Clean!AE69)),(RU_Clean!AE81-RU_Clean!AE69)/RU_Clean!AE69*100,"")</f>
        <v>2.69438029253272</v>
      </c>
      <c r="AF81" s="12">
        <f>IF(AND(ISNUMBER(RU_Clean!AF81),ISNUMBER(RU_Clean!AF69)),(RU_Clean!AF81-RU_Clean!AF69)/RU_Clean!AF69*100,"")</f>
        <v>4.61771385314155</v>
      </c>
      <c r="AG81" s="12">
        <f>IF(AND(ISNUMBER(RU_Clean!AG81),ISNUMBER(RU_Clean!AG69)),(RU_Clean!AG81-RU_Clean!AG69)/RU_Clean!AG69*100,"")</f>
        <v>3.04789550072568</v>
      </c>
      <c r="AH81" s="12">
        <f>IF(AND(ISNUMBER(RU_Clean!AH81),ISNUMBER(RU_Clean!AH69)),(RU_Clean!AH81-RU_Clean!AH69)/RU_Clean!AH69*100,"")</f>
        <v>1.80674600727633</v>
      </c>
    </row>
    <row r="82" spans="1:34">
      <c r="A82" s="6">
        <f>RU_Clean!A82</f>
        <v>2019</v>
      </c>
      <c r="B82" s="6">
        <f>RU_Clean!B82</f>
        <v>6</v>
      </c>
      <c r="C82" s="6" t="str">
        <f>RU_Clean!C82</f>
        <v>June</v>
      </c>
      <c r="D82" s="9">
        <f>RU_Clean!D82</f>
        <v>43617</v>
      </c>
      <c r="E82" s="6"/>
      <c r="F82" s="6"/>
      <c r="G82" s="12">
        <f>IF(AND(ISNUMBER(RU_Clean!G82),ISNUMBER(RU_Clean!G70)),(RU_Clean!G82-RU_Clean!G70)/RU_Clean!G70*100,"")</f>
        <v>1.31482834185536</v>
      </c>
      <c r="H82" s="12">
        <f>IF(AND(ISNUMBER(RU_Clean!H82),ISNUMBER(RU_Clean!H70)),(RU_Clean!H82-RU_Clean!H70)/RU_Clean!H70*100,"")</f>
        <v>9.0114324142569</v>
      </c>
      <c r="I82" s="12">
        <f>IF(AND(ISNUMBER(RU_Clean!I82),ISNUMBER(RU_Clean!I70)),(RU_Clean!I82-RU_Clean!I70)/RU_Clean!I70*100,"")</f>
        <v>1.62241887905606</v>
      </c>
      <c r="J82" s="12">
        <f>IF(AND(ISNUMBER(RU_Clean!J82),ISNUMBER(RU_Clean!J70)),(RU_Clean!J82-RU_Clean!J70)/RU_Clean!J70*100,"")</f>
        <v>0.702740688685875</v>
      </c>
      <c r="K82" s="12">
        <f>IF(AND(ISNUMBER(RU_Clean!K82),ISNUMBER(RU_Clean!K70)),(RU_Clean!K82-RU_Clean!K70)/RU_Clean!K70*100,"")</f>
        <v>0.741962077493822</v>
      </c>
      <c r="L82" s="12">
        <f>IF(AND(ISNUMBER(RU_Clean!L82),ISNUMBER(RU_Clean!L70)),(RU_Clean!L82-RU_Clean!L70)/RU_Clean!L70*100,"")</f>
        <v>-4.17754569190599</v>
      </c>
      <c r="M82" s="12">
        <f>IF(AND(ISNUMBER(RU_Clean!M82),ISNUMBER(RU_Clean!M70)),(RU_Clean!M82-RU_Clean!M70)/RU_Clean!M70*100,"")</f>
        <v>4.73208072373</v>
      </c>
      <c r="N82" s="12">
        <f>IF(AND(ISNUMBER(RU_Clean!N82),ISNUMBER(RU_Clean!N70)),(RU_Clean!N82-RU_Clean!N70)/RU_Clean!N70*100,"")</f>
        <v>5.6836902800659</v>
      </c>
      <c r="O82" s="12">
        <f>IF(AND(ISNUMBER(RU_Clean!O82),ISNUMBER(RU_Clean!O70)),(RU_Clean!O82-RU_Clean!O70)/RU_Clean!O70*100,"")</f>
        <v>-0.0900090009000849</v>
      </c>
      <c r="P82" s="12">
        <f>IF(AND(ISNUMBER(RU_Clean!P82),ISNUMBER(RU_Clean!P70)),(RU_Clean!P82-RU_Clean!P70)/RU_Clean!P70*100,"")</f>
        <v>1.58959537572253</v>
      </c>
      <c r="Q82" s="12">
        <f>IF(AND(ISNUMBER(RU_Clean!Q82),ISNUMBER(RU_Clean!Q70)),(RU_Clean!Q82-RU_Clean!Q70)/RU_Clean!Q70*100,"")</f>
        <v>2.99309286262469</v>
      </c>
      <c r="R82" s="12">
        <f>IF(AND(ISNUMBER(RU_Clean!R82),ISNUMBER(RU_Clean!R70)),(RU_Clean!R82-RU_Clean!R70)/RU_Clean!R70*100,"")</f>
        <v>2.70092226613965</v>
      </c>
      <c r="S82" s="12">
        <f>IF(AND(ISNUMBER(RU_Clean!S82),ISNUMBER(RU_Clean!S70)),(RU_Clean!S82-RU_Clean!S70)/RU_Clean!S70*100,"")</f>
        <v>2.36728837876613</v>
      </c>
      <c r="T82" s="12">
        <f>IF(AND(ISNUMBER(RU_Clean!T82),ISNUMBER(RU_Clean!T70)),(RU_Clean!T82-RU_Clean!T70)/RU_Clean!T70*100,"")</f>
        <v>4.16929879974731</v>
      </c>
      <c r="U82" s="12">
        <f>IF(AND(ISNUMBER(RU_Clean!U82),ISNUMBER(RU_Clean!U70)),(RU_Clean!U82-RU_Clean!U70)/RU_Clean!U70*100,"")</f>
        <v>1.50273224043715</v>
      </c>
      <c r="V82" s="12">
        <f>IF(AND(ISNUMBER(RU_Clean!V82),ISNUMBER(RU_Clean!V70)),(RU_Clean!V82-RU_Clean!V70)/RU_Clean!V70*100,"")</f>
        <v>1.66545981173064</v>
      </c>
      <c r="W82" s="12">
        <f>IF(AND(ISNUMBER(RU_Clean!W82),ISNUMBER(RU_Clean!W70)),(RU_Clean!W82-RU_Clean!W70)/RU_Clean!W70*100,"")</f>
        <v>1.51515151515153</v>
      </c>
      <c r="X82" s="12">
        <f>IF(AND(ISNUMBER(RU_Clean!X82),ISNUMBER(RU_Clean!X70)),(RU_Clean!X82-RU_Clean!X70)/RU_Clean!X70*100,"")</f>
        <v>4.8421052631579</v>
      </c>
      <c r="Y82" s="12">
        <f>IF(AND(ISNUMBER(RU_Clean!Y82),ISNUMBER(RU_Clean!Y70)),(RU_Clean!Y82-RU_Clean!Y70)/RU_Clean!Y70*100,"")</f>
        <v>2.24475018102824</v>
      </c>
      <c r="Z82" s="12">
        <f>IF(AND(ISNUMBER(RU_Clean!Z82),ISNUMBER(RU_Clean!Z70)),(RU_Clean!Z82-RU_Clean!Z70)/RU_Clean!Z70*100,"")</f>
        <v>4.27846265409718</v>
      </c>
      <c r="AA82" s="12">
        <f>IF(AND(ISNUMBER(RU_Clean!AA82),ISNUMBER(RU_Clean!AA70)),(RU_Clean!AA82-RU_Clean!AA70)/RU_Clean!AA70*100,"")</f>
        <v>8.22320117474304</v>
      </c>
      <c r="AB82" s="12">
        <f>IF(AND(ISNUMBER(RU_Clean!AB82),ISNUMBER(RU_Clean!AB70)),(RU_Clean!AB82-RU_Clean!AB70)/RU_Clean!AB70*100,"")</f>
        <v>0.727566693613574</v>
      </c>
      <c r="AC82" s="12">
        <f>IF(AND(ISNUMBER(RU_Clean!AC82),ISNUMBER(RU_Clean!AC70)),(RU_Clean!AC82-RU_Clean!AC70)/RU_Clean!AC70*100,"")</f>
        <v>5.2790346907994</v>
      </c>
      <c r="AD82" s="12">
        <f>IF(AND(ISNUMBER(RU_Clean!AD82),ISNUMBER(RU_Clean!AD70)),(RU_Clean!AD82-RU_Clean!AD70)/RU_Clean!AD70*100,"")</f>
        <v>6.79271708683472</v>
      </c>
      <c r="AE82" s="12">
        <f>IF(AND(ISNUMBER(RU_Clean!AE82),ISNUMBER(RU_Clean!AE70)),(RU_Clean!AE82-RU_Clean!AE70)/RU_Clean!AE70*100,"")</f>
        <v>3.22828593389702</v>
      </c>
      <c r="AF82" s="12">
        <f>IF(AND(ISNUMBER(RU_Clean!AF82),ISNUMBER(RU_Clean!AF70)),(RU_Clean!AF82-RU_Clean!AF70)/RU_Clean!AF70*100,"")</f>
        <v>4.52488687782805</v>
      </c>
      <c r="AG82" s="12">
        <f>IF(AND(ISNUMBER(RU_Clean!AG82),ISNUMBER(RU_Clean!AG70)),(RU_Clean!AG82-RU_Clean!AG70)/RU_Clean!AG70*100,"")</f>
        <v>3.17689530685921</v>
      </c>
      <c r="AH82" s="12">
        <f>IF(AND(ISNUMBER(RU_Clean!AH82),ISNUMBER(RU_Clean!AH70)),(RU_Clean!AH82-RU_Clean!AH70)/RU_Clean!AH70*100,"")</f>
        <v>2.24506025570441</v>
      </c>
    </row>
    <row r="83" spans="1:34">
      <c r="A83" s="6">
        <f>RU_Clean!A83</f>
        <v>2019</v>
      </c>
      <c r="B83" s="6">
        <f>RU_Clean!B83</f>
        <v>7</v>
      </c>
      <c r="C83" s="6" t="str">
        <f>RU_Clean!C83</f>
        <v>July</v>
      </c>
      <c r="D83" s="9">
        <f>RU_Clean!D83</f>
        <v>43647</v>
      </c>
      <c r="E83" s="6"/>
      <c r="F83" s="6"/>
      <c r="G83" s="12">
        <f>IF(AND(ISNUMBER(RU_Clean!G83),ISNUMBER(RU_Clean!G71)),(RU_Clean!G83-RU_Clean!G71)/RU_Clean!G71*100,"")</f>
        <v>1.30909090909092</v>
      </c>
      <c r="H83" s="12">
        <f>IF(AND(ISNUMBER(RU_Clean!H83),ISNUMBER(RU_Clean!H71)),(RU_Clean!H83-RU_Clean!H71)/RU_Clean!H71*100,"")</f>
        <v>9.12139503688799</v>
      </c>
      <c r="I83" s="12">
        <f>IF(AND(ISNUMBER(RU_Clean!I83),ISNUMBER(RU_Clean!I71)),(RU_Clean!I83-RU_Clean!I71)/RU_Clean!I71*100,"")</f>
        <v>0.574712643678169</v>
      </c>
      <c r="J83" s="12">
        <f>IF(AND(ISNUMBER(RU_Clean!J83),ISNUMBER(RU_Clean!J71)),(RU_Clean!J83-RU_Clean!J71)/RU_Clean!J71*100,"")</f>
        <v>1.05263157894737</v>
      </c>
      <c r="K83" s="12">
        <f>IF(AND(ISNUMBER(RU_Clean!K83),ISNUMBER(RU_Clean!K71)),(RU_Clean!K83-RU_Clean!K71)/RU_Clean!K71*100,"")</f>
        <v>0.906095551894559</v>
      </c>
      <c r="L83" s="12">
        <f>IF(AND(ISNUMBER(RU_Clean!L83),ISNUMBER(RU_Clean!L71)),(RU_Clean!L83-RU_Clean!L71)/RU_Clean!L71*100,"")</f>
        <v>-0.857519788918195</v>
      </c>
      <c r="M83" s="12">
        <f>IF(AND(ISNUMBER(RU_Clean!M83),ISNUMBER(RU_Clean!M71)),(RU_Clean!M83-RU_Clean!M71)/RU_Clean!M71*100,"")</f>
        <v>2.82232200128288</v>
      </c>
      <c r="N83" s="12">
        <f>IF(AND(ISNUMBER(RU_Clean!N83),ISNUMBER(RU_Clean!N71)),(RU_Clean!N83-RU_Clean!N71)/RU_Clean!N71*100,"")</f>
        <v>6.82004930156121</v>
      </c>
      <c r="O83" s="12">
        <f>IF(AND(ISNUMBER(RU_Clean!O83),ISNUMBER(RU_Clean!O71)),(RU_Clean!O83-RU_Clean!O71)/RU_Clean!O71*100,"")</f>
        <v>-2.11453744493393</v>
      </c>
      <c r="P83" s="12">
        <f>IF(AND(ISNUMBER(RU_Clean!P83),ISNUMBER(RU_Clean!P71)),(RU_Clean!P83-RU_Clean!P71)/RU_Clean!P71*100,"")</f>
        <v>2.01583873290136</v>
      </c>
      <c r="Q83" s="12">
        <f>IF(AND(ISNUMBER(RU_Clean!Q83),ISNUMBER(RU_Clean!Q71)),(RU_Clean!Q83-RU_Clean!Q71)/RU_Clean!Q71*100,"")</f>
        <v>3.37682271680735</v>
      </c>
      <c r="R83" s="12">
        <f>IF(AND(ISNUMBER(RU_Clean!R83),ISNUMBER(RU_Clean!R71)),(RU_Clean!R83-RU_Clean!R71)/RU_Clean!R71*100,"")</f>
        <v>2.56073539067628</v>
      </c>
      <c r="S83" s="12">
        <f>IF(AND(ISNUMBER(RU_Clean!S83),ISNUMBER(RU_Clean!S71)),(RU_Clean!S83-RU_Clean!S71)/RU_Clean!S71*100,"")</f>
        <v>2.33380480905232</v>
      </c>
      <c r="T83" s="12">
        <f>IF(AND(ISNUMBER(RU_Clean!T83),ISNUMBER(RU_Clean!T71)),(RU_Clean!T83-RU_Clean!T71)/RU_Clean!T71*100,"")</f>
        <v>4.88888888888888</v>
      </c>
      <c r="U83" s="12">
        <f>IF(AND(ISNUMBER(RU_Clean!U83),ISNUMBER(RU_Clean!U71)),(RU_Clean!U83-RU_Clean!U71)/RU_Clean!U71*100,"")</f>
        <v>1.43051771117166</v>
      </c>
      <c r="V83" s="12">
        <f>IF(AND(ISNUMBER(RU_Clean!V83),ISNUMBER(RU_Clean!V71)),(RU_Clean!V83-RU_Clean!V71)/RU_Clean!V71*100,"")</f>
        <v>1.51734104046242</v>
      </c>
      <c r="W83" s="12">
        <f>IF(AND(ISNUMBER(RU_Clean!W83),ISNUMBER(RU_Clean!W71)),(RU_Clean!W83-RU_Clean!W71)/RU_Clean!W71*100,"")</f>
        <v>1.37362637362637</v>
      </c>
      <c r="X83" s="12">
        <f>IF(AND(ISNUMBER(RU_Clean!X83),ISNUMBER(RU_Clean!X71)),(RU_Clean!X83-RU_Clean!X71)/RU_Clean!X71*100,"")</f>
        <v>4.87465181058496</v>
      </c>
      <c r="Y83" s="12">
        <f>IF(AND(ISNUMBER(RU_Clean!Y83),ISNUMBER(RU_Clean!Y71)),(RU_Clean!Y83-RU_Clean!Y71)/RU_Clean!Y71*100,"")</f>
        <v>-0.286327845382947</v>
      </c>
      <c r="Z83" s="12">
        <f>IF(AND(ISNUMBER(RU_Clean!Z83),ISNUMBER(RU_Clean!Z71)),(RU_Clean!Z83-RU_Clean!Z71)/RU_Clean!Z71*100,"")</f>
        <v>4.04040404040404</v>
      </c>
      <c r="AA83" s="12">
        <f>IF(AND(ISNUMBER(RU_Clean!AA83),ISNUMBER(RU_Clean!AA71)),(RU_Clean!AA83-RU_Clean!AA71)/RU_Clean!AA71*100,"")</f>
        <v>7.95620437956205</v>
      </c>
      <c r="AB83" s="12">
        <f>IF(AND(ISNUMBER(RU_Clean!AB83),ISNUMBER(RU_Clean!AB71)),(RU_Clean!AB83-RU_Clean!AB71)/RU_Clean!AB71*100,"")</f>
        <v>1.61812297734628</v>
      </c>
      <c r="AC83" s="12">
        <f>IF(AND(ISNUMBER(RU_Clean!AC83),ISNUMBER(RU_Clean!AC71)),(RU_Clean!AC83-RU_Clean!AC71)/RU_Clean!AC71*100,"")</f>
        <v>5.55972952667168</v>
      </c>
      <c r="AD83" s="12">
        <f>IF(AND(ISNUMBER(RU_Clean!AD83),ISNUMBER(RU_Clean!AD71)),(RU_Clean!AD83-RU_Clean!AD71)/RU_Clean!AD71*100,"")</f>
        <v>6.42709053213546</v>
      </c>
      <c r="AE83" s="12">
        <f>IF(AND(ISNUMBER(RU_Clean!AE83),ISNUMBER(RU_Clean!AE71)),(RU_Clean!AE83-RU_Clean!AE71)/RU_Clean!AE71*100,"")</f>
        <v>4.304381245196</v>
      </c>
      <c r="AF83" s="12">
        <f>IF(AND(ISNUMBER(RU_Clean!AF83),ISNUMBER(RU_Clean!AF71)),(RU_Clean!AF83-RU_Clean!AF71)/RU_Clean!AF71*100,"")</f>
        <v>4.72972972972974</v>
      </c>
      <c r="AG83" s="12">
        <f>IF(AND(ISNUMBER(RU_Clean!AG83),ISNUMBER(RU_Clean!AG71)),(RU_Clean!AG83-RU_Clean!AG71)/RU_Clean!AG71*100,"")</f>
        <v>3.14735336194562</v>
      </c>
      <c r="AH83" s="12">
        <f>IF(AND(ISNUMBER(RU_Clean!AH83),ISNUMBER(RU_Clean!AH71)),(RU_Clean!AH83-RU_Clean!AH71)/RU_Clean!AH71*100,"")</f>
        <v>2.35201644597618</v>
      </c>
    </row>
    <row r="84" spans="1:34">
      <c r="A84" s="6">
        <f>RU_Clean!A84</f>
        <v>2019</v>
      </c>
      <c r="B84" s="6">
        <f>RU_Clean!B84</f>
        <v>8</v>
      </c>
      <c r="C84" s="6" t="str">
        <f>RU_Clean!C84</f>
        <v>August</v>
      </c>
      <c r="D84" s="9">
        <f>RU_Clean!D84</f>
        <v>43678</v>
      </c>
      <c r="E84" s="6"/>
      <c r="F84" s="6"/>
      <c r="G84" s="12">
        <f>IF(AND(ISNUMBER(RU_Clean!G84),ISNUMBER(RU_Clean!G72)),(RU_Clean!G84-RU_Clean!G72)/RU_Clean!G72*100,"")</f>
        <v>1.30151843817786</v>
      </c>
      <c r="H84" s="12">
        <f>IF(AND(ISNUMBER(RU_Clean!H84),ISNUMBER(RU_Clean!H72)),(RU_Clean!H84-RU_Clean!H72)/RU_Clean!H72*100,"")</f>
        <v>8.51351351351351</v>
      </c>
      <c r="I84" s="12">
        <f>IF(AND(ISNUMBER(RU_Clean!I84),ISNUMBER(RU_Clean!I72)),(RU_Clean!I84-RU_Clean!I72)/RU_Clean!I72*100,"")</f>
        <v>0.289645184648809</v>
      </c>
      <c r="J84" s="12">
        <f>IF(AND(ISNUMBER(RU_Clean!J84),ISNUMBER(RU_Clean!J72)),(RU_Clean!J84-RU_Clean!J72)/RU_Clean!J72*100,"")</f>
        <v>1.4726507713885</v>
      </c>
      <c r="K84" s="12">
        <f>IF(AND(ISNUMBER(RU_Clean!K84),ISNUMBER(RU_Clean!K72)),(RU_Clean!K84-RU_Clean!K72)/RU_Clean!K72*100,"")</f>
        <v>0.572831423895256</v>
      </c>
      <c r="L84" s="12">
        <f>IF(AND(ISNUMBER(RU_Clean!L84),ISNUMBER(RU_Clean!L72)),(RU_Clean!L84-RU_Clean!L72)/RU_Clean!L72*100,"")</f>
        <v>-0.796812749003977</v>
      </c>
      <c r="M84" s="12">
        <f>IF(AND(ISNUMBER(RU_Clean!M84),ISNUMBER(RU_Clean!M72)),(RU_Clean!M84-RU_Clean!M72)/RU_Clean!M72*100,"")</f>
        <v>6.89655172413794</v>
      </c>
      <c r="N84" s="12">
        <f>IF(AND(ISNUMBER(RU_Clean!N84),ISNUMBER(RU_Clean!N72)),(RU_Clean!N84-RU_Clean!N72)/RU_Clean!N72*100,"")</f>
        <v>6.94444444444444</v>
      </c>
      <c r="O84" s="12">
        <f>IF(AND(ISNUMBER(RU_Clean!O84),ISNUMBER(RU_Clean!O72)),(RU_Clean!O84-RU_Clean!O72)/RU_Clean!O72*100,"")</f>
        <v>-2.3539668700959</v>
      </c>
      <c r="P84" s="12">
        <f>IF(AND(ISNUMBER(RU_Clean!P84),ISNUMBER(RU_Clean!P72)),(RU_Clean!P84-RU_Clean!P72)/RU_Clean!P72*100,"")</f>
        <v>2.29555236728837</v>
      </c>
      <c r="Q84" s="12">
        <f>IF(AND(ISNUMBER(RU_Clean!Q84),ISNUMBER(RU_Clean!Q72)),(RU_Clean!Q84-RU_Clean!Q72)/RU_Clean!Q72*100,"")</f>
        <v>2.89855072463769</v>
      </c>
      <c r="R84" s="12">
        <f>IF(AND(ISNUMBER(RU_Clean!R84),ISNUMBER(RU_Clean!R72)),(RU_Clean!R84-RU_Clean!R72)/RU_Clean!R72*100,"")</f>
        <v>2.35294117647058</v>
      </c>
      <c r="S84" s="12">
        <f>IF(AND(ISNUMBER(RU_Clean!S84),ISNUMBER(RU_Clean!S72)),(RU_Clean!S84-RU_Clean!S72)/RU_Clean!S72*100,"")</f>
        <v>2.96400846859564</v>
      </c>
      <c r="T84" s="12">
        <f>IF(AND(ISNUMBER(RU_Clean!T84),ISNUMBER(RU_Clean!T72)),(RU_Clean!T84-RU_Clean!T72)/RU_Clean!T72*100,"")</f>
        <v>5.00316656111463</v>
      </c>
      <c r="U84" s="12">
        <f>IF(AND(ISNUMBER(RU_Clean!U84),ISNUMBER(RU_Clean!U72)),(RU_Clean!U84-RU_Clean!U72)/RU_Clean!U72*100,"")</f>
        <v>1.22199592668023</v>
      </c>
      <c r="V84" s="12">
        <f>IF(AND(ISNUMBER(RU_Clean!V84),ISNUMBER(RU_Clean!V72)),(RU_Clean!V84-RU_Clean!V72)/RU_Clean!V72*100,"")</f>
        <v>1.29682997118154</v>
      </c>
      <c r="W84" s="12">
        <f>IF(AND(ISNUMBER(RU_Clean!W84),ISNUMBER(RU_Clean!W72)),(RU_Clean!W84-RU_Clean!W72)/RU_Clean!W72*100,"")</f>
        <v>1.23203285420945</v>
      </c>
      <c r="X84" s="12">
        <f>IF(AND(ISNUMBER(RU_Clean!X84),ISNUMBER(RU_Clean!X72)),(RU_Clean!X84-RU_Clean!X72)/RU_Clean!X72*100,"")</f>
        <v>4.84094052558783</v>
      </c>
      <c r="Y84" s="12">
        <f>IF(AND(ISNUMBER(RU_Clean!Y84),ISNUMBER(RU_Clean!Y72)),(RU_Clean!Y84-RU_Clean!Y72)/RU_Clean!Y72*100,"")</f>
        <v>-1.70333569907736</v>
      </c>
      <c r="Z84" s="12">
        <f>IF(AND(ISNUMBER(RU_Clean!Z84),ISNUMBER(RU_Clean!Z72)),(RU_Clean!Z84-RU_Clean!Z72)/RU_Clean!Z72*100,"")</f>
        <v>3.65853658536585</v>
      </c>
      <c r="AA84" s="12">
        <f>IF(AND(ISNUMBER(RU_Clean!AA84),ISNUMBER(RU_Clean!AA72)),(RU_Clean!AA84-RU_Clean!AA72)/RU_Clean!AA72*100,"")</f>
        <v>7.84313725490197</v>
      </c>
      <c r="AB84" s="12">
        <f>IF(AND(ISNUMBER(RU_Clean!AB84),ISNUMBER(RU_Clean!AB72)),(RU_Clean!AB84-RU_Clean!AB72)/RU_Clean!AB72*100,"")</f>
        <v>1.20675784392599</v>
      </c>
      <c r="AC84" s="12">
        <f>IF(AND(ISNUMBER(RU_Clean!AC84),ISNUMBER(RU_Clean!AC72)),(RU_Clean!AC84-RU_Clean!AC72)/RU_Clean!AC72*100,"")</f>
        <v>5.46407185628743</v>
      </c>
      <c r="AD84" s="12">
        <f>IF(AND(ISNUMBER(RU_Clean!AD84),ISNUMBER(RU_Clean!AD72)),(RU_Clean!AD84-RU_Clean!AD72)/RU_Clean!AD72*100,"")</f>
        <v>6.09589041095891</v>
      </c>
      <c r="AE84" s="12">
        <f>IF(AND(ISNUMBER(RU_Clean!AE84),ISNUMBER(RU_Clean!AE72)),(RU_Clean!AE84-RU_Clean!AE72)/RU_Clean!AE72*100,"")</f>
        <v>6.37970791698694</v>
      </c>
      <c r="AF84" s="12">
        <f>IF(AND(ISNUMBER(RU_Clean!AF84),ISNUMBER(RU_Clean!AF72)),(RU_Clean!AF84-RU_Clean!AF72)/RU_Clean!AF72*100,"")</f>
        <v>4.70500373412993</v>
      </c>
      <c r="AG84" s="12">
        <f>IF(AND(ISNUMBER(RU_Clean!AG84),ISNUMBER(RU_Clean!AG72)),(RU_Clean!AG84-RU_Clean!AG72)/RU_Clean!AG72*100,"")</f>
        <v>3.27635327635327</v>
      </c>
      <c r="AH84" s="12">
        <f>IF(AND(ISNUMBER(RU_Clean!AH84),ISNUMBER(RU_Clean!AH72)),(RU_Clean!AH84-RU_Clean!AH72)/RU_Clean!AH72*100,"")</f>
        <v>2.63126131563064</v>
      </c>
    </row>
    <row r="85" spans="1:34">
      <c r="A85" s="6">
        <f>RU_Clean!A85</f>
        <v>2019</v>
      </c>
      <c r="B85" s="6">
        <f>RU_Clean!B85</f>
        <v>9</v>
      </c>
      <c r="C85" s="6" t="str">
        <f>RU_Clean!C85</f>
        <v>September</v>
      </c>
      <c r="D85" s="9">
        <f>RU_Clean!D85</f>
        <v>43709</v>
      </c>
      <c r="E85" s="6"/>
      <c r="F85" s="6"/>
      <c r="G85" s="12">
        <f>IF(AND(ISNUMBER(RU_Clean!G85),ISNUMBER(RU_Clean!G73)),(RU_Clean!G85-RU_Clean!G73)/RU_Clean!G73*100,"")</f>
        <v>1.65945165945167</v>
      </c>
      <c r="H85" s="12">
        <f>IF(AND(ISNUMBER(RU_Clean!H85),ISNUMBER(RU_Clean!H73)),(RU_Clean!H85-RU_Clean!H73)/RU_Clean!H73*100,"")</f>
        <v>10.2880658436214</v>
      </c>
      <c r="I85" s="12">
        <f>IF(AND(ISNUMBER(RU_Clean!I85),ISNUMBER(RU_Clean!I73)),(RU_Clean!I85-RU_Clean!I73)/RU_Clean!I73*100,"")</f>
        <v>3.33086602516654</v>
      </c>
      <c r="J85" s="12">
        <f>IF(AND(ISNUMBER(RU_Clean!J85),ISNUMBER(RU_Clean!J73)),(RU_Clean!J85-RU_Clean!J73)/RU_Clean!J73*100,"")</f>
        <v>1.74947515745276</v>
      </c>
      <c r="K85" s="12">
        <f>IF(AND(ISNUMBER(RU_Clean!K85),ISNUMBER(RU_Clean!K73)),(RU_Clean!K85-RU_Clean!K73)/RU_Clean!K73*100,"")</f>
        <v>1.14660114660115</v>
      </c>
      <c r="L85" s="12">
        <f>IF(AND(ISNUMBER(RU_Clean!L85),ISNUMBER(RU_Clean!L73)),(RU_Clean!L85-RU_Clean!L73)/RU_Clean!L73*100,"")</f>
        <v>0.825309491059139</v>
      </c>
      <c r="M85" s="12">
        <f>IF(AND(ISNUMBER(RU_Clean!M85),ISNUMBER(RU_Clean!M73)),(RU_Clean!M85-RU_Clean!M73)/RU_Clean!M73*100,"")</f>
        <v>15.4666666666667</v>
      </c>
      <c r="N85" s="12">
        <f>IF(AND(ISNUMBER(RU_Clean!N85),ISNUMBER(RU_Clean!N73)),(RU_Clean!N85-RU_Clean!N73)/RU_Clean!N73*100,"")</f>
        <v>8.40197693574958</v>
      </c>
      <c r="O85" s="12">
        <f>IF(AND(ISNUMBER(RU_Clean!O85),ISNUMBER(RU_Clean!O73)),(RU_Clean!O85-RU_Clean!O73)/RU_Clean!O73*100,"")</f>
        <v>-0.439753737906772</v>
      </c>
      <c r="P85" s="12">
        <f>IF(AND(ISNUMBER(RU_Clean!P85),ISNUMBER(RU_Clean!P73)),(RU_Clean!P85-RU_Clean!P73)/RU_Clean!P73*100,"")</f>
        <v>3.29749103942652</v>
      </c>
      <c r="Q85" s="12">
        <f>IF(AND(ISNUMBER(RU_Clean!Q85),ISNUMBER(RU_Clean!Q73)),(RU_Clean!Q85-RU_Clean!Q73)/RU_Clean!Q73*100,"")</f>
        <v>3.21100917431192</v>
      </c>
      <c r="R85" s="12">
        <f>IF(AND(ISNUMBER(RU_Clean!R85),ISNUMBER(RU_Clean!R73)),(RU_Clean!R85-RU_Clean!R73)/RU_Clean!R73*100,"")</f>
        <v>1.95058517555267</v>
      </c>
      <c r="S85" s="12">
        <f>IF(AND(ISNUMBER(RU_Clean!S85),ISNUMBER(RU_Clean!S73)),(RU_Clean!S85-RU_Clean!S73)/RU_Clean!S73*100,"")</f>
        <v>4.7008547008547</v>
      </c>
      <c r="T85" s="12">
        <f>IF(AND(ISNUMBER(RU_Clean!T85),ISNUMBER(RU_Clean!T73)),(RU_Clean!T85-RU_Clean!T73)/RU_Clean!T73*100,"")</f>
        <v>4.5854271356784</v>
      </c>
      <c r="U85" s="12">
        <f>IF(AND(ISNUMBER(RU_Clean!U85),ISNUMBER(RU_Clean!U73)),(RU_Clean!U85-RU_Clean!U73)/RU_Clean!U73*100,"")</f>
        <v>1.0155721056195</v>
      </c>
      <c r="V85" s="12">
        <f>IF(AND(ISNUMBER(RU_Clean!V85),ISNUMBER(RU_Clean!V73)),(RU_Clean!V85-RU_Clean!V73)/RU_Clean!V73*100,"")</f>
        <v>1.078360891445</v>
      </c>
      <c r="W85" s="12">
        <f>IF(AND(ISNUMBER(RU_Clean!W85),ISNUMBER(RU_Clean!W73)),(RU_Clean!W85-RU_Clean!W73)/RU_Clean!W73*100,"")</f>
        <v>0.95563139931741</v>
      </c>
      <c r="X85" s="12">
        <f>IF(AND(ISNUMBER(RU_Clean!X85),ISNUMBER(RU_Clean!X73)),(RU_Clean!X85-RU_Clean!X73)/RU_Clean!X73*100,"")</f>
        <v>4.74879559532001</v>
      </c>
      <c r="Y85" s="12">
        <f>IF(AND(ISNUMBER(RU_Clean!Y85),ISNUMBER(RU_Clean!Y73)),(RU_Clean!Y85-RU_Clean!Y73)/RU_Clean!Y73*100,"")</f>
        <v>-2.17849613492623</v>
      </c>
      <c r="Z85" s="12">
        <f>IF(AND(ISNUMBER(RU_Clean!Z85),ISNUMBER(RU_Clean!Z73)),(RU_Clean!Z85-RU_Clean!Z73)/RU_Clean!Z73*100,"")</f>
        <v>3.50751610594131</v>
      </c>
      <c r="AA85" s="12">
        <f>IF(AND(ISNUMBER(RU_Clean!AA85),ISNUMBER(RU_Clean!AA73)),(RU_Clean!AA85-RU_Clean!AA73)/RU_Clean!AA73*100,"")</f>
        <v>7.65895953757225</v>
      </c>
      <c r="AB85" s="12">
        <f>IF(AND(ISNUMBER(RU_Clean!AB85),ISNUMBER(RU_Clean!AB73)),(RU_Clean!AB85-RU_Clean!AB73)/RU_Clean!AB73*100,"")</f>
        <v>0.0793650793650749</v>
      </c>
      <c r="AC85" s="12">
        <f>IF(AND(ISNUMBER(RU_Clean!AC85),ISNUMBER(RU_Clean!AC73)),(RU_Clean!AC85-RU_Clean!AC73)/RU_Clean!AC73*100,"")</f>
        <v>5.05576208178439</v>
      </c>
      <c r="AD85" s="12">
        <f>IF(AND(ISNUMBER(RU_Clean!AD85),ISNUMBER(RU_Clean!AD73)),(RU_Clean!AD85-RU_Clean!AD73)/RU_Clean!AD73*100,"")</f>
        <v>6.15595075239398</v>
      </c>
      <c r="AE85" s="12">
        <f>IF(AND(ISNUMBER(RU_Clean!AE85),ISNUMBER(RU_Clean!AE73)),(RU_Clean!AE85-RU_Clean!AE73)/RU_Clean!AE73*100,"")</f>
        <v>6.72268907563024</v>
      </c>
      <c r="AF85" s="12">
        <f>IF(AND(ISNUMBER(RU_Clean!AF85),ISNUMBER(RU_Clean!AF73)),(RU_Clean!AF85-RU_Clean!AF73)/RU_Clean!AF73*100,"")</f>
        <v>4.4543429844098</v>
      </c>
      <c r="AG85" s="12">
        <f>IF(AND(ISNUMBER(RU_Clean!AG85),ISNUMBER(RU_Clean!AG73)),(RU_Clean!AG85-RU_Clean!AG73)/RU_Clean!AG73*100,"")</f>
        <v>3.99429386590586</v>
      </c>
      <c r="AH85" s="12">
        <f>IF(AND(ISNUMBER(RU_Clean!AH85),ISNUMBER(RU_Clean!AH73)),(RU_Clean!AH85-RU_Clean!AH73)/RU_Clean!AH73*100,"")</f>
        <v>4.36825086937953</v>
      </c>
    </row>
    <row r="86" spans="1:34">
      <c r="A86" s="6">
        <f>RU_Clean!A86</f>
        <v>2019</v>
      </c>
      <c r="B86" s="6">
        <f>RU_Clean!B86</f>
        <v>10</v>
      </c>
      <c r="C86" s="6" t="str">
        <f>RU_Clean!C86</f>
        <v>October</v>
      </c>
      <c r="D86" s="9">
        <f>RU_Clean!D86</f>
        <v>43739</v>
      </c>
      <c r="E86" s="6"/>
      <c r="F86" s="6"/>
      <c r="G86" s="12">
        <f>IF(AND(ISNUMBER(RU_Clean!G86),ISNUMBER(RU_Clean!G74)),(RU_Clean!G86-RU_Clean!G74)/RU_Clean!G74*100,"")</f>
        <v>3.20232896652111</v>
      </c>
      <c r="H86" s="12">
        <f>IF(AND(ISNUMBER(RU_Clean!H86),ISNUMBER(RU_Clean!H74)),(RU_Clean!H86-RU_Clean!H74)/RU_Clean!H74*100,"")</f>
        <v>7.69230769230769</v>
      </c>
      <c r="I86" s="12">
        <f>IF(AND(ISNUMBER(RU_Clean!I86),ISNUMBER(RU_Clean!I74)),(RU_Clean!I86-RU_Clean!I74)/RU_Clean!I74*100,"")</f>
        <v>3.86016023306627</v>
      </c>
      <c r="J86" s="12">
        <f>IF(AND(ISNUMBER(RU_Clean!J86),ISNUMBER(RU_Clean!J74)),(RU_Clean!J86-RU_Clean!J74)/RU_Clean!J74*100,"")</f>
        <v>3.03030303030302</v>
      </c>
      <c r="K86" s="12">
        <f>IF(AND(ISNUMBER(RU_Clean!K86),ISNUMBER(RU_Clean!K74)),(RU_Clean!K86-RU_Clean!K74)/RU_Clean!K74*100,"")</f>
        <v>2.31213872832371</v>
      </c>
      <c r="L86" s="12">
        <f>IF(AND(ISNUMBER(RU_Clean!L86),ISNUMBER(RU_Clean!L74)),(RU_Clean!L86-RU_Clean!L74)/RU_Clean!L74*100,"")</f>
        <v>3.85964912280702</v>
      </c>
      <c r="M86" s="12">
        <f>IF(AND(ISNUMBER(RU_Clean!M86),ISNUMBER(RU_Clean!M74)),(RU_Clean!M86-RU_Clean!M74)/RU_Clean!M74*100,"")</f>
        <v>28.4253578732107</v>
      </c>
      <c r="N86" s="12">
        <f>IF(AND(ISNUMBER(RU_Clean!N86),ISNUMBER(RU_Clean!N74)),(RU_Clean!N86-RU_Clean!N74)/RU_Clean!N74*100,"")</f>
        <v>11.2510495382032</v>
      </c>
      <c r="O86" s="12">
        <f>IF(AND(ISNUMBER(RU_Clean!O86),ISNUMBER(RU_Clean!O74)),(RU_Clean!O86-RU_Clean!O74)/RU_Clean!O74*100,"")</f>
        <v>1.87667560321715</v>
      </c>
      <c r="P86" s="12">
        <f>IF(AND(ISNUMBER(RU_Clean!P86),ISNUMBER(RU_Clean!P74)),(RU_Clean!P86-RU_Clean!P74)/RU_Clean!P74*100,"")</f>
        <v>3.12056737588653</v>
      </c>
      <c r="Q86" s="12">
        <f>IF(AND(ISNUMBER(RU_Clean!Q86),ISNUMBER(RU_Clean!Q74)),(RU_Clean!Q86-RU_Clean!Q74)/RU_Clean!Q74*100,"")</f>
        <v>1.12275449101796</v>
      </c>
      <c r="R86" s="12">
        <f>IF(AND(ISNUMBER(RU_Clean!R86),ISNUMBER(RU_Clean!R74)),(RU_Clean!R86-RU_Clean!R74)/RU_Clean!R74*100,"")</f>
        <v>1.68284789644013</v>
      </c>
      <c r="S86" s="12">
        <f>IF(AND(ISNUMBER(RU_Clean!S86),ISNUMBER(RU_Clean!S74)),(RU_Clean!S86-RU_Clean!S74)/RU_Clean!S74*100,"")</f>
        <v>7.08661417322835</v>
      </c>
      <c r="T86" s="12">
        <f>IF(AND(ISNUMBER(RU_Clean!T86),ISNUMBER(RU_Clean!T74)),(RU_Clean!T86-RU_Clean!T74)/RU_Clean!T74*100,"")</f>
        <v>2.76752767527675</v>
      </c>
      <c r="U86" s="12">
        <f>IF(AND(ISNUMBER(RU_Clean!U86),ISNUMBER(RU_Clean!U74)),(RU_Clean!U86-RU_Clean!U74)/RU_Clean!U74*100,"")</f>
        <v>0.94594594594595</v>
      </c>
      <c r="V86" s="12">
        <f>IF(AND(ISNUMBER(RU_Clean!V86),ISNUMBER(RU_Clean!V74)),(RU_Clean!V86-RU_Clean!V74)/RU_Clean!V74*100,"")</f>
        <v>1.14942528735634</v>
      </c>
      <c r="W86" s="12">
        <f>IF(AND(ISNUMBER(RU_Clean!W86),ISNUMBER(RU_Clean!W74)),(RU_Clean!W86-RU_Clean!W74)/RU_Clean!W74*100,"")</f>
        <v>0.953678474114426</v>
      </c>
      <c r="X86" s="12">
        <f>IF(AND(ISNUMBER(RU_Clean!X86),ISNUMBER(RU_Clean!X74)),(RU_Clean!X86-RU_Clean!X74)/RU_Clean!X74*100,"")</f>
        <v>4.15248468345813</v>
      </c>
      <c r="Y86" s="12">
        <f>IF(AND(ISNUMBER(RU_Clean!Y86),ISNUMBER(RU_Clean!Y74)),(RU_Clean!Y86-RU_Clean!Y74)/RU_Clean!Y74*100,"")</f>
        <v>-3.23468685478322</v>
      </c>
      <c r="Z86" s="12">
        <f>IF(AND(ISNUMBER(RU_Clean!Z86),ISNUMBER(RU_Clean!Z74)),(RU_Clean!Z86-RU_Clean!Z74)/RU_Clean!Z74*100,"")</f>
        <v>1.9690576652602</v>
      </c>
      <c r="AA86" s="12">
        <f>IF(AND(ISNUMBER(RU_Clean!AA86),ISNUMBER(RU_Clean!AA74)),(RU_Clean!AA86-RU_Clean!AA74)/RU_Clean!AA74*100,"")</f>
        <v>5.137227304715</v>
      </c>
      <c r="AB86" s="12">
        <f>IF(AND(ISNUMBER(RU_Clean!AB86),ISNUMBER(RU_Clean!AB74)),(RU_Clean!AB86-RU_Clean!AB74)/RU_Clean!AB74*100,"")</f>
        <v>0.637450199203185</v>
      </c>
      <c r="AC86" s="12">
        <f>IF(AND(ISNUMBER(RU_Clean!AC86),ISNUMBER(RU_Clean!AC74)),(RU_Clean!AC86-RU_Clean!AC74)/RU_Clean!AC74*100,"")</f>
        <v>3.8095238095238</v>
      </c>
      <c r="AD86" s="12">
        <f>IF(AND(ISNUMBER(RU_Clean!AD86),ISNUMBER(RU_Clean!AD74)),(RU_Clean!AD86-RU_Clean!AD74)/RU_Clean!AD74*100,"")</f>
        <v>5.14208389715832</v>
      </c>
      <c r="AE86" s="12">
        <f>IF(AND(ISNUMBER(RU_Clean!AE86),ISNUMBER(RU_Clean!AE74)),(RU_Clean!AE86-RU_Clean!AE74)/RU_Clean!AE74*100,"")</f>
        <v>6.06060606060606</v>
      </c>
      <c r="AF86" s="12">
        <f>IF(AND(ISNUMBER(RU_Clean!AF86),ISNUMBER(RU_Clean!AF74)),(RU_Clean!AF86-RU_Clean!AF74)/RU_Clean!AF74*100,"")</f>
        <v>3.44827586206896</v>
      </c>
      <c r="AG86" s="12">
        <f>IF(AND(ISNUMBER(RU_Clean!AG86),ISNUMBER(RU_Clean!AG74)),(RU_Clean!AG86-RU_Clean!AG74)/RU_Clean!AG74*100,"")</f>
        <v>4.54545454545453</v>
      </c>
      <c r="AH86" s="12">
        <f>IF(AND(ISNUMBER(RU_Clean!AH86),ISNUMBER(RU_Clean!AH74)),(RU_Clean!AH86-RU_Clean!AH74)/RU_Clean!AH74*100,"")</f>
        <v>6.08004888481514</v>
      </c>
    </row>
    <row r="87" spans="1:34">
      <c r="A87" s="6">
        <f>RU_Clean!A87</f>
        <v>2019</v>
      </c>
      <c r="B87" s="6">
        <f>RU_Clean!B87</f>
        <v>11</v>
      </c>
      <c r="C87" s="6" t="str">
        <f>RU_Clean!C87</f>
        <v>November</v>
      </c>
      <c r="D87" s="9">
        <f>RU_Clean!D87</f>
        <v>43770</v>
      </c>
      <c r="E87" s="6"/>
      <c r="F87" s="6"/>
      <c r="G87" s="12">
        <f>IF(AND(ISNUMBER(RU_Clean!G87),ISNUMBER(RU_Clean!G75)),(RU_Clean!G87-RU_Clean!G75)/RU_Clean!G75*100,"")</f>
        <v>3.7117903930131</v>
      </c>
      <c r="H87" s="12">
        <f>IF(AND(ISNUMBER(RU_Clean!H87),ISNUMBER(RU_Clean!H75)),(RU_Clean!H87-RU_Clean!H75)/RU_Clean!H75*100,"")</f>
        <v>9.38337801608579</v>
      </c>
      <c r="I87" s="12">
        <f>IF(AND(ISNUMBER(RU_Clean!I87),ISNUMBER(RU_Clean!I75)),(RU_Clean!I87-RU_Clean!I75)/RU_Clean!I75*100,"")</f>
        <v>6.1998541210795</v>
      </c>
      <c r="J87" s="12">
        <f>IF(AND(ISNUMBER(RU_Clean!J87),ISNUMBER(RU_Clean!J75)),(RU_Clean!J87-RU_Clean!J75)/RU_Clean!J75*100,"")</f>
        <v>3.45557122708038</v>
      </c>
      <c r="K87" s="12">
        <f>IF(AND(ISNUMBER(RU_Clean!K87),ISNUMBER(RU_Clean!K75)),(RU_Clean!K87-RU_Clean!K75)/RU_Clean!K75*100,"")</f>
        <v>2.64244426094137</v>
      </c>
      <c r="L87" s="12">
        <f>IF(AND(ISNUMBER(RU_Clean!L87),ISNUMBER(RU_Clean!L75)),(RU_Clean!L87-RU_Clean!L75)/RU_Clean!L75*100,"")</f>
        <v>3.22128851540616</v>
      </c>
      <c r="M87" s="12">
        <f>IF(AND(ISNUMBER(RU_Clean!M87),ISNUMBER(RU_Clean!M75)),(RU_Clean!M87-RU_Clean!M75)/RU_Clean!M75*100,"")</f>
        <v>36.0599863667348</v>
      </c>
      <c r="N87" s="12">
        <f>IF(AND(ISNUMBER(RU_Clean!N87),ISNUMBER(RU_Clean!N75)),(RU_Clean!N87-RU_Clean!N75)/RU_Clean!N75*100,"")</f>
        <v>13.9378673383711</v>
      </c>
      <c r="O87" s="12">
        <f>IF(AND(ISNUMBER(RU_Clean!O87),ISNUMBER(RU_Clean!O75)),(RU_Clean!O87-RU_Clean!O75)/RU_Clean!O75*100,"")</f>
        <v>2.05540661304736</v>
      </c>
      <c r="P87" s="12">
        <f>IF(AND(ISNUMBER(RU_Clean!P87),ISNUMBER(RU_Clean!P75)),(RU_Clean!P87-RU_Clean!P75)/RU_Clean!P75*100,"")</f>
        <v>4.32931156848829</v>
      </c>
      <c r="Q87" s="12">
        <f>IF(AND(ISNUMBER(RU_Clean!Q87),ISNUMBER(RU_Clean!Q75)),(RU_Clean!Q87-RU_Clean!Q75)/RU_Clean!Q75*100,"")</f>
        <v>1.34831460674158</v>
      </c>
      <c r="R87" s="12">
        <f>IF(AND(ISNUMBER(RU_Clean!R87),ISNUMBER(RU_Clean!R75)),(RU_Clean!R87-RU_Clean!R75)/RU_Clean!R75*100,"")</f>
        <v>1.94174757281553</v>
      </c>
      <c r="S87" s="12">
        <f>IF(AND(ISNUMBER(RU_Clean!S87),ISNUMBER(RU_Clean!S75)),(RU_Clean!S87-RU_Clean!S75)/RU_Clean!S75*100,"")</f>
        <v>8.7329992841804</v>
      </c>
      <c r="T87" s="12">
        <f>IF(AND(ISNUMBER(RU_Clean!T87),ISNUMBER(RU_Clean!T75)),(RU_Clean!T87-RU_Clean!T75)/RU_Clean!T75*100,"")</f>
        <v>3.25953259532596</v>
      </c>
      <c r="U87" s="12">
        <f>IF(AND(ISNUMBER(RU_Clean!U87),ISNUMBER(RU_Clean!U75)),(RU_Clean!U87-RU_Clean!U75)/RU_Clean!U75*100,"")</f>
        <v>1.28378378378379</v>
      </c>
      <c r="V87" s="12">
        <f>IF(AND(ISNUMBER(RU_Clean!V87),ISNUMBER(RU_Clean!V75)),(RU_Clean!V87-RU_Clean!V75)/RU_Clean!V75*100,"")</f>
        <v>1.36592379583034</v>
      </c>
      <c r="W87" s="12">
        <f>IF(AND(ISNUMBER(RU_Clean!W87),ISNUMBER(RU_Clean!W75)),(RU_Clean!W87-RU_Clean!W75)/RU_Clean!W75*100,"")</f>
        <v>1.29516019086572</v>
      </c>
      <c r="X87" s="12">
        <f>IF(AND(ISNUMBER(RU_Clean!X87),ISNUMBER(RU_Clean!X75)),(RU_Clean!X87-RU_Clean!X75)/RU_Clean!X75*100,"")</f>
        <v>4.4928522804629</v>
      </c>
      <c r="Y87" s="12">
        <f>IF(AND(ISNUMBER(RU_Clean!Y87),ISNUMBER(RU_Clean!Y75)),(RU_Clean!Y87-RU_Clean!Y75)/RU_Clean!Y75*100,"")</f>
        <v>-1.92970365265333</v>
      </c>
      <c r="Z87" s="12">
        <f>IF(AND(ISNUMBER(RU_Clean!Z87),ISNUMBER(RU_Clean!Z75)),(RU_Clean!Z87-RU_Clean!Z75)/RU_Clean!Z75*100,"")</f>
        <v>2.18002812939523</v>
      </c>
      <c r="AA87" s="12">
        <f>IF(AND(ISNUMBER(RU_Clean!AA87),ISNUMBER(RU_Clean!AA75)),(RU_Clean!AA87-RU_Clean!AA75)/RU_Clean!AA75*100,"")</f>
        <v>5.48909218859959</v>
      </c>
      <c r="AB87" s="12">
        <f>IF(AND(ISNUMBER(RU_Clean!AB87),ISNUMBER(RU_Clean!AB75)),(RU_Clean!AB87-RU_Clean!AB75)/RU_Clean!AB75*100,"")</f>
        <v>0.876494023904378</v>
      </c>
      <c r="AC87" s="12">
        <f>IF(AND(ISNUMBER(RU_Clean!AC87),ISNUMBER(RU_Clean!AC75)),(RU_Clean!AC87-RU_Clean!AC75)/RU_Clean!AC75*100,"")</f>
        <v>4.1025641025641</v>
      </c>
      <c r="AD87" s="12">
        <f>IF(AND(ISNUMBER(RU_Clean!AD87),ISNUMBER(RU_Clean!AD75)),(RU_Clean!AD87-RU_Clean!AD75)/RU_Clean!AD75*100,"")</f>
        <v>5.20974289580513</v>
      </c>
      <c r="AE87" s="12">
        <f>IF(AND(ISNUMBER(RU_Clean!AE87),ISNUMBER(RU_Clean!AE75)),(RU_Clean!AE87-RU_Clean!AE75)/RU_Clean!AE75*100,"")</f>
        <v>6.2878787878788</v>
      </c>
      <c r="AF87" s="12">
        <f>IF(AND(ISNUMBER(RU_Clean!AF87),ISNUMBER(RU_Clean!AF75)),(RU_Clean!AF87-RU_Clean!AF75)/RU_Clean!AF75*100,"")</f>
        <v>3.66837857666911</v>
      </c>
      <c r="AG87" s="12">
        <f>IF(AND(ISNUMBER(RU_Clean!AG87),ISNUMBER(RU_Clean!AG75)),(RU_Clean!AG87-RU_Clean!AG75)/RU_Clean!AG75*100,"")</f>
        <v>5.53977272727272</v>
      </c>
      <c r="AH87" s="12">
        <f>IF(AND(ISNUMBER(RU_Clean!AH87),ISNUMBER(RU_Clean!AH75)),(RU_Clean!AH87-RU_Clean!AH75)/RU_Clean!AH75*100,"")</f>
        <v>7.51833740831294</v>
      </c>
    </row>
    <row r="88" spans="1:34">
      <c r="A88" s="6">
        <f>RU_Clean!A88</f>
        <v>2019</v>
      </c>
      <c r="B88" s="6">
        <f>RU_Clean!B88</f>
        <v>12</v>
      </c>
      <c r="C88" s="6" t="str">
        <f>RU_Clean!C88</f>
        <v>December</v>
      </c>
      <c r="D88" s="9">
        <f>RU_Clean!D88</f>
        <v>43800</v>
      </c>
      <c r="E88" s="6"/>
      <c r="F88" s="6"/>
      <c r="G88" s="12">
        <f>IF(AND(ISNUMBER(RU_Clean!G88),ISNUMBER(RU_Clean!G76)),(RU_Clean!G88-RU_Clean!G76)/RU_Clean!G76*100,"")</f>
        <v>4.36363636363636</v>
      </c>
      <c r="H88" s="12">
        <f>IF(AND(ISNUMBER(RU_Clean!H88),ISNUMBER(RU_Clean!H76)),(RU_Clean!H88-RU_Clean!H76)/RU_Clean!H76*100,"")</f>
        <v>9.63455149501661</v>
      </c>
      <c r="I88" s="12">
        <f>IF(AND(ISNUMBER(RU_Clean!I88),ISNUMBER(RU_Clean!I76)),(RU_Clean!I88-RU_Clean!I76)/RU_Clean!I76*100,"")</f>
        <v>8.86167146974062</v>
      </c>
      <c r="J88" s="12">
        <f>IF(AND(ISNUMBER(RU_Clean!J88),ISNUMBER(RU_Clean!J76)),(RU_Clean!J88-RU_Clean!J76)/RU_Clean!J76*100,"")</f>
        <v>4.36312456016891</v>
      </c>
      <c r="K88" s="12">
        <f>IF(AND(ISNUMBER(RU_Clean!K88),ISNUMBER(RU_Clean!K76)),(RU_Clean!K88-RU_Clean!K76)/RU_Clean!K76*100,"")</f>
        <v>3.0327868852459</v>
      </c>
      <c r="L88" s="12">
        <f>IF(AND(ISNUMBER(RU_Clean!L88),ISNUMBER(RU_Clean!L76)),(RU_Clean!L88-RU_Clean!L76)/RU_Clean!L76*100,"")</f>
        <v>4.51936872309898</v>
      </c>
      <c r="M88" s="12">
        <f>IF(AND(ISNUMBER(RU_Clean!M88),ISNUMBER(RU_Clean!M76)),(RU_Clean!M88-RU_Clean!M76)/RU_Clean!M76*100,"")</f>
        <v>60.5029585798817</v>
      </c>
      <c r="N88" s="12">
        <f>IF(AND(ISNUMBER(RU_Clean!N88),ISNUMBER(RU_Clean!N76)),(RU_Clean!N88-RU_Clean!N76)/RU_Clean!N76*100,"")</f>
        <v>15.4424040066778</v>
      </c>
      <c r="O88" s="12">
        <f>IF(AND(ISNUMBER(RU_Clean!O88),ISNUMBER(RU_Clean!O76)),(RU_Clean!O88-RU_Clean!O76)/RU_Clean!O76*100,"")</f>
        <v>3.35448776065277</v>
      </c>
      <c r="P88" s="12">
        <f>IF(AND(ISNUMBER(RU_Clean!P88),ISNUMBER(RU_Clean!P76)),(RU_Clean!P88-RU_Clean!P76)/RU_Clean!P76*100,"")</f>
        <v>5.76102418207681</v>
      </c>
      <c r="Q88" s="12">
        <f>IF(AND(ISNUMBER(RU_Clean!Q88),ISNUMBER(RU_Clean!Q76)),(RU_Clean!Q88-RU_Clean!Q76)/RU_Clean!Q76*100,"")</f>
        <v>1.49476831091181</v>
      </c>
      <c r="R88" s="12">
        <f>IF(AND(ISNUMBER(RU_Clean!R88),ISNUMBER(RU_Clean!R76)),(RU_Clean!R88-RU_Clean!R76)/RU_Clean!R76*100,"")</f>
        <v>2.19922380336352</v>
      </c>
      <c r="S88" s="12">
        <f>IF(AND(ISNUMBER(RU_Clean!S88),ISNUMBER(RU_Clean!S76)),(RU_Clean!S88-RU_Clean!S76)/RU_Clean!S76*100,"")</f>
        <v>12.1562952243126</v>
      </c>
      <c r="T88" s="12">
        <f>IF(AND(ISNUMBER(RU_Clean!T88),ISNUMBER(RU_Clean!T76)),(RU_Clean!T88-RU_Clean!T76)/RU_Clean!T76*100,"")</f>
        <v>3.37423312883436</v>
      </c>
      <c r="U88" s="12">
        <f>IF(AND(ISNUMBER(RU_Clean!U88),ISNUMBER(RU_Clean!U76)),(RU_Clean!U88-RU_Clean!U76)/RU_Clean!U76*100,"")</f>
        <v>1.48548278190413</v>
      </c>
      <c r="V88" s="12">
        <f>IF(AND(ISNUMBER(RU_Clean!V88),ISNUMBER(RU_Clean!V76)),(RU_Clean!V88-RU_Clean!V76)/RU_Clean!V76*100,"")</f>
        <v>1.36298421807748</v>
      </c>
      <c r="W88" s="12">
        <f>IF(AND(ISNUMBER(RU_Clean!W88),ISNUMBER(RU_Clean!W76)),(RU_Clean!W88-RU_Clean!W76)/RU_Clean!W76*100,"")</f>
        <v>1.49863760217983</v>
      </c>
      <c r="X88" s="12">
        <f>IF(AND(ISNUMBER(RU_Clean!X88),ISNUMBER(RU_Clean!X76)),(RU_Clean!X88-RU_Clean!X76)/RU_Clean!X76*100,"")</f>
        <v>4.30034129692834</v>
      </c>
      <c r="Y88" s="12">
        <f>IF(AND(ISNUMBER(RU_Clean!Y88),ISNUMBER(RU_Clean!Y76)),(RU_Clean!Y88-RU_Clean!Y76)/RU_Clean!Y76*100,"")</f>
        <v>0.700770847932726</v>
      </c>
      <c r="Z88" s="12">
        <f>IF(AND(ISNUMBER(RU_Clean!Z88),ISNUMBER(RU_Clean!Z76)),(RU_Clean!Z88-RU_Clean!Z76)/RU_Clean!Z76*100,"")</f>
        <v>1.81564245810057</v>
      </c>
      <c r="AA88" s="12">
        <f>IF(AND(ISNUMBER(RU_Clean!AA88),ISNUMBER(RU_Clean!AA76)),(RU_Clean!AA88-RU_Clean!AA76)/RU_Clean!AA76*100,"")</f>
        <v>3.79572118702553</v>
      </c>
      <c r="AB88" s="12">
        <f>IF(AND(ISNUMBER(RU_Clean!AB88),ISNUMBER(RU_Clean!AB76)),(RU_Clean!AB88-RU_Clean!AB76)/RU_Clean!AB76*100,"")</f>
        <v>5.01618122977348</v>
      </c>
      <c r="AC88" s="12">
        <f>IF(AND(ISNUMBER(RU_Clean!AC88),ISNUMBER(RU_Clean!AC76)),(RU_Clean!AC88-RU_Clean!AC76)/RU_Clean!AC76*100,"")</f>
        <v>4.02046783625731</v>
      </c>
      <c r="AD88" s="12">
        <f>IF(AND(ISNUMBER(RU_Clean!AD88),ISNUMBER(RU_Clean!AD76)),(RU_Clean!AD88-RU_Clean!AD76)/RU_Clean!AD76*100,"")</f>
        <v>3.73084610259826</v>
      </c>
      <c r="AE88" s="12">
        <f>IF(AND(ISNUMBER(RU_Clean!AE88),ISNUMBER(RU_Clean!AE76)),(RU_Clean!AE88-RU_Clean!AE76)/RU_Clean!AE76*100,"")</f>
        <v>6.20272314674737</v>
      </c>
      <c r="AF88" s="12">
        <f>IF(AND(ISNUMBER(RU_Clean!AF88),ISNUMBER(RU_Clean!AF76)),(RU_Clean!AF88-RU_Clean!AF76)/RU_Clean!AF76*100,"")</f>
        <v>4.16666666666666</v>
      </c>
      <c r="AG88" s="12">
        <f>IF(AND(ISNUMBER(RU_Clean!AG88),ISNUMBER(RU_Clean!AG76)),(RU_Clean!AG88-RU_Clean!AG76)/RU_Clean!AG76*100,"")</f>
        <v>7.3518915060671</v>
      </c>
      <c r="AH88" s="12">
        <f>IF(AND(ISNUMBER(RU_Clean!AH88),ISNUMBER(RU_Clean!AH76)),(RU_Clean!AH88-RU_Clean!AH76)/RU_Clean!AH76*100,"")</f>
        <v>10.2486765973163</v>
      </c>
    </row>
    <row r="89" spans="1:34">
      <c r="A89" s="6">
        <f>RU_Clean!A89</f>
        <v>2020</v>
      </c>
      <c r="B89" s="6">
        <f>RU_Clean!B89</f>
        <v>1</v>
      </c>
      <c r="C89" s="6" t="str">
        <f>RU_Clean!C89</f>
        <v>January</v>
      </c>
      <c r="D89" s="9">
        <f>RU_Clean!D89</f>
        <v>43831</v>
      </c>
      <c r="E89" s="6"/>
      <c r="F89" s="6"/>
      <c r="G89" s="12">
        <f>IF(AND(ISNUMBER(RU_Clean!G89),ISNUMBER(RU_Clean!G77)),(RU_Clean!G89-RU_Clean!G77)/RU_Clean!G77*100,"")</f>
        <v>5.25164113785559</v>
      </c>
      <c r="H89" s="12">
        <f>IF(AND(ISNUMBER(RU_Clean!H89),ISNUMBER(RU_Clean!H77)),(RU_Clean!H89-RU_Clean!H77)/RU_Clean!H77*100,"")</f>
        <v>10.5680317040951</v>
      </c>
      <c r="I89" s="12">
        <f>IF(AND(ISNUMBER(RU_Clean!I89),ISNUMBER(RU_Clean!I77)),(RU_Clean!I89-RU_Clean!I77)/RU_Clean!I77*100,"")</f>
        <v>10.4850213980029</v>
      </c>
      <c r="J89" s="12">
        <f>IF(AND(ISNUMBER(RU_Clean!J89),ISNUMBER(RU_Clean!J77)),(RU_Clean!J89-RU_Clean!J77)/RU_Clean!J77*100,"")</f>
        <v>5.62983814215341</v>
      </c>
      <c r="K89" s="12">
        <f>IF(AND(ISNUMBER(RU_Clean!K89),ISNUMBER(RU_Clean!K77)),(RU_Clean!K89-RU_Clean!K77)/RU_Clean!K77*100,"")</f>
        <v>6.65024630541873</v>
      </c>
      <c r="L89" s="12">
        <f>IF(AND(ISNUMBER(RU_Clean!L89),ISNUMBER(RU_Clean!L77)),(RU_Clean!L89-RU_Clean!L77)/RU_Clean!L77*100,"")</f>
        <v>5.76070901033972</v>
      </c>
      <c r="M89" s="12">
        <f>IF(AND(ISNUMBER(RU_Clean!M89),ISNUMBER(RU_Clean!M77)),(RU_Clean!M89-RU_Clean!M77)/RU_Clean!M77*100,"")</f>
        <v>50.03808073115</v>
      </c>
      <c r="N89" s="12">
        <f>IF(AND(ISNUMBER(RU_Clean!N89),ISNUMBER(RU_Clean!N77)),(RU_Clean!N89-RU_Clean!N77)/RU_Clean!N77*100,"")</f>
        <v>16.7082294264339</v>
      </c>
      <c r="O89" s="12">
        <f>IF(AND(ISNUMBER(RU_Clean!O89),ISNUMBER(RU_Clean!O77)),(RU_Clean!O89-RU_Clean!O77)/RU_Clean!O77*100,"")</f>
        <v>4.58295142071494</v>
      </c>
      <c r="P89" s="12">
        <f>IF(AND(ISNUMBER(RU_Clean!P89),ISNUMBER(RU_Clean!P77)),(RU_Clean!P89-RU_Clean!P77)/RU_Clean!P77*100,"")</f>
        <v>8.24964131994261</v>
      </c>
      <c r="Q89" s="12">
        <f>IF(AND(ISNUMBER(RU_Clean!Q89),ISNUMBER(RU_Clean!Q77)),(RU_Clean!Q89-RU_Clean!Q77)/RU_Clean!Q77*100,"")</f>
        <v>2.10052513128281</v>
      </c>
      <c r="R89" s="12">
        <f>IF(AND(ISNUMBER(RU_Clean!R89),ISNUMBER(RU_Clean!R77)),(RU_Clean!R89-RU_Clean!R77)/RU_Clean!R77*100,"")</f>
        <v>2.58732212160414</v>
      </c>
      <c r="S89" s="12">
        <f>IF(AND(ISNUMBER(RU_Clean!S89),ISNUMBER(RU_Clean!S77)),(RU_Clean!S89-RU_Clean!S77)/RU_Clean!S77*100,"")</f>
        <v>11.7176128093159</v>
      </c>
      <c r="T89" s="12">
        <f>IF(AND(ISNUMBER(RU_Clean!T89),ISNUMBER(RU_Clean!T77)),(RU_Clean!T89-RU_Clean!T77)/RU_Clean!T77*100,"")</f>
        <v>3.67647058823529</v>
      </c>
      <c r="U89" s="12">
        <f>IF(AND(ISNUMBER(RU_Clean!U89),ISNUMBER(RU_Clean!U77)),(RU_Clean!U89-RU_Clean!U77)/RU_Clean!U77*100,"")</f>
        <v>1.96476964769648</v>
      </c>
      <c r="V89" s="12">
        <f>IF(AND(ISNUMBER(RU_Clean!V89),ISNUMBER(RU_Clean!V77)),(RU_Clean!V89-RU_Clean!V77)/RU_Clean!V77*100,"")</f>
        <v>1.79856115107914</v>
      </c>
      <c r="W89" s="12">
        <f>IF(AND(ISNUMBER(RU_Clean!W89),ISNUMBER(RU_Clean!W77)),(RU_Clean!W89-RU_Clean!W77)/RU_Clean!W77*100,"")</f>
        <v>1.91256830601092</v>
      </c>
      <c r="X89" s="12">
        <f>IF(AND(ISNUMBER(RU_Clean!X89),ISNUMBER(RU_Clean!X77)),(RU_Clean!X89-RU_Clean!X77)/RU_Clean!X77*100,"")</f>
        <v>4.19769803656061</v>
      </c>
      <c r="Y89" s="12">
        <f>IF(AND(ISNUMBER(RU_Clean!Y89),ISNUMBER(RU_Clean!Y77)),(RU_Clean!Y89-RU_Clean!Y77)/RU_Clean!Y77*100,"")</f>
        <v>3.65591397849462</v>
      </c>
      <c r="Z89" s="12">
        <f>IF(AND(ISNUMBER(RU_Clean!Z89),ISNUMBER(RU_Clean!Z77)),(RU_Clean!Z89-RU_Clean!Z77)/RU_Clean!Z77*100,"")</f>
        <v>1.81058495821727</v>
      </c>
      <c r="AA89" s="12">
        <f>IF(AND(ISNUMBER(RU_Clean!AA89),ISNUMBER(RU_Clean!AA77)),(RU_Clean!AA89-RU_Clean!AA77)/RU_Clean!AA77*100,"")</f>
        <v>4.20399724328049</v>
      </c>
      <c r="AB89" s="12">
        <f>IF(AND(ISNUMBER(RU_Clean!AB89),ISNUMBER(RU_Clean!AB77)),(RU_Clean!AB89-RU_Clean!AB77)/RU_Clean!AB77*100,"")</f>
        <v>6.16382806163829</v>
      </c>
      <c r="AC89" s="12">
        <f>IF(AND(ISNUMBER(RU_Clean!AC89),ISNUMBER(RU_Clean!AC77)),(RU_Clean!AC89-RU_Clean!AC77)/RU_Clean!AC77*100,"")</f>
        <v>4.46232626188736</v>
      </c>
      <c r="AD89" s="12">
        <f>IF(AND(ISNUMBER(RU_Clean!AD89),ISNUMBER(RU_Clean!AD77)),(RU_Clean!AD89-RU_Clean!AD77)/RU_Clean!AD77*100,"")</f>
        <v>3.92809587217044</v>
      </c>
      <c r="AE89" s="12">
        <f>IF(AND(ISNUMBER(RU_Clean!AE89),ISNUMBER(RU_Clean!AE77)),(RU_Clean!AE89-RU_Clean!AE77)/RU_Clean!AE77*100,"")</f>
        <v>7.15361445783132</v>
      </c>
      <c r="AF89" s="12">
        <f>IF(AND(ISNUMBER(RU_Clean!AF89),ISNUMBER(RU_Clean!AF77)),(RU_Clean!AF89-RU_Clean!AF77)/RU_Clean!AF77*100,"")</f>
        <v>4.74799123447772</v>
      </c>
      <c r="AG89" s="12">
        <f>IF(AND(ISNUMBER(RU_Clean!AG89),ISNUMBER(RU_Clean!AG77)),(RU_Clean!AG89-RU_Clean!AG77)/RU_Clean!AG77*100,"")</f>
        <v>7.59312320916905</v>
      </c>
      <c r="AH89" s="12">
        <f>IF(AND(ISNUMBER(RU_Clean!AH89),ISNUMBER(RU_Clean!AH77)),(RU_Clean!AH89-RU_Clean!AH77)/RU_Clean!AH77*100,"")</f>
        <v>10.575495049505</v>
      </c>
    </row>
    <row r="90" spans="1:34">
      <c r="A90" s="6">
        <f>RU_Clean!A90</f>
        <v>2020</v>
      </c>
      <c r="B90" s="6">
        <f>RU_Clean!B90</f>
        <v>2</v>
      </c>
      <c r="C90" s="6" t="str">
        <f>RU_Clean!C90</f>
        <v>February</v>
      </c>
      <c r="D90" s="9">
        <f>RU_Clean!D90</f>
        <v>43862</v>
      </c>
      <c r="E90" s="6"/>
      <c r="F90" s="6"/>
      <c r="G90" s="12">
        <f>IF(AND(ISNUMBER(RU_Clean!G90),ISNUMBER(RU_Clean!G78)),(RU_Clean!G90-RU_Clean!G78)/RU_Clean!G78*100,"")</f>
        <v>5.2325581395349</v>
      </c>
      <c r="H90" s="12">
        <f>IF(AND(ISNUMBER(RU_Clean!H90),ISNUMBER(RU_Clean!H78)),(RU_Clean!H90-RU_Clean!H78)/RU_Clean!H78*100,"")</f>
        <v>10.1973684210526</v>
      </c>
      <c r="I90" s="12">
        <f>IF(AND(ISNUMBER(RU_Clean!I90),ISNUMBER(RU_Clean!I78)),(RU_Clean!I90-RU_Clean!I78)/RU_Clean!I78*100,"")</f>
        <v>7.27915194346291</v>
      </c>
      <c r="J90" s="12">
        <f>IF(AND(ISNUMBER(RU_Clean!J90),ISNUMBER(RU_Clean!J78)),(RU_Clean!J90-RU_Clean!J78)/RU_Clean!J78*100,"")</f>
        <v>6.04781997187062</v>
      </c>
      <c r="K90" s="12">
        <f>IF(AND(ISNUMBER(RU_Clean!K90),ISNUMBER(RU_Clean!K78)),(RU_Clean!K90-RU_Clean!K78)/RU_Clean!K78*100,"")</f>
        <v>7.70491803278689</v>
      </c>
      <c r="L90" s="12">
        <f>IF(AND(ISNUMBER(RU_Clean!L90),ISNUMBER(RU_Clean!L78)),(RU_Clean!L90-RU_Clean!L78)/RU_Clean!L78*100,"")</f>
        <v>3.95894428152493</v>
      </c>
      <c r="M90" s="12">
        <f>IF(AND(ISNUMBER(RU_Clean!M90),ISNUMBER(RU_Clean!M78)),(RU_Clean!M90-RU_Clean!M78)/RU_Clean!M78*100,"")</f>
        <v>31.6114109483423</v>
      </c>
      <c r="N90" s="12">
        <f>IF(AND(ISNUMBER(RU_Clean!N90),ISNUMBER(RU_Clean!N78)),(RU_Clean!N90-RU_Clean!N78)/RU_Clean!N78*100,"")</f>
        <v>16.6115702479339</v>
      </c>
      <c r="O90" s="12">
        <f>IF(AND(ISNUMBER(RU_Clean!O90),ISNUMBER(RU_Clean!O78)),(RU_Clean!O90-RU_Clean!O78)/RU_Clean!O78*100,"")</f>
        <v>4.22018348623853</v>
      </c>
      <c r="P90" s="12">
        <f>IF(AND(ISNUMBER(RU_Clean!P90),ISNUMBER(RU_Clean!P78)),(RU_Clean!P90-RU_Clean!P78)/RU_Clean!P78*100,"")</f>
        <v>8.80458124552614</v>
      </c>
      <c r="Q90" s="12">
        <f>IF(AND(ISNUMBER(RU_Clean!Q90),ISNUMBER(RU_Clean!Q78)),(RU_Clean!Q90-RU_Clean!Q78)/RU_Clean!Q78*100,"")</f>
        <v>2.17065868263473</v>
      </c>
      <c r="R90" s="12">
        <f>IF(AND(ISNUMBER(RU_Clean!R90),ISNUMBER(RU_Clean!R78)),(RU_Clean!R90-RU_Clean!R78)/RU_Clean!R78*100,"")</f>
        <v>2.71142672692059</v>
      </c>
      <c r="S90" s="12">
        <f>IF(AND(ISNUMBER(RU_Clean!S90),ISNUMBER(RU_Clean!S78)),(RU_Clean!S90-RU_Clean!S78)/RU_Clean!S78*100,"")</f>
        <v>9.45454545454546</v>
      </c>
      <c r="T90" s="12">
        <f>IF(AND(ISNUMBER(RU_Clean!T90),ISNUMBER(RU_Clean!T78)),(RU_Clean!T90-RU_Clean!T78)/RU_Clean!T78*100,"")</f>
        <v>4.10036719706242</v>
      </c>
      <c r="U90" s="12">
        <f>IF(AND(ISNUMBER(RU_Clean!U90),ISNUMBER(RU_Clean!U78)),(RU_Clean!U90-RU_Clean!U78)/RU_Clean!U78*100,"")</f>
        <v>2.09884901828031</v>
      </c>
      <c r="V90" s="12">
        <f>IF(AND(ISNUMBER(RU_Clean!V90),ISNUMBER(RU_Clean!V78)),(RU_Clean!V90-RU_Clean!V78)/RU_Clean!V78*100,"")</f>
        <v>1.43163922691482</v>
      </c>
      <c r="W90" s="12">
        <f>IF(AND(ISNUMBER(RU_Clean!W90),ISNUMBER(RU_Clean!W78)),(RU_Clean!W90-RU_Clean!W78)/RU_Clean!W78*100,"")</f>
        <v>2.04778156996587</v>
      </c>
      <c r="X90" s="12">
        <f>IF(AND(ISNUMBER(RU_Clean!X90),ISNUMBER(RU_Clean!X78)),(RU_Clean!X90-RU_Clean!X78)/RU_Clean!X78*100,"")</f>
        <v>4.24242424242425</v>
      </c>
      <c r="Y90" s="12">
        <f>IF(AND(ISNUMBER(RU_Clean!Y90),ISNUMBER(RU_Clean!Y78)),(RU_Clean!Y90-RU_Clean!Y78)/RU_Clean!Y78*100,"")</f>
        <v>6.35838150289016</v>
      </c>
      <c r="Z90" s="12">
        <f>IF(AND(ISNUMBER(RU_Clean!Z90),ISNUMBER(RU_Clean!Z78)),(RU_Clean!Z90-RU_Clean!Z78)/RU_Clean!Z78*100,"")</f>
        <v>1.87891440501045</v>
      </c>
      <c r="AA90" s="12">
        <f>IF(AND(ISNUMBER(RU_Clean!AA90),ISNUMBER(RU_Clean!AA78)),(RU_Clean!AA90-RU_Clean!AA78)/RU_Clean!AA78*100,"")</f>
        <v>4.18956043956044</v>
      </c>
      <c r="AB90" s="12">
        <f>IF(AND(ISNUMBER(RU_Clean!AB90),ISNUMBER(RU_Clean!AB78)),(RU_Clean!AB90-RU_Clean!AB78)/RU_Clean!AB78*100,"")</f>
        <v>5.16545601291365</v>
      </c>
      <c r="AC90" s="12">
        <f>IF(AND(ISNUMBER(RU_Clean!AC90),ISNUMBER(RU_Clean!AC78)),(RU_Clean!AC90-RU_Clean!AC78)/RU_Clean!AC78*100,"")</f>
        <v>4.44930707512764</v>
      </c>
      <c r="AD90" s="12">
        <f>IF(AND(ISNUMBER(RU_Clean!AD90),ISNUMBER(RU_Clean!AD78)),(RU_Clean!AD90-RU_Clean!AD78)/RU_Clean!AD78*100,"")</f>
        <v>3.92548236859613</v>
      </c>
      <c r="AE90" s="12">
        <f>IF(AND(ISNUMBER(RU_Clean!AE90),ISNUMBER(RU_Clean!AE78)),(RU_Clean!AE90-RU_Clean!AE78)/RU_Clean!AE78*100,"")</f>
        <v>6.9351230425056</v>
      </c>
      <c r="AF90" s="12">
        <f>IF(AND(ISNUMBER(RU_Clean!AF90),ISNUMBER(RU_Clean!AF78)),(RU_Clean!AF90-RU_Clean!AF78)/RU_Clean!AF78*100,"")</f>
        <v>4.51237263464337</v>
      </c>
      <c r="AG90" s="12">
        <f>IF(AND(ISNUMBER(RU_Clean!AG90),ISNUMBER(RU_Clean!AG78)),(RU_Clean!AG90-RU_Clean!AG78)/RU_Clean!AG78*100,"")</f>
        <v>6.57612580414581</v>
      </c>
      <c r="AH90" s="12">
        <f>IF(AND(ISNUMBER(RU_Clean!AH90),ISNUMBER(RU_Clean!AH78)),(RU_Clean!AH90-RU_Clean!AH78)/RU_Clean!AH78*100,"")</f>
        <v>8.73672511731292</v>
      </c>
    </row>
    <row r="91" spans="1:34">
      <c r="A91" s="6">
        <f>RU_Clean!A91</f>
        <v>2020</v>
      </c>
      <c r="B91" s="6">
        <f>RU_Clean!B91</f>
        <v>3</v>
      </c>
      <c r="C91" s="6" t="str">
        <f>RU_Clean!C91</f>
        <v>March</v>
      </c>
      <c r="D91" s="9">
        <f>RU_Clean!D91</f>
        <v>43891</v>
      </c>
      <c r="E91" s="6"/>
      <c r="F91" s="6"/>
      <c r="G91" s="12">
        <f>IF(AND(ISNUMBER(RU_Clean!G91),ISNUMBER(RU_Clean!G79)),(RU_Clean!G91-RU_Clean!G79)/RU_Clean!G79*100,"")</f>
        <v>5.29753265602321</v>
      </c>
      <c r="H91" s="12">
        <f>IF(AND(ISNUMBER(RU_Clean!H91),ISNUMBER(RU_Clean!H79)),(RU_Clean!H91-RU_Clean!H79)/RU_Clean!H79*100,"")</f>
        <v>9.15032679738562</v>
      </c>
      <c r="I91" s="12">
        <f>IF(AND(ISNUMBER(RU_Clean!I91),ISNUMBER(RU_Clean!I79)),(RU_Clean!I91-RU_Clean!I79)/RU_Clean!I79*100,"")</f>
        <v>5.55951532430505</v>
      </c>
      <c r="J91" s="12">
        <f>IF(AND(ISNUMBER(RU_Clean!J91),ISNUMBER(RU_Clean!J79)),(RU_Clean!J91-RU_Clean!J79)/RU_Clean!J79*100,"")</f>
        <v>6.46521433591004</v>
      </c>
      <c r="K91" s="12">
        <f>IF(AND(ISNUMBER(RU_Clean!K91),ISNUMBER(RU_Clean!K79)),(RU_Clean!K91-RU_Clean!K79)/RU_Clean!K79*100,"")</f>
        <v>7.54098360655737</v>
      </c>
      <c r="L91" s="12">
        <f>IF(AND(ISNUMBER(RU_Clean!L91),ISNUMBER(RU_Clean!L79)),(RU_Clean!L91-RU_Clean!L79)/RU_Clean!L79*100,"")</f>
        <v>3.56104651162791</v>
      </c>
      <c r="M91" s="12">
        <f>IF(AND(ISNUMBER(RU_Clean!M91),ISNUMBER(RU_Clean!M79)),(RU_Clean!M91-RU_Clean!M79)/RU_Clean!M79*100,"")</f>
        <v>18.6274509803922</v>
      </c>
      <c r="N91" s="12">
        <f>IF(AND(ISNUMBER(RU_Clean!N91),ISNUMBER(RU_Clean!N79)),(RU_Clean!N91-RU_Clean!N79)/RU_Clean!N79*100,"")</f>
        <v>15.8456486042693</v>
      </c>
      <c r="O91" s="12">
        <f>IF(AND(ISNUMBER(RU_Clean!O91),ISNUMBER(RU_Clean!O79)),(RU_Clean!O91-RU_Clean!O79)/RU_Clean!O79*100,"")</f>
        <v>3.85321100917431</v>
      </c>
      <c r="P91" s="12">
        <f>IF(AND(ISNUMBER(RU_Clean!P91),ISNUMBER(RU_Clean!P79)),(RU_Clean!P91-RU_Clean!P79)/RU_Clean!P79*100,"")</f>
        <v>9.82078853046594</v>
      </c>
      <c r="Q91" s="12">
        <f>IF(AND(ISNUMBER(RU_Clean!Q91),ISNUMBER(RU_Clean!Q79)),(RU_Clean!Q91-RU_Clean!Q79)/RU_Clean!Q79*100,"")</f>
        <v>2.24382946896036</v>
      </c>
      <c r="R91" s="12">
        <f>IF(AND(ISNUMBER(RU_Clean!R91),ISNUMBER(RU_Clean!R79)),(RU_Clean!R91-RU_Clean!R79)/RU_Clean!R79*100,"")</f>
        <v>2.83505154639176</v>
      </c>
      <c r="S91" s="12">
        <f>IF(AND(ISNUMBER(RU_Clean!S91),ISNUMBER(RU_Clean!S79)),(RU_Clean!S91-RU_Clean!S79)/RU_Clean!S79*100,"")</f>
        <v>7.82041998551775</v>
      </c>
      <c r="T91" s="12">
        <f>IF(AND(ISNUMBER(RU_Clean!T91),ISNUMBER(RU_Clean!T79)),(RU_Clean!T91-RU_Clean!T79)/RU_Clean!T79*100,"")</f>
        <v>4.70948012232415</v>
      </c>
      <c r="U91" s="12">
        <f>IF(AND(ISNUMBER(RU_Clean!U91),ISNUMBER(RU_Clean!U79)),(RU_Clean!U91-RU_Clean!U79)/RU_Clean!U79*100,"")</f>
        <v>2.2312373225152</v>
      </c>
      <c r="V91" s="12">
        <f>IF(AND(ISNUMBER(RU_Clean!V91),ISNUMBER(RU_Clean!V79)),(RU_Clean!V91-RU_Clean!V79)/RU_Clean!V79*100,"")</f>
        <v>1.42959256611866</v>
      </c>
      <c r="W91" s="12">
        <f>IF(AND(ISNUMBER(RU_Clean!W91),ISNUMBER(RU_Clean!W79)),(RU_Clean!W91-RU_Clean!W79)/RU_Clean!W79*100,"")</f>
        <v>2.11315610088618</v>
      </c>
      <c r="X91" s="12">
        <f>IF(AND(ISNUMBER(RU_Clean!X91),ISNUMBER(RU_Clean!X79)),(RU_Clean!X91-RU_Clean!X79)/RU_Clean!X79*100,"")</f>
        <v>3.69127516778523</v>
      </c>
      <c r="Y91" s="12">
        <f>IF(AND(ISNUMBER(RU_Clean!Y91),ISNUMBER(RU_Clean!Y79)),(RU_Clean!Y91-RU_Clean!Y79)/RU_Clean!Y79*100,"")</f>
        <v>6.58554044380817</v>
      </c>
      <c r="Z91" s="12">
        <f>IF(AND(ISNUMBER(RU_Clean!Z91),ISNUMBER(RU_Clean!Z79)),(RU_Clean!Z91-RU_Clean!Z79)/RU_Clean!Z79*100,"")</f>
        <v>1.80806675938803</v>
      </c>
      <c r="AA91" s="12">
        <f>IF(AND(ISNUMBER(RU_Clean!AA91),ISNUMBER(RU_Clean!AA79)),(RU_Clean!AA91-RU_Clean!AA79)/RU_Clean!AA79*100,"")</f>
        <v>4.17236662106705</v>
      </c>
      <c r="AB91" s="12">
        <f>IF(AND(ISNUMBER(RU_Clean!AB91),ISNUMBER(RU_Clean!AB79)),(RU_Clean!AB91-RU_Clean!AB79)/RU_Clean!AB79*100,"")</f>
        <v>4.25361155698235</v>
      </c>
      <c r="AC91" s="12">
        <f>IF(AND(ISNUMBER(RU_Clean!AC91),ISNUMBER(RU_Clean!AC79)),(RU_Clean!AC91-RU_Clean!AC79)/RU_Clean!AC79*100,"")</f>
        <v>4.35729847494553</v>
      </c>
      <c r="AD91" s="12">
        <f>IF(AND(ISNUMBER(RU_Clean!AD91),ISNUMBER(RU_Clean!AD79)),(RU_Clean!AD91-RU_Clean!AD79)/RU_Clean!AD79*100,"")</f>
        <v>3.8589487691284</v>
      </c>
      <c r="AE91" s="12">
        <f>IF(AND(ISNUMBER(RU_Clean!AE91),ISNUMBER(RU_Clean!AE79)),(RU_Clean!AE91-RU_Clean!AE79)/RU_Clean!AE79*100,"")</f>
        <v>8.84557721139429</v>
      </c>
      <c r="AF91" s="12">
        <f>IF(AND(ISNUMBER(RU_Clean!AF91),ISNUMBER(RU_Clean!AF79)),(RU_Clean!AF91-RU_Clean!AF79)/RU_Clean!AF79*100,"")</f>
        <v>4.42992011619464</v>
      </c>
      <c r="AG91" s="12">
        <f>IF(AND(ISNUMBER(RU_Clean!AG91),ISNUMBER(RU_Clean!AG79)),(RU_Clean!AG91-RU_Clean!AG79)/RU_Clean!AG79*100,"")</f>
        <v>5.84045584045583</v>
      </c>
      <c r="AH91" s="12">
        <f>IF(AND(ISNUMBER(RU_Clean!AH91),ISNUMBER(RU_Clean!AH79)),(RU_Clean!AH91-RU_Clean!AH79)/RU_Clean!AH79*100,"")</f>
        <v>7.49015263417035</v>
      </c>
    </row>
    <row r="92" spans="1:34">
      <c r="A92" s="6">
        <f>RU_Clean!A92</f>
        <v>2020</v>
      </c>
      <c r="B92" s="6">
        <f>RU_Clean!B92</f>
        <v>4</v>
      </c>
      <c r="C92" s="6" t="str">
        <f>RU_Clean!C92</f>
        <v>April</v>
      </c>
      <c r="D92" s="9">
        <f>RU_Clean!D92</f>
        <v>43922</v>
      </c>
      <c r="E92" s="6"/>
      <c r="F92" s="6"/>
      <c r="G92" s="12">
        <f>IF(AND(ISNUMBER(RU_Clean!G92),ISNUMBER(RU_Clean!G80)),(RU_Clean!G92-RU_Clean!G80)/RU_Clean!G80*100,"")</f>
        <v>7.71459616081128</v>
      </c>
      <c r="H92" s="12">
        <f>IF(AND(ISNUMBER(RU_Clean!H92),ISNUMBER(RU_Clean!H80)),(RU_Clean!H92-RU_Clean!H80)/RU_Clean!H80*100,"")</f>
        <v>12.7233814874264</v>
      </c>
      <c r="I92" s="12">
        <f>IF(AND(ISNUMBER(RU_Clean!I92),ISNUMBER(RU_Clean!I80)),(RU_Clean!I92-RU_Clean!I80)/RU_Clean!I80*100,"")</f>
        <v>7.70901194353963</v>
      </c>
      <c r="J92" s="12">
        <f>IF(AND(ISNUMBER(RU_Clean!J92),ISNUMBER(RU_Clean!J80)),(RU_Clean!J92-RU_Clean!J80)/RU_Clean!J80*100,"")</f>
        <v>9.26966292134831</v>
      </c>
      <c r="K92" s="12">
        <f>IF(AND(ISNUMBER(RU_Clean!K92),ISNUMBER(RU_Clean!K80)),(RU_Clean!K92-RU_Clean!K80)/RU_Clean!K80*100,"")</f>
        <v>10.7377049180328</v>
      </c>
      <c r="L92" s="12">
        <f>IF(AND(ISNUMBER(RU_Clean!L92),ISNUMBER(RU_Clean!L80)),(RU_Clean!L92-RU_Clean!L80)/RU_Clean!L80*100,"")</f>
        <v>5.52622316085885</v>
      </c>
      <c r="M92" s="12">
        <f>IF(AND(ISNUMBER(RU_Clean!M92),ISNUMBER(RU_Clean!M80)),(RU_Clean!M92-RU_Clean!M80)/RU_Clean!M80*100,"")</f>
        <v>22.3512336719884</v>
      </c>
      <c r="N92" s="12">
        <f>IF(AND(ISNUMBER(RU_Clean!N92),ISNUMBER(RU_Clean!N80)),(RU_Clean!N92-RU_Clean!N80)/RU_Clean!N80*100,"")</f>
        <v>21.9294689906769</v>
      </c>
      <c r="O92" s="12">
        <f>IF(AND(ISNUMBER(RU_Clean!O92),ISNUMBER(RU_Clean!O80)),(RU_Clean!O92-RU_Clean!O80)/RU_Clean!O80*100,"")</f>
        <v>9.91320237551393</v>
      </c>
      <c r="P92" s="12">
        <f>IF(AND(ISNUMBER(RU_Clean!P92),ISNUMBER(RU_Clean!P80)),(RU_Clean!P92-RU_Clean!P80)/RU_Clean!P80*100,"")</f>
        <v>12.4552612741589</v>
      </c>
      <c r="Q92" s="12">
        <f>IF(AND(ISNUMBER(RU_Clean!Q92),ISNUMBER(RU_Clean!Q80)),(RU_Clean!Q92-RU_Clean!Q80)/RU_Clean!Q80*100,"")</f>
        <v>2.20395965633173</v>
      </c>
      <c r="R92" s="12">
        <f>IF(AND(ISNUMBER(RU_Clean!R92),ISNUMBER(RU_Clean!R80)),(RU_Clean!R92-RU_Clean!R80)/RU_Clean!R80*100,"")</f>
        <v>3.20781032078104</v>
      </c>
      <c r="S92" s="12">
        <f>IF(AND(ISNUMBER(RU_Clean!S92),ISNUMBER(RU_Clean!S80)),(RU_Clean!S92-RU_Clean!S80)/RU_Clean!S80*100,"")</f>
        <v>8.53046594982079</v>
      </c>
      <c r="T92" s="12">
        <f>IF(AND(ISNUMBER(RU_Clean!T92),ISNUMBER(RU_Clean!T80)),(RU_Clean!T92-RU_Clean!T80)/RU_Clean!T80*100,"")</f>
        <v>7.020757020757</v>
      </c>
      <c r="U92" s="12">
        <f>IF(AND(ISNUMBER(RU_Clean!U92),ISNUMBER(RU_Clean!U80)),(RU_Clean!U92-RU_Clean!U80)/RU_Clean!U80*100,"")</f>
        <v>2.35122060974237</v>
      </c>
      <c r="V92" s="12">
        <f>IF(AND(ISNUMBER(RU_Clean!V92),ISNUMBER(RU_Clean!V80)),(RU_Clean!V92-RU_Clean!V80)/RU_Clean!V80*100,"")</f>
        <v>1.84326317041266</v>
      </c>
      <c r="W92" s="12">
        <f>IF(AND(ISNUMBER(RU_Clean!W92),ISNUMBER(RU_Clean!W80)),(RU_Clean!W92-RU_Clean!W80)/RU_Clean!W80*100,"")</f>
        <v>2.26757369614513</v>
      </c>
      <c r="X92" s="12">
        <f>IF(AND(ISNUMBER(RU_Clean!X92),ISNUMBER(RU_Clean!X80)),(RU_Clean!X92-RU_Clean!X80)/RU_Clean!X80*100,"")</f>
        <v>4.045469742561</v>
      </c>
      <c r="Y92" s="12">
        <f>IF(AND(ISNUMBER(RU_Clean!Y92),ISNUMBER(RU_Clean!Y80)),(RU_Clean!Y92-RU_Clean!Y80)/RU_Clean!Y80*100,"")</f>
        <v>2.92857142857142</v>
      </c>
      <c r="Z92" s="12">
        <f>IF(AND(ISNUMBER(RU_Clean!Z92),ISNUMBER(RU_Clean!Z80)),(RU_Clean!Z92-RU_Clean!Z80)/RU_Clean!Z80*100,"")</f>
        <v>1.84347826086957</v>
      </c>
      <c r="AA92" s="12">
        <f>IF(AND(ISNUMBER(RU_Clean!AA92),ISNUMBER(RU_Clean!AA80)),(RU_Clean!AA92-RU_Clean!AA80)/RU_Clean!AA80*100,"")</f>
        <v>2.83179802115317</v>
      </c>
      <c r="AB92" s="12">
        <f>IF(AND(ISNUMBER(RU_Clean!AB92),ISNUMBER(RU_Clean!AB80)),(RU_Clean!AB92-RU_Clean!AB80)/RU_Clean!AB80*100,"")</f>
        <v>5.49098196392785</v>
      </c>
      <c r="AC92" s="12">
        <f>IF(AND(ISNUMBER(RU_Clean!AC92),ISNUMBER(RU_Clean!AC80)),(RU_Clean!AC92-RU_Clean!AC80)/RU_Clean!AC80*100,"")</f>
        <v>4.89948236427109</v>
      </c>
      <c r="AD92" s="12">
        <f>IF(AND(ISNUMBER(RU_Clean!AD92),ISNUMBER(RU_Clean!AD80)),(RU_Clean!AD92-RU_Clean!AD80)/RU_Clean!AD80*100,"")</f>
        <v>3.47797283868831</v>
      </c>
      <c r="AE92" s="12">
        <f>IF(AND(ISNUMBER(RU_Clean!AE92),ISNUMBER(RU_Clean!AE80)),(RU_Clean!AE92-RU_Clean!AE80)/RU_Clean!AE80*100,"")</f>
        <v>10.4447776111944</v>
      </c>
      <c r="AF92" s="12">
        <f>IF(AND(ISNUMBER(RU_Clean!AF92),ISNUMBER(RU_Clean!AF80)),(RU_Clean!AF92-RU_Clean!AF80)/RU_Clean!AF80*100,"")</f>
        <v>5.01389392291895</v>
      </c>
      <c r="AG92" s="12">
        <f>IF(AND(ISNUMBER(RU_Clean!AG92),ISNUMBER(RU_Clean!AG80)),(RU_Clean!AG92-RU_Clean!AG80)/RU_Clean!AG80*100,"")</f>
        <v>5.99622285174693</v>
      </c>
      <c r="AH92" s="12">
        <f>IF(AND(ISNUMBER(RU_Clean!AH92),ISNUMBER(RU_Clean!AH80)),(RU_Clean!AH92-RU_Clean!AH80)/RU_Clean!AH80*100,"")</f>
        <v>10.3364063740155</v>
      </c>
    </row>
    <row r="93" spans="1:34">
      <c r="A93" s="6">
        <f>RU_Clean!A93</f>
        <v>2020</v>
      </c>
      <c r="B93" s="6">
        <f>RU_Clean!B93</f>
        <v>5</v>
      </c>
      <c r="C93" s="6" t="str">
        <f>RU_Clean!C93</f>
        <v>May</v>
      </c>
      <c r="D93" s="9">
        <f>RU_Clean!D93</f>
        <v>43952</v>
      </c>
      <c r="E93" s="6"/>
      <c r="F93" s="6"/>
      <c r="G93" s="12">
        <f>IF(AND(ISNUMBER(RU_Clean!G93),ISNUMBER(RU_Clean!G81)),(RU_Clean!G93-RU_Clean!G81)/RU_Clean!G81*100,"")</f>
        <v>7.84526391901661</v>
      </c>
      <c r="H93" s="12">
        <f>IF(AND(ISNUMBER(RU_Clean!H93),ISNUMBER(RU_Clean!H81)),(RU_Clean!H93-RU_Clean!H81)/RU_Clean!H81*100,"")</f>
        <v>16.1724500525762</v>
      </c>
      <c r="I93" s="12">
        <f>IF(AND(ISNUMBER(RU_Clean!I93),ISNUMBER(RU_Clean!I81)),(RU_Clean!I93-RU_Clean!I81)/RU_Clean!I81*100,"")</f>
        <v>10.3676470588235</v>
      </c>
      <c r="J93" s="12">
        <f>IF(AND(ISNUMBER(RU_Clean!J93),ISNUMBER(RU_Clean!J81)),(RU_Clean!J93-RU_Clean!J81)/RU_Clean!J81*100,"")</f>
        <v>8.38596491228069</v>
      </c>
      <c r="K93" s="12">
        <f>IF(AND(ISNUMBER(RU_Clean!K93),ISNUMBER(RU_Clean!K81)),(RU_Clean!K93-RU_Clean!K81)/RU_Clean!K81*100,"")</f>
        <v>11.2295081967213</v>
      </c>
      <c r="L93" s="12">
        <f>IF(AND(ISNUMBER(RU_Clean!L93),ISNUMBER(RU_Clean!L81)),(RU_Clean!L93-RU_Clean!L81)/RU_Clean!L81*100,"")</f>
        <v>1.39931740614335</v>
      </c>
      <c r="M93" s="12">
        <f>IF(AND(ISNUMBER(RU_Clean!M93),ISNUMBER(RU_Clean!M81)),(RU_Clean!M93-RU_Clean!M81)/RU_Clean!M81*100,"")</f>
        <v>13.6713286713287</v>
      </c>
      <c r="N93" s="12">
        <f>IF(AND(ISNUMBER(RU_Clean!N93),ISNUMBER(RU_Clean!N81)),(RU_Clean!N93-RU_Clean!N81)/RU_Clean!N81*100,"")</f>
        <v>20.6164931945556</v>
      </c>
      <c r="O93" s="12">
        <f>IF(AND(ISNUMBER(RU_Clean!O93),ISNUMBER(RU_Clean!O81)),(RU_Clean!O93-RU_Clean!O81)/RU_Clean!O81*100,"")</f>
        <v>6.68789808917197</v>
      </c>
      <c r="P93" s="12">
        <f>IF(AND(ISNUMBER(RU_Clean!P93),ISNUMBER(RU_Clean!P81)),(RU_Clean!P93-RU_Clean!P81)/RU_Clean!P81*100,"")</f>
        <v>13.1522516082916</v>
      </c>
      <c r="Q93" s="12">
        <f>IF(AND(ISNUMBER(RU_Clean!Q93),ISNUMBER(RU_Clean!Q81)),(RU_Clean!Q93-RU_Clean!Q81)/RU_Clean!Q81*100,"")</f>
        <v>3.05970149253733</v>
      </c>
      <c r="R93" s="12">
        <f>IF(AND(ISNUMBER(RU_Clean!R93),ISNUMBER(RU_Clean!R81)),(RU_Clean!R93-RU_Clean!R81)/RU_Clean!R81*100,"")</f>
        <v>3.57984994640943</v>
      </c>
      <c r="S93" s="12">
        <f>IF(AND(ISNUMBER(RU_Clean!S93),ISNUMBER(RU_Clean!S81)),(RU_Clean!S93-RU_Clean!S81)/RU_Clean!S81*100,"")</f>
        <v>8.37473385379701</v>
      </c>
      <c r="T93" s="12">
        <f>IF(AND(ISNUMBER(RU_Clean!T93),ISNUMBER(RU_Clean!T81)),(RU_Clean!T93-RU_Clean!T81)/RU_Clean!T81*100,"")</f>
        <v>9.32358318098719</v>
      </c>
      <c r="U93" s="12">
        <f>IF(AND(ISNUMBER(RU_Clean!U93),ISNUMBER(RU_Clean!U81)),(RU_Clean!U93-RU_Clean!U81)/RU_Clean!U81*100,"")</f>
        <v>2.47079964061095</v>
      </c>
      <c r="V93" s="12">
        <f>IF(AND(ISNUMBER(RU_Clean!V93),ISNUMBER(RU_Clean!V81)),(RU_Clean!V93-RU_Clean!V81)/RU_Clean!V81*100,"")</f>
        <v>2.25546058879392</v>
      </c>
      <c r="W93" s="12">
        <f>IF(AND(ISNUMBER(RU_Clean!W93),ISNUMBER(RU_Clean!W81)),(RU_Clean!W93-RU_Clean!W81)/RU_Clean!W81*100,"")</f>
        <v>2.4213622991627</v>
      </c>
      <c r="X93" s="12">
        <f>IF(AND(ISNUMBER(RU_Clean!X93),ISNUMBER(RU_Clean!X81)),(RU_Clean!X93-RU_Clean!X81)/RU_Clean!X81*100,"")</f>
        <v>3.36442371752164</v>
      </c>
      <c r="Y93" s="12">
        <f>IF(AND(ISNUMBER(RU_Clean!Y93),ISNUMBER(RU_Clean!Y81)),(RU_Clean!Y93-RU_Clean!Y81)/RU_Clean!Y81*100,"")</f>
        <v>1.92444761225944</v>
      </c>
      <c r="Z93" s="12">
        <f>IF(AND(ISNUMBER(RU_Clean!Z93),ISNUMBER(RU_Clean!Z81)),(RU_Clean!Z93-RU_Clean!Z81)/RU_Clean!Z81*100,"")</f>
        <v>1.87891440501045</v>
      </c>
      <c r="AA93" s="12">
        <f>IF(AND(ISNUMBER(RU_Clean!AA93),ISNUMBER(RU_Clean!AA81)),(RU_Clean!AA93-RU_Clean!AA81)/RU_Clean!AA81*100,"")</f>
        <v>3.84615384615385</v>
      </c>
      <c r="AB93" s="12">
        <f>IF(AND(ISNUMBER(RU_Clean!AB93),ISNUMBER(RU_Clean!AB81)),(RU_Clean!AB93-RU_Clean!AB81)/RU_Clean!AB81*100,"")</f>
        <v>6.7253803042434</v>
      </c>
      <c r="AC93" s="12">
        <f>IF(AND(ISNUMBER(RU_Clean!AC93),ISNUMBER(RU_Clean!AC81)),(RU_Clean!AC93-RU_Clean!AC81)/RU_Clean!AC81*100,"")</f>
        <v>5.43582375478927</v>
      </c>
      <c r="AD93" s="12">
        <f>IF(AND(ISNUMBER(RU_Clean!AD93),ISNUMBER(RU_Clean!AD81)),(RU_Clean!AD93-RU_Clean!AD81)/RU_Clean!AD81*100,"")</f>
        <v>3.10026385224276</v>
      </c>
      <c r="AE93" s="12">
        <f>IF(AND(ISNUMBER(RU_Clean!AE93),ISNUMBER(RU_Clean!AE81)),(RU_Clean!AE93-RU_Clean!AE81)/RU_Clean!AE81*100,"")</f>
        <v>12.0439780109945</v>
      </c>
      <c r="AF93" s="12">
        <f>IF(AND(ISNUMBER(RU_Clean!AF93),ISNUMBER(RU_Clean!AF81)),(RU_Clean!AF93-RU_Clean!AF81)/RU_Clean!AF81*100,"")</f>
        <v>5.59575494452486</v>
      </c>
      <c r="AG93" s="12">
        <f>IF(AND(ISNUMBER(RU_Clean!AG93),ISNUMBER(RU_Clean!AG81)),(RU_Clean!AG93-RU_Clean!AG81)/RU_Clean!AG81*100,"")</f>
        <v>6.15023474178405</v>
      </c>
      <c r="AH93" s="12">
        <f>IF(AND(ISNUMBER(RU_Clean!AH93),ISNUMBER(RU_Clean!AH81)),(RU_Clean!AH93-RU_Clean!AH81)/RU_Clean!AH81*100,"")</f>
        <v>9.63052695336158</v>
      </c>
    </row>
    <row r="94" spans="1:34">
      <c r="A94" s="6">
        <f>RU_Clean!A94</f>
        <v>2020</v>
      </c>
      <c r="B94" s="6">
        <f>RU_Clean!B94</f>
        <v>6</v>
      </c>
      <c r="C94" s="6" t="str">
        <f>RU_Clean!C94</f>
        <v>June</v>
      </c>
      <c r="D94" s="9">
        <f>RU_Clean!D94</f>
        <v>43983</v>
      </c>
      <c r="E94" s="6"/>
      <c r="F94" s="6"/>
      <c r="G94" s="12">
        <f>IF(AND(ISNUMBER(RU_Clean!G94),ISNUMBER(RU_Clean!G82)),(RU_Clean!G94-RU_Clean!G82)/RU_Clean!G82*100,"")</f>
        <v>7.85868781542899</v>
      </c>
      <c r="H94" s="12">
        <f>IF(AND(ISNUMBER(RU_Clean!H94),ISNUMBER(RU_Clean!H82)),(RU_Clean!H94-RU_Clean!H82)/RU_Clean!H82*100,"")</f>
        <v>18.877236273905</v>
      </c>
      <c r="I94" s="12">
        <f>IF(AND(ISNUMBER(RU_Clean!I94),ISNUMBER(RU_Clean!I82)),(RU_Clean!I94-RU_Clean!I82)/RU_Clean!I82*100,"")</f>
        <v>9.86937590711175</v>
      </c>
      <c r="J94" s="12">
        <f>IF(AND(ISNUMBER(RU_Clean!J94),ISNUMBER(RU_Clean!J82)),(RU_Clean!J94-RU_Clean!J82)/RU_Clean!J82*100,"")</f>
        <v>6.97836706210747</v>
      </c>
      <c r="K94" s="12">
        <f>IF(AND(ISNUMBER(RU_Clean!K94),ISNUMBER(RU_Clean!K82)),(RU_Clean!K94-RU_Clean!K82)/RU_Clean!K82*100,"")</f>
        <v>11.5384615384615</v>
      </c>
      <c r="L94" s="12">
        <f>IF(AND(ISNUMBER(RU_Clean!L94),ISNUMBER(RU_Clean!L82)),(RU_Clean!L94-RU_Clean!L82)/RU_Clean!L82*100,"")</f>
        <v>0.272479564032682</v>
      </c>
      <c r="M94" s="12">
        <f>IF(AND(ISNUMBER(RU_Clean!M94),ISNUMBER(RU_Clean!M82)),(RU_Clean!M94-RU_Clean!M82)/RU_Clean!M82*100,"")</f>
        <v>3.98671096345515</v>
      </c>
      <c r="N94" s="12">
        <f>IF(AND(ISNUMBER(RU_Clean!N94),ISNUMBER(RU_Clean!N82)),(RU_Clean!N94-RU_Clean!N82)/RU_Clean!N82*100,"")</f>
        <v>17.6149649259548</v>
      </c>
      <c r="O94" s="12">
        <f>IF(AND(ISNUMBER(RU_Clean!O94),ISNUMBER(RU_Clean!O82)),(RU_Clean!O94-RU_Clean!O82)/RU_Clean!O82*100,"")</f>
        <v>2.88288288288289</v>
      </c>
      <c r="P94" s="12">
        <f>IF(AND(ISNUMBER(RU_Clean!P94),ISNUMBER(RU_Clean!P82)),(RU_Clean!P94-RU_Clean!P82)/RU_Clean!P82*100,"")</f>
        <v>13.4423897581792</v>
      </c>
      <c r="Q94" s="12">
        <f>IF(AND(ISNUMBER(RU_Clean!Q94),ISNUMBER(RU_Clean!Q82)),(RU_Clean!Q94-RU_Clean!Q82)/RU_Clean!Q82*100,"")</f>
        <v>3.8748137108793</v>
      </c>
      <c r="R94" s="12">
        <f>IF(AND(ISNUMBER(RU_Clean!R94),ISNUMBER(RU_Clean!R82)),(RU_Clean!R94-RU_Clean!R82)/RU_Clean!R82*100,"")</f>
        <v>3.78447722899295</v>
      </c>
      <c r="S94" s="12">
        <f>IF(AND(ISNUMBER(RU_Clean!S94),ISNUMBER(RU_Clean!S82)),(RU_Clean!S94-RU_Clean!S82)/RU_Clean!S82*100,"")</f>
        <v>7.91871058163981</v>
      </c>
      <c r="T94" s="12">
        <f>IF(AND(ISNUMBER(RU_Clean!T94),ISNUMBER(RU_Clean!T82)),(RU_Clean!T94-RU_Clean!T82)/RU_Clean!T82*100,"")</f>
        <v>11.2795633717404</v>
      </c>
      <c r="U94" s="12">
        <f>IF(AND(ISNUMBER(RU_Clean!U94),ISNUMBER(RU_Clean!U82)),(RU_Clean!U94-RU_Clean!U82)/RU_Clean!U82*100,"")</f>
        <v>2.62449528936743</v>
      </c>
      <c r="V94" s="12">
        <f>IF(AND(ISNUMBER(RU_Clean!V94),ISNUMBER(RU_Clean!V82)),(RU_Clean!V94-RU_Clean!V82)/RU_Clean!V82*100,"")</f>
        <v>2.84900284900285</v>
      </c>
      <c r="W94" s="12">
        <f>IF(AND(ISNUMBER(RU_Clean!W94),ISNUMBER(RU_Clean!W82)),(RU_Clean!W94-RU_Clean!W82)/RU_Clean!W82*100,"")</f>
        <v>2.71370420624152</v>
      </c>
      <c r="X94" s="12">
        <f>IF(AND(ISNUMBER(RU_Clean!X94),ISNUMBER(RU_Clean!X82)),(RU_Clean!X94-RU_Clean!X82)/RU_Clean!X82*100,"")</f>
        <v>3.54752342704149</v>
      </c>
      <c r="Y94" s="12">
        <f>IF(AND(ISNUMBER(RU_Clean!Y94),ISNUMBER(RU_Clean!Y82)),(RU_Clean!Y94-RU_Clean!Y82)/RU_Clean!Y82*100,"")</f>
        <v>0.49575070821531</v>
      </c>
      <c r="Z94" s="12">
        <f>IF(AND(ISNUMBER(RU_Clean!Z94),ISNUMBER(RU_Clean!Z82)),(RU_Clean!Z94-RU_Clean!Z82)/RU_Clean!Z82*100,"")</f>
        <v>1.80806675938803</v>
      </c>
      <c r="AA94" s="12">
        <f>IF(AND(ISNUMBER(RU_Clean!AA94),ISNUMBER(RU_Clean!AA82)),(RU_Clean!AA94-RU_Clean!AA82)/RU_Clean!AA82*100,"")</f>
        <v>4.74898236092266</v>
      </c>
      <c r="AB94" s="12">
        <f>IF(AND(ISNUMBER(RU_Clean!AB94),ISNUMBER(RU_Clean!AB82)),(RU_Clean!AB94-RU_Clean!AB82)/RU_Clean!AB82*100,"")</f>
        <v>8.34670947030498</v>
      </c>
      <c r="AC94" s="12">
        <f>IF(AND(ISNUMBER(RU_Clean!AC94),ISNUMBER(RU_Clean!AC82)),(RU_Clean!AC94-RU_Clean!AC82)/RU_Clean!AC82*100,"")</f>
        <v>6.23209169054442</v>
      </c>
      <c r="AD94" s="12">
        <f>IF(AND(ISNUMBER(RU_Clean!AD94),ISNUMBER(RU_Clean!AD82)),(RU_Clean!AD94-RU_Clean!AD82)/RU_Clean!AD82*100,"")</f>
        <v>2.55737704918033</v>
      </c>
      <c r="AE94" s="12">
        <f>IF(AND(ISNUMBER(RU_Clean!AE94),ISNUMBER(RU_Clean!AE82)),(RU_Clean!AE94-RU_Clean!AE82)/RU_Clean!AE82*100,"")</f>
        <v>12.8816083395383</v>
      </c>
      <c r="AF94" s="12">
        <f>IF(AND(ISNUMBER(RU_Clean!AF94),ISNUMBER(RU_Clean!AF82)),(RU_Clean!AF94-RU_Clean!AF82)/RU_Clean!AF82*100,"")</f>
        <v>6.06060606060606</v>
      </c>
      <c r="AG94" s="12">
        <f>IF(AND(ISNUMBER(RU_Clean!AG94),ISNUMBER(RU_Clean!AG82)),(RU_Clean!AG94-RU_Clean!AG82)/RU_Clean!AG82*100,"")</f>
        <v>6.22813156053184</v>
      </c>
      <c r="AH94" s="12">
        <f>IF(AND(ISNUMBER(RU_Clean!AH94),ISNUMBER(RU_Clean!AH82)),(RU_Clean!AH94-RU_Clean!AH82)/RU_Clean!AH82*100,"")</f>
        <v>8.45997367476368</v>
      </c>
    </row>
    <row r="95" spans="1:34">
      <c r="A95" s="6">
        <f>RU_Clean!A95</f>
        <v>2020</v>
      </c>
      <c r="B95" s="6">
        <f>RU_Clean!B95</f>
        <v>7</v>
      </c>
      <c r="C95" s="6" t="str">
        <f>RU_Clean!C95</f>
        <v>July</v>
      </c>
      <c r="D95" s="9">
        <f>RU_Clean!D95</f>
        <v>44013</v>
      </c>
      <c r="E95" s="6"/>
      <c r="F95" s="6"/>
      <c r="G95" s="12">
        <f>IF(AND(ISNUMBER(RU_Clean!G95),ISNUMBER(RU_Clean!G83)),(RU_Clean!G95-RU_Clean!G83)/RU_Clean!G83*100,"")</f>
        <v>7.39411342426417</v>
      </c>
      <c r="H95" s="12">
        <f>IF(AND(ISNUMBER(RU_Clean!H95),ISNUMBER(RU_Clean!H83)),(RU_Clean!H95-RU_Clean!H83)/RU_Clean!H83*100,"")</f>
        <v>18.4388444990781</v>
      </c>
      <c r="I95" s="12">
        <f>IF(AND(ISNUMBER(RU_Clean!I95),ISNUMBER(RU_Clean!I83)),(RU_Clean!I95-RU_Clean!I83)/RU_Clean!I83*100,"")</f>
        <v>8.14285714285715</v>
      </c>
      <c r="J95" s="12">
        <f>IF(AND(ISNUMBER(RU_Clean!J95),ISNUMBER(RU_Clean!J83)),(RU_Clean!J95-RU_Clean!J83)/RU_Clean!J83*100,"")</f>
        <v>6.45833333333334</v>
      </c>
      <c r="K95" s="12">
        <f>IF(AND(ISNUMBER(RU_Clean!K95),ISNUMBER(RU_Clean!K83)),(RU_Clean!K95-RU_Clean!K83)/RU_Clean!K83*100,"")</f>
        <v>11.265306122449</v>
      </c>
      <c r="L95" s="12">
        <f>IF(AND(ISNUMBER(RU_Clean!L95),ISNUMBER(RU_Clean!L83)),(RU_Clean!L95-RU_Clean!L83)/RU_Clean!L83*100,"")</f>
        <v>-2.06254158349968</v>
      </c>
      <c r="M95" s="12">
        <f>IF(AND(ISNUMBER(RU_Clean!M95),ISNUMBER(RU_Clean!M83)),(RU_Clean!M95-RU_Clean!M83)/RU_Clean!M83*100,"")</f>
        <v>-2.37055520898316</v>
      </c>
      <c r="N95" s="12">
        <f>IF(AND(ISNUMBER(RU_Clean!N95),ISNUMBER(RU_Clean!N83)),(RU_Clean!N95-RU_Clean!N83)/RU_Clean!N83*100,"")</f>
        <v>16.0769230769231</v>
      </c>
      <c r="O95" s="12">
        <f>IF(AND(ISNUMBER(RU_Clean!O95),ISNUMBER(RU_Clean!O83)),(RU_Clean!O95-RU_Clean!O83)/RU_Clean!O83*100,"")</f>
        <v>2.7902790279028</v>
      </c>
      <c r="P95" s="12">
        <f>IF(AND(ISNUMBER(RU_Clean!P95),ISNUMBER(RU_Clean!P83)),(RU_Clean!P95-RU_Clean!P83)/RU_Clean!P83*100,"")</f>
        <v>12.5617501764291</v>
      </c>
      <c r="Q95" s="12">
        <f>IF(AND(ISNUMBER(RU_Clean!Q95),ISNUMBER(RU_Clean!Q83)),(RU_Clean!Q95-RU_Clean!Q83)/RU_Clean!Q83*100,"")</f>
        <v>3.48923533778769</v>
      </c>
      <c r="R95" s="12">
        <f>IF(AND(ISNUMBER(RU_Clean!R95),ISNUMBER(RU_Clean!R83)),(RU_Clean!R95-RU_Clean!R83)/RU_Clean!R83*100,"")</f>
        <v>3.58514724711909</v>
      </c>
      <c r="S95" s="12">
        <f>IF(AND(ISNUMBER(RU_Clean!S95),ISNUMBER(RU_Clean!S83)),(RU_Clean!S95-RU_Clean!S83)/RU_Clean!S83*100,"")</f>
        <v>6.42709053213546</v>
      </c>
      <c r="T95" s="12">
        <f>IF(AND(ISNUMBER(RU_Clean!T95),ISNUMBER(RU_Clean!T83)),(RU_Clean!T95-RU_Clean!T83)/RU_Clean!T83*100,"")</f>
        <v>11.0774818401937</v>
      </c>
      <c r="U95" s="12">
        <f>IF(AND(ISNUMBER(RU_Clean!U95),ISNUMBER(RU_Clean!U83)),(RU_Clean!U95-RU_Clean!U83)/RU_Clean!U83*100,"")</f>
        <v>2.41773002014775</v>
      </c>
      <c r="V95" s="12">
        <f>IF(AND(ISNUMBER(RU_Clean!V95),ISNUMBER(RU_Clean!V83)),(RU_Clean!V95-RU_Clean!V83)/RU_Clean!V83*100,"")</f>
        <v>2.77580071174378</v>
      </c>
      <c r="W95" s="12">
        <f>IF(AND(ISNUMBER(RU_Clean!W95),ISNUMBER(RU_Clean!W83)),(RU_Clean!W95-RU_Clean!W83)/RU_Clean!W83*100,"")</f>
        <v>2.57452574525746</v>
      </c>
      <c r="X95" s="12">
        <f>IF(AND(ISNUMBER(RU_Clean!X95),ISNUMBER(RU_Clean!X83)),(RU_Clean!X95-RU_Clean!X83)/RU_Clean!X83*100,"")</f>
        <v>2.72244355909694</v>
      </c>
      <c r="Y95" s="12">
        <f>IF(AND(ISNUMBER(RU_Clean!Y95),ISNUMBER(RU_Clean!Y83)),(RU_Clean!Y95-RU_Clean!Y83)/RU_Clean!Y83*100,"")</f>
        <v>1.8664752333094</v>
      </c>
      <c r="Z95" s="12">
        <f>IF(AND(ISNUMBER(RU_Clean!Z95),ISNUMBER(RU_Clean!Z83)),(RU_Clean!Z95-RU_Clean!Z83)/RU_Clean!Z83*100,"")</f>
        <v>1.52565880721222</v>
      </c>
      <c r="AA95" s="12">
        <f>IF(AND(ISNUMBER(RU_Clean!AA95),ISNUMBER(RU_Clean!AA83)),(RU_Clean!AA95-RU_Clean!AA83)/RU_Clean!AA83*100,"")</f>
        <v>4.394861392833</v>
      </c>
      <c r="AB95" s="12">
        <f>IF(AND(ISNUMBER(RU_Clean!AB95),ISNUMBER(RU_Clean!AB83)),(RU_Clean!AB95-RU_Clean!AB83)/RU_Clean!AB83*100,"")</f>
        <v>7.48407643312102</v>
      </c>
      <c r="AC95" s="12">
        <f>IF(AND(ISNUMBER(RU_Clean!AC95),ISNUMBER(RU_Clean!AC83)),(RU_Clean!AC95-RU_Clean!AC83)/RU_Clean!AC83*100,"")</f>
        <v>5.55160142348755</v>
      </c>
      <c r="AD95" s="12">
        <f>IF(AND(ISNUMBER(RU_Clean!AD95),ISNUMBER(RU_Clean!AD83)),(RU_Clean!AD95-RU_Clean!AD83)/RU_Clean!AD83*100,"")</f>
        <v>1.55844155844156</v>
      </c>
      <c r="AE95" s="12">
        <f>IF(AND(ISNUMBER(RU_Clean!AE95),ISNUMBER(RU_Clean!AE83)),(RU_Clean!AE95-RU_Clean!AE83)/RU_Clean!AE83*100,"")</f>
        <v>11.71702284451</v>
      </c>
      <c r="AF95" s="12">
        <f>IF(AND(ISNUMBER(RU_Clean!AF95),ISNUMBER(RU_Clean!AF83)),(RU_Clean!AF95-RU_Clean!AF83)/RU_Clean!AF83*100,"")</f>
        <v>5.37634408602151</v>
      </c>
      <c r="AG95" s="12">
        <f>IF(AND(ISNUMBER(RU_Clean!AG95),ISNUMBER(RU_Clean!AG83)),(RU_Clean!AG95-RU_Clean!AG83)/RU_Clean!AG83*100,"")</f>
        <v>5.27045769764218</v>
      </c>
      <c r="AH95" s="12">
        <f>IF(AND(ISNUMBER(RU_Clean!AH95),ISNUMBER(RU_Clean!AH83)),(RU_Clean!AH95-RU_Clean!AH83)/RU_Clean!AH83*100,"")</f>
        <v>7.08884688090739</v>
      </c>
    </row>
    <row r="96" spans="1:34">
      <c r="A96" s="6">
        <f>RU_Clean!A96</f>
        <v>2020</v>
      </c>
      <c r="B96" s="6">
        <f>RU_Clean!B96</f>
        <v>8</v>
      </c>
      <c r="C96" s="6" t="str">
        <f>RU_Clean!C96</f>
        <v>August</v>
      </c>
      <c r="D96" s="9">
        <f>RU_Clean!D96</f>
        <v>44044</v>
      </c>
      <c r="E96" s="6"/>
      <c r="F96" s="6"/>
      <c r="G96" s="12">
        <f>IF(AND(ISNUMBER(RU_Clean!G96),ISNUMBER(RU_Clean!G84)),(RU_Clean!G96-RU_Clean!G84)/RU_Clean!G84*100,"")</f>
        <v>6.28122769450393</v>
      </c>
      <c r="H96" s="12">
        <f>IF(AND(ISNUMBER(RU_Clean!H96),ISNUMBER(RU_Clean!H84)),(RU_Clean!H96-RU_Clean!H84)/RU_Clean!H84*100,"")</f>
        <v>18.8667496886675</v>
      </c>
      <c r="I96" s="12">
        <f>IF(AND(ISNUMBER(RU_Clean!I96),ISNUMBER(RU_Clean!I84)),(RU_Clean!I96-RU_Clean!I84)/RU_Clean!I84*100,"")</f>
        <v>8.88086642599279</v>
      </c>
      <c r="J96" s="12">
        <f>IF(AND(ISNUMBER(RU_Clean!J96),ISNUMBER(RU_Clean!J84)),(RU_Clean!J96-RU_Clean!J84)/RU_Clean!J84*100,"")</f>
        <v>5.94333102971667</v>
      </c>
      <c r="K96" s="12">
        <f>IF(AND(ISNUMBER(RU_Clean!K96),ISNUMBER(RU_Clean!K84)),(RU_Clean!K96-RU_Clean!K84)/RU_Clean!K84*100,"")</f>
        <v>11.7982099267697</v>
      </c>
      <c r="L96" s="12">
        <f>IF(AND(ISNUMBER(RU_Clean!L96),ISNUMBER(RU_Clean!L84)),(RU_Clean!L96-RU_Clean!L84)/RU_Clean!L84*100,"")</f>
        <v>0.669344042838019</v>
      </c>
      <c r="M96" s="12">
        <f>IF(AND(ISNUMBER(RU_Clean!M96),ISNUMBER(RU_Clean!M84)),(RU_Clean!M96-RU_Clean!M84)/RU_Clean!M84*100,"")</f>
        <v>6.39187574671445</v>
      </c>
      <c r="N96" s="12">
        <f>IF(AND(ISNUMBER(RU_Clean!N96),ISNUMBER(RU_Clean!N84)),(RU_Clean!N96-RU_Clean!N84)/RU_Clean!N84*100,"")</f>
        <v>14.8968678380443</v>
      </c>
      <c r="O96" s="12">
        <f>IF(AND(ISNUMBER(RU_Clean!O96),ISNUMBER(RU_Clean!O84)),(RU_Clean!O96-RU_Clean!O84)/RU_Clean!O84*100,"")</f>
        <v>2.76785714285714</v>
      </c>
      <c r="P96" s="12">
        <f>IF(AND(ISNUMBER(RU_Clean!P96),ISNUMBER(RU_Clean!P84)),(RU_Clean!P96-RU_Clean!P84)/RU_Clean!P84*100,"")</f>
        <v>12.2019635343619</v>
      </c>
      <c r="Q96" s="12">
        <f>IF(AND(ISNUMBER(RU_Clean!Q96),ISNUMBER(RU_Clean!Q84)),(RU_Clean!Q96-RU_Clean!Q84)/RU_Clean!Q84*100,"")</f>
        <v>4.22535211267605</v>
      </c>
      <c r="R96" s="12">
        <f>IF(AND(ISNUMBER(RU_Clean!R96),ISNUMBER(RU_Clean!R84)),(RU_Clean!R96-RU_Clean!R84)/RU_Clean!R84*100,"")</f>
        <v>3.63984674329503</v>
      </c>
      <c r="S96" s="12">
        <f>IF(AND(ISNUMBER(RU_Clean!S96),ISNUMBER(RU_Clean!S84)),(RU_Clean!S96-RU_Clean!S84)/RU_Clean!S84*100,"")</f>
        <v>7.60795065113091</v>
      </c>
      <c r="T96" s="12">
        <f>IF(AND(ISNUMBER(RU_Clean!T96),ISNUMBER(RU_Clean!T84)),(RU_Clean!T96-RU_Clean!T84)/RU_Clean!T84*100,"")</f>
        <v>10.1326899879373</v>
      </c>
      <c r="U96" s="12">
        <f>IF(AND(ISNUMBER(RU_Clean!U96),ISNUMBER(RU_Clean!U84)),(RU_Clean!U96-RU_Clean!U84)/RU_Clean!U84*100,"")</f>
        <v>2.68276324614353</v>
      </c>
      <c r="V96" s="12">
        <f>IF(AND(ISNUMBER(RU_Clean!V96),ISNUMBER(RU_Clean!V84)),(RU_Clean!V96-RU_Clean!V84)/RU_Clean!V84*100,"")</f>
        <v>1.99146514935989</v>
      </c>
      <c r="W96" s="12">
        <f>IF(AND(ISNUMBER(RU_Clean!W96),ISNUMBER(RU_Clean!W84)),(RU_Clean!W96-RU_Clean!W84)/RU_Clean!W84*100,"")</f>
        <v>2.56930358350235</v>
      </c>
      <c r="X96" s="12">
        <f>IF(AND(ISNUMBER(RU_Clean!X96),ISNUMBER(RU_Clean!X84)),(RU_Clean!X96-RU_Clean!X84)/RU_Clean!X84*100,"")</f>
        <v>2.57255936675462</v>
      </c>
      <c r="Y96" s="12">
        <f>IF(AND(ISNUMBER(RU_Clean!Y96),ISNUMBER(RU_Clean!Y84)),(RU_Clean!Y96-RU_Clean!Y84)/RU_Clean!Y84*100,"")</f>
        <v>3.24909747292419</v>
      </c>
      <c r="Z96" s="12">
        <f>IF(AND(ISNUMBER(RU_Clean!Z96),ISNUMBER(RU_Clean!Z84)),(RU_Clean!Z96-RU_Clean!Z84)/RU_Clean!Z84*100,"")</f>
        <v>2.69896193771627</v>
      </c>
      <c r="AA96" s="12">
        <f>IF(AND(ISNUMBER(RU_Clean!AA96),ISNUMBER(RU_Clean!AA84)),(RU_Clean!AA96-RU_Clean!AA84)/RU_Clean!AA84*100,"")</f>
        <v>4.37710437710438</v>
      </c>
      <c r="AB96" s="12">
        <f>IF(AND(ISNUMBER(RU_Clean!AB96),ISNUMBER(RU_Clean!AB84)),(RU_Clean!AB96-RU_Clean!AB84)/RU_Clean!AB84*100,"")</f>
        <v>10.0953895071542</v>
      </c>
      <c r="AC96" s="12">
        <f>IF(AND(ISNUMBER(RU_Clean!AC96),ISNUMBER(RU_Clean!AC84)),(RU_Clean!AC96-RU_Clean!AC84)/RU_Clean!AC84*100,"")</f>
        <v>3.61958836053939</v>
      </c>
      <c r="AD96" s="12">
        <f>IF(AND(ISNUMBER(RU_Clean!AD96),ISNUMBER(RU_Clean!AD84)),(RU_Clean!AD96-RU_Clean!AD84)/RU_Clean!AD84*100,"")</f>
        <v>2.32408005164622</v>
      </c>
      <c r="AE96" s="12">
        <f>IF(AND(ISNUMBER(RU_Clean!AE96),ISNUMBER(RU_Clean!AE84)),(RU_Clean!AE96-RU_Clean!AE84)/RU_Clean!AE84*100,"")</f>
        <v>11.4884393063584</v>
      </c>
      <c r="AF96" s="12">
        <f>IF(AND(ISNUMBER(RU_Clean!AF96),ISNUMBER(RU_Clean!AF84)),(RU_Clean!AF96-RU_Clean!AF84)/RU_Clean!AF84*100,"")</f>
        <v>6.27674750356634</v>
      </c>
      <c r="AG96" s="12">
        <f>IF(AND(ISNUMBER(RU_Clean!AG96),ISNUMBER(RU_Clean!AG84)),(RU_Clean!AG96-RU_Clean!AG84)/RU_Clean!AG84*100,"")</f>
        <v>6.13793103448276</v>
      </c>
      <c r="AH96" s="12">
        <f>IF(AND(ISNUMBER(RU_Clean!AH96),ISNUMBER(RU_Clean!AH84)),(RU_Clean!AH96-RU_Clean!AH84)/RU_Clean!AH84*100,"")</f>
        <v>8.09126190756203</v>
      </c>
    </row>
    <row r="97" spans="1:34">
      <c r="A97" s="6">
        <f>RU_Clean!A97</f>
        <v>2020</v>
      </c>
      <c r="B97" s="6">
        <f>RU_Clean!B97</f>
        <v>9</v>
      </c>
      <c r="C97" s="6" t="str">
        <f>RU_Clean!C97</f>
        <v>September</v>
      </c>
      <c r="D97" s="9">
        <f>RU_Clean!D97</f>
        <v>44075</v>
      </c>
      <c r="E97" s="6"/>
      <c r="F97" s="6"/>
      <c r="G97" s="12">
        <f>IF(AND(ISNUMBER(RU_Clean!G97),ISNUMBER(RU_Clean!G85)),(RU_Clean!G97-RU_Clean!G85)/RU_Clean!G85*100,"")</f>
        <v>5.32292405961675</v>
      </c>
      <c r="H97" s="12">
        <f>IF(AND(ISNUMBER(RU_Clean!H97),ISNUMBER(RU_Clean!H85)),(RU_Clean!H97-RU_Clean!H85)/RU_Clean!H85*100,"")</f>
        <v>16.3557213930348</v>
      </c>
      <c r="I97" s="12">
        <f>IF(AND(ISNUMBER(RU_Clean!I97),ISNUMBER(RU_Clean!I85)),(RU_Clean!I97-RU_Clean!I85)/RU_Clean!I85*100,"")</f>
        <v>9.2406876790831</v>
      </c>
      <c r="J97" s="12">
        <f>IF(AND(ISNUMBER(RU_Clean!J97),ISNUMBER(RU_Clean!J85)),(RU_Clean!J97-RU_Clean!J85)/RU_Clean!J85*100,"")</f>
        <v>5.63961485557083</v>
      </c>
      <c r="K97" s="12">
        <f>IF(AND(ISNUMBER(RU_Clean!K97),ISNUMBER(RU_Clean!K85)),(RU_Clean!K97-RU_Clean!K85)/RU_Clean!K85*100,"")</f>
        <v>11.9028340080972</v>
      </c>
      <c r="L97" s="12">
        <f>IF(AND(ISNUMBER(RU_Clean!L97),ISNUMBER(RU_Clean!L85)),(RU_Clean!L97-RU_Clean!L85)/RU_Clean!L85*100,"")</f>
        <v>2.93315143246931</v>
      </c>
      <c r="M97" s="12">
        <f>IF(AND(ISNUMBER(RU_Clean!M97),ISNUMBER(RU_Clean!M85)),(RU_Clean!M97-RU_Clean!M85)/RU_Clean!M85*100,"")</f>
        <v>7.79445727482679</v>
      </c>
      <c r="N97" s="12">
        <f>IF(AND(ISNUMBER(RU_Clean!N97),ISNUMBER(RU_Clean!N85)),(RU_Clean!N97-RU_Clean!N85)/RU_Clean!N85*100,"")</f>
        <v>13.8297872340426</v>
      </c>
      <c r="O97" s="12">
        <f>IF(AND(ISNUMBER(RU_Clean!O97),ISNUMBER(RU_Clean!O85)),(RU_Clean!O97-RU_Clean!O85)/RU_Clean!O85*100,"")</f>
        <v>2.82685512367491</v>
      </c>
      <c r="P97" s="12">
        <f>IF(AND(ISNUMBER(RU_Clean!P97),ISNUMBER(RU_Clean!P85)),(RU_Clean!P97-RU_Clean!P85)/RU_Clean!P85*100,"")</f>
        <v>11.2421929215822</v>
      </c>
      <c r="Q97" s="12">
        <f>IF(AND(ISNUMBER(RU_Clean!Q97),ISNUMBER(RU_Clean!Q85)),(RU_Clean!Q97-RU_Clean!Q85)/RU_Clean!Q85*100,"")</f>
        <v>5.33333333333333</v>
      </c>
      <c r="R97" s="12">
        <f>IF(AND(ISNUMBER(RU_Clean!R97),ISNUMBER(RU_Clean!R85)),(RU_Clean!R97-RU_Clean!R85)/RU_Clean!R85*100,"")</f>
        <v>3.89030612244898</v>
      </c>
      <c r="S97" s="12">
        <f>IF(AND(ISNUMBER(RU_Clean!S97),ISNUMBER(RU_Clean!S85)),(RU_Clean!S97-RU_Clean!S85)/RU_Clean!S85*100,"")</f>
        <v>7.48299319727891</v>
      </c>
      <c r="T97" s="12">
        <f>IF(AND(ISNUMBER(RU_Clean!T97),ISNUMBER(RU_Clean!T85)),(RU_Clean!T97-RU_Clean!T85)/RU_Clean!T85*100,"")</f>
        <v>10.7507507507508</v>
      </c>
      <c r="U97" s="12">
        <f>IF(AND(ISNUMBER(RU_Clean!U97),ISNUMBER(RU_Clean!U85)),(RU_Clean!U97-RU_Clean!U85)/RU_Clean!U85*100,"")</f>
        <v>2.81501340482575</v>
      </c>
      <c r="V97" s="12">
        <f>IF(AND(ISNUMBER(RU_Clean!V97),ISNUMBER(RU_Clean!V85)),(RU_Clean!V97-RU_Clean!V85)/RU_Clean!V85*100,"")</f>
        <v>2.63157894736843</v>
      </c>
      <c r="W97" s="12">
        <f>IF(AND(ISNUMBER(RU_Clean!W97),ISNUMBER(RU_Clean!W85)),(RU_Clean!W97-RU_Clean!W85)/RU_Clean!W85*100,"")</f>
        <v>2.77214334009465</v>
      </c>
      <c r="X97" s="12">
        <f>IF(AND(ISNUMBER(RU_Clean!X97),ISNUMBER(RU_Clean!X85)),(RU_Clean!X97-RU_Clean!X85)/RU_Clean!X85*100,"")</f>
        <v>2.69382391590015</v>
      </c>
      <c r="Y97" s="12">
        <f>IF(AND(ISNUMBER(RU_Clean!Y97),ISNUMBER(RU_Clean!Y85)),(RU_Clean!Y97-RU_Clean!Y85)/RU_Clean!Y85*100,"")</f>
        <v>2.65804597701151</v>
      </c>
      <c r="Z97" s="12">
        <f>IF(AND(ISNUMBER(RU_Clean!Z97),ISNUMBER(RU_Clean!Z85)),(RU_Clean!Z97-RU_Clean!Z85)/RU_Clean!Z85*100,"")</f>
        <v>2.83540802213001</v>
      </c>
      <c r="AA97" s="12">
        <f>IF(AND(ISNUMBER(RU_Clean!AA97),ISNUMBER(RU_Clean!AA85)),(RU_Clean!AA97-RU_Clean!AA85)/RU_Clean!AA85*100,"")</f>
        <v>4.42953020134228</v>
      </c>
      <c r="AB97" s="12">
        <f>IF(AND(ISNUMBER(RU_Clean!AB97),ISNUMBER(RU_Clean!AB85)),(RU_Clean!AB97-RU_Clean!AB85)/RU_Clean!AB85*100,"")</f>
        <v>10.7057890563045</v>
      </c>
      <c r="AC97" s="12">
        <f>IF(AND(ISNUMBER(RU_Clean!AC97),ISNUMBER(RU_Clean!AC85)),(RU_Clean!AC97-RU_Clean!AC85)/RU_Clean!AC85*100,"")</f>
        <v>3.75088464260438</v>
      </c>
      <c r="AD97" s="12">
        <f>IF(AND(ISNUMBER(RU_Clean!AD97),ISNUMBER(RU_Clean!AD85)),(RU_Clean!AD97-RU_Clean!AD85)/RU_Clean!AD85*100,"")</f>
        <v>1.48195876288661</v>
      </c>
      <c r="AE97" s="12">
        <f>IF(AND(ISNUMBER(RU_Clean!AE97),ISNUMBER(RU_Clean!AE85)),(RU_Clean!AE97-RU_Clean!AE85)/RU_Clean!AE85*100,"")</f>
        <v>13.3858267716536</v>
      </c>
      <c r="AF97" s="12">
        <f>IF(AND(ISNUMBER(RU_Clean!AF97),ISNUMBER(RU_Clean!AF85)),(RU_Clean!AF97-RU_Clean!AF85)/RU_Clean!AF85*100,"")</f>
        <v>6.60980810234542</v>
      </c>
      <c r="AG97" s="12">
        <f>IF(AND(ISNUMBER(RU_Clean!AG97),ISNUMBER(RU_Clean!AG85)),(RU_Clean!AG97-RU_Clean!AG85)/RU_Clean!AG85*100,"")</f>
        <v>6.10425240054868</v>
      </c>
      <c r="AH97" s="12">
        <f>IF(AND(ISNUMBER(RU_Clean!AH97),ISNUMBER(RU_Clean!AH85)),(RU_Clean!AH97-RU_Clean!AH85)/RU_Clean!AH85*100,"")</f>
        <v>8.08440989068803</v>
      </c>
    </row>
    <row r="98" spans="1:34">
      <c r="A98" s="6">
        <f>RU_Clean!A98</f>
        <v>2020</v>
      </c>
      <c r="B98" s="6">
        <f>RU_Clean!B98</f>
        <v>10</v>
      </c>
      <c r="C98" s="6" t="str">
        <f>RU_Clean!C98</f>
        <v>October</v>
      </c>
      <c r="D98" s="9">
        <f>RU_Clean!D98</f>
        <v>44105</v>
      </c>
      <c r="E98" s="6"/>
      <c r="F98" s="6"/>
      <c r="G98" s="12">
        <f>IF(AND(ISNUMBER(RU_Clean!G98),ISNUMBER(RU_Clean!G86)),(RU_Clean!G98-RU_Clean!G86)/RU_Clean!G86*100,"")</f>
        <v>4.01974612129759</v>
      </c>
      <c r="H98" s="12">
        <f>IF(AND(ISNUMBER(RU_Clean!H98),ISNUMBER(RU_Clean!H86)),(RU_Clean!H98-RU_Clean!H86)/RU_Clean!H86*100,"")</f>
        <v>17.3291925465839</v>
      </c>
      <c r="I98" s="12">
        <f>IF(AND(ISNUMBER(RU_Clean!I98),ISNUMBER(RU_Clean!I86)),(RU_Clean!I98-RU_Clean!I86)/RU_Clean!I86*100,"")</f>
        <v>13.1837307152875</v>
      </c>
      <c r="J98" s="12">
        <f>IF(AND(ISNUMBER(RU_Clean!J98),ISNUMBER(RU_Clean!J86)),(RU_Clean!J98-RU_Clean!J86)/RU_Clean!J86*100,"")</f>
        <v>5.06155950752394</v>
      </c>
      <c r="K98" s="12">
        <f>IF(AND(ISNUMBER(RU_Clean!K98),ISNUMBER(RU_Clean!K86)),(RU_Clean!K98-RU_Clean!K86)/RU_Clean!K86*100,"")</f>
        <v>13.0750605326876</v>
      </c>
      <c r="L98" s="12">
        <f>IF(AND(ISNUMBER(RU_Clean!L98),ISNUMBER(RU_Clean!L86)),(RU_Clean!L98-RU_Clean!L86)/RU_Clean!L86*100,"")</f>
        <v>2.16216216216215</v>
      </c>
      <c r="M98" s="12">
        <f>IF(AND(ISNUMBER(RU_Clean!M98),ISNUMBER(RU_Clean!M86)),(RU_Clean!M98-RU_Clean!M86)/RU_Clean!M86*100,"")</f>
        <v>11.0403397027601</v>
      </c>
      <c r="N98" s="12">
        <f>IF(AND(ISNUMBER(RU_Clean!N98),ISNUMBER(RU_Clean!N86)),(RU_Clean!N98-RU_Clean!N86)/RU_Clean!N86*100,"")</f>
        <v>13.8867924528302</v>
      </c>
      <c r="O98" s="12">
        <f>IF(AND(ISNUMBER(RU_Clean!O98),ISNUMBER(RU_Clean!O86)),(RU_Clean!O98-RU_Clean!O86)/RU_Clean!O86*100,"")</f>
        <v>1.92982456140351</v>
      </c>
      <c r="P98" s="12">
        <f>IF(AND(ISNUMBER(RU_Clean!P98),ISNUMBER(RU_Clean!P86)),(RU_Clean!P98-RU_Clean!P86)/RU_Clean!P86*100,"")</f>
        <v>10.7290233837689</v>
      </c>
      <c r="Q98" s="12">
        <f>IF(AND(ISNUMBER(RU_Clean!Q98),ISNUMBER(RU_Clean!Q86)),(RU_Clean!Q98-RU_Clean!Q86)/RU_Clean!Q86*100,"")</f>
        <v>6.58771280532939</v>
      </c>
      <c r="R98" s="12">
        <f>IF(AND(ISNUMBER(RU_Clean!R98),ISNUMBER(RU_Clean!R86)),(RU_Clean!R98-RU_Clean!R86)/RU_Clean!R86*100,"")</f>
        <v>3.88287714831317</v>
      </c>
      <c r="S98" s="12">
        <f>IF(AND(ISNUMBER(RU_Clean!S98),ISNUMBER(RU_Clean!S86)),(RU_Clean!S98-RU_Clean!S86)/RU_Clean!S86*100,"")</f>
        <v>7.88770053475937</v>
      </c>
      <c r="T98" s="12">
        <f>IF(AND(ISNUMBER(RU_Clean!T98),ISNUMBER(RU_Clean!T86)),(RU_Clean!T98-RU_Clean!T86)/RU_Clean!T86*100,"")</f>
        <v>10.2932375822861</v>
      </c>
      <c r="U98" s="12">
        <f>IF(AND(ISNUMBER(RU_Clean!U98),ISNUMBER(RU_Clean!U86)),(RU_Clean!U98-RU_Clean!U86)/RU_Clean!U86*100,"")</f>
        <v>2.87817938420347</v>
      </c>
      <c r="V98" s="12">
        <f>IF(AND(ISNUMBER(RU_Clean!V98),ISNUMBER(RU_Clean!V86)),(RU_Clean!V98-RU_Clean!V86)/RU_Clean!V86*100,"")</f>
        <v>2.69886363636362</v>
      </c>
      <c r="W98" s="12">
        <f>IF(AND(ISNUMBER(RU_Clean!W98),ISNUMBER(RU_Clean!W86)),(RU_Clean!W98-RU_Clean!W86)/RU_Clean!W86*100,"")</f>
        <v>2.76653171390015</v>
      </c>
      <c r="X98" s="12">
        <f>IF(AND(ISNUMBER(RU_Clean!X98),ISNUMBER(RU_Clean!X86)),(RU_Clean!X98-RU_Clean!X86)/RU_Clean!X86*100,"")</f>
        <v>2.2875816993464</v>
      </c>
      <c r="Y98" s="12">
        <f>IF(AND(ISNUMBER(RU_Clean!Y98),ISNUMBER(RU_Clean!Y86)),(RU_Clean!Y98-RU_Clean!Y86)/RU_Clean!Y86*100,"")</f>
        <v>1.77809388335704</v>
      </c>
      <c r="Z98" s="12">
        <f>IF(AND(ISNUMBER(RU_Clean!Z98),ISNUMBER(RU_Clean!Z86)),(RU_Clean!Z98-RU_Clean!Z86)/RU_Clean!Z86*100,"")</f>
        <v>2.55172413793103</v>
      </c>
      <c r="AA98" s="12">
        <f>IF(AND(ISNUMBER(RU_Clean!AA98),ISNUMBER(RU_Clean!AA86)),(RU_Clean!AA98-RU_Clean!AA86)/RU_Clean!AA86*100,"")</f>
        <v>4.61847389558233</v>
      </c>
      <c r="AB98" s="12">
        <f>IF(AND(ISNUMBER(RU_Clean!AB98),ISNUMBER(RU_Clean!AB86)),(RU_Clean!AB98-RU_Clean!AB86)/RU_Clean!AB86*100,"")</f>
        <v>11.3222486144101</v>
      </c>
      <c r="AC98" s="12">
        <f>IF(AND(ISNUMBER(RU_Clean!AC98),ISNUMBER(RU_Clean!AC86)),(RU_Clean!AC98-RU_Clean!AC86)/RU_Clean!AC86*100,"")</f>
        <v>3.38743824982358</v>
      </c>
      <c r="AD98" s="12">
        <f>IF(AND(ISNUMBER(RU_Clean!AD98),ISNUMBER(RU_Clean!AD86)),(RU_Clean!AD98-RU_Clean!AD86)/RU_Clean!AD86*100,"")</f>
        <v>1.99485199485199</v>
      </c>
      <c r="AE98" s="12">
        <f>IF(AND(ISNUMBER(RU_Clean!AE98),ISNUMBER(RU_Clean!AE86)),(RU_Clean!AE98-RU_Clean!AE86)/RU_Clean!AE86*100,"")</f>
        <v>12.1428571428571</v>
      </c>
      <c r="AF98" s="12">
        <f>IF(AND(ISNUMBER(RU_Clean!AF98),ISNUMBER(RU_Clean!AF86)),(RU_Clean!AF98-RU_Clean!AF86)/RU_Clean!AF86*100,"")</f>
        <v>6.66666666666667</v>
      </c>
      <c r="AG98" s="12">
        <f>IF(AND(ISNUMBER(RU_Clean!AG98),ISNUMBER(RU_Clean!AG86)),(RU_Clean!AG98-RU_Clean!AG86)/RU_Clean!AG86*100,"")</f>
        <v>6.25000000000001</v>
      </c>
      <c r="AH98" s="12">
        <f>IF(AND(ISNUMBER(RU_Clean!AH98),ISNUMBER(RU_Clean!AH86)),(RU_Clean!AH98-RU_Clean!AH86)/RU_Clean!AH86*100,"")</f>
        <v>8.70967741935487</v>
      </c>
    </row>
    <row r="99" spans="1:34">
      <c r="A99" s="6">
        <f>RU_Clean!A99</f>
        <v>2020</v>
      </c>
      <c r="B99" s="6">
        <f>RU_Clean!B99</f>
        <v>11</v>
      </c>
      <c r="C99" s="6" t="str">
        <f>RU_Clean!C99</f>
        <v>November</v>
      </c>
      <c r="D99" s="9">
        <f>RU_Clean!D99</f>
        <v>44136</v>
      </c>
      <c r="E99" s="6"/>
      <c r="F99" s="6"/>
      <c r="G99" s="12">
        <f>IF(AND(ISNUMBER(RU_Clean!G99),ISNUMBER(RU_Clean!G87)),(RU_Clean!G99-RU_Clean!G87)/RU_Clean!G87*100,"")</f>
        <v>3.01754385964913</v>
      </c>
      <c r="H99" s="12">
        <f>IF(AND(ISNUMBER(RU_Clean!H99),ISNUMBER(RU_Clean!H87)),(RU_Clean!H99-RU_Clean!H87)/RU_Clean!H87*100,"")</f>
        <v>17.0343137254902</v>
      </c>
      <c r="I99" s="12">
        <f>IF(AND(ISNUMBER(RU_Clean!I99),ISNUMBER(RU_Clean!I87)),(RU_Clean!I99-RU_Clean!I87)/RU_Clean!I87*100,"")</f>
        <v>19.2307692307692</v>
      </c>
      <c r="J99" s="12">
        <f>IF(AND(ISNUMBER(RU_Clean!J99),ISNUMBER(RU_Clean!J87)),(RU_Clean!J99-RU_Clean!J87)/RU_Clean!J87*100,"")</f>
        <v>4.83980913428768</v>
      </c>
      <c r="K99" s="12">
        <f>IF(AND(ISNUMBER(RU_Clean!K99),ISNUMBER(RU_Clean!K87)),(RU_Clean!K99-RU_Clean!K87)/RU_Clean!K87*100,"")</f>
        <v>14.8028962188254</v>
      </c>
      <c r="L99" s="12">
        <f>IF(AND(ISNUMBER(RU_Clean!L99),ISNUMBER(RU_Clean!L87)),(RU_Clean!L99-RU_Clean!L87)/RU_Clean!L87*100,"")</f>
        <v>0.67842605156038</v>
      </c>
      <c r="M99" s="12">
        <f>IF(AND(ISNUMBER(RU_Clean!M99),ISNUMBER(RU_Clean!M87)),(RU_Clean!M99-RU_Clean!M87)/RU_Clean!M87*100,"")</f>
        <v>15.2304609218437</v>
      </c>
      <c r="N99" s="12">
        <f>IF(AND(ISNUMBER(RU_Clean!N99),ISNUMBER(RU_Clean!N87)),(RU_Clean!N99-RU_Clean!N87)/RU_Clean!N87*100,"")</f>
        <v>15.5490051584377</v>
      </c>
      <c r="O99" s="12">
        <f>IF(AND(ISNUMBER(RU_Clean!O99),ISNUMBER(RU_Clean!O87)),(RU_Clean!O99-RU_Clean!O87)/RU_Clean!O87*100,"")</f>
        <v>1.31348511383538</v>
      </c>
      <c r="P99" s="12">
        <f>IF(AND(ISNUMBER(RU_Clean!P99),ISNUMBER(RU_Clean!P87)),(RU_Clean!P99-RU_Clean!P87)/RU_Clean!P87*100,"")</f>
        <v>10.0680272108844</v>
      </c>
      <c r="Q99" s="12">
        <f>IF(AND(ISNUMBER(RU_Clean!Q99),ISNUMBER(RU_Clean!Q87)),(RU_Clean!Q99-RU_Clean!Q87)/RU_Clean!Q87*100,"")</f>
        <v>8.27790096082778</v>
      </c>
      <c r="R99" s="12">
        <f>IF(AND(ISNUMBER(RU_Clean!R99),ISNUMBER(RU_Clean!R87)),(RU_Clean!R99-RU_Clean!R87)/RU_Clean!R87*100,"")</f>
        <v>4.00000000000001</v>
      </c>
      <c r="S99" s="12">
        <f>IF(AND(ISNUMBER(RU_Clean!S99),ISNUMBER(RU_Clean!S87)),(RU_Clean!S99-RU_Clean!S87)/RU_Clean!S87*100,"")</f>
        <v>8.42659644502961</v>
      </c>
      <c r="T99" s="12">
        <f>IF(AND(ISNUMBER(RU_Clean!T99),ISNUMBER(RU_Clean!T87)),(RU_Clean!T99-RU_Clean!T87)/RU_Clean!T87*100,"")</f>
        <v>10.0655151876117</v>
      </c>
      <c r="U99" s="12">
        <f>IF(AND(ISNUMBER(RU_Clean!U99),ISNUMBER(RU_Clean!U87)),(RU_Clean!U99-RU_Clean!U87)/RU_Clean!U87*100,"")</f>
        <v>2.93529019346231</v>
      </c>
      <c r="V99" s="12">
        <f>IF(AND(ISNUMBER(RU_Clean!V99),ISNUMBER(RU_Clean!V87)),(RU_Clean!V99-RU_Clean!V87)/RU_Clean!V87*100,"")</f>
        <v>2.76595744680851</v>
      </c>
      <c r="W99" s="12">
        <f>IF(AND(ISNUMBER(RU_Clean!W99),ISNUMBER(RU_Clean!W87)),(RU_Clean!W99-RU_Clean!W87)/RU_Clean!W87*100,"")</f>
        <v>2.8263795423957</v>
      </c>
      <c r="X99" s="12">
        <f>IF(AND(ISNUMBER(RU_Clean!X99),ISNUMBER(RU_Clean!X87)),(RU_Clean!X99-RU_Clean!X87)/RU_Clean!X87*100,"")</f>
        <v>2.93159609120521</v>
      </c>
      <c r="Y99" s="12">
        <f>IF(AND(ISNUMBER(RU_Clean!Y99),ISNUMBER(RU_Clean!Y87)),(RU_Clean!Y99-RU_Clean!Y87)/RU_Clean!Y87*100,"")</f>
        <v>0.913562895291625</v>
      </c>
      <c r="Z99" s="12">
        <f>IF(AND(ISNUMBER(RU_Clean!Z99),ISNUMBER(RU_Clean!Z87)),(RU_Clean!Z99-RU_Clean!Z87)/RU_Clean!Z87*100,"")</f>
        <v>2.68410185822435</v>
      </c>
      <c r="AA99" s="12">
        <f>IF(AND(ISNUMBER(RU_Clean!AA99),ISNUMBER(RU_Clean!AA87)),(RU_Clean!AA99-RU_Clean!AA87)/RU_Clean!AA87*100,"")</f>
        <v>4.869913275517</v>
      </c>
      <c r="AB99" s="12">
        <f>IF(AND(ISNUMBER(RU_Clean!AB99),ISNUMBER(RU_Clean!AB87)),(RU_Clean!AB99-RU_Clean!AB87)/RU_Clean!AB87*100,"")</f>
        <v>10.9004739336493</v>
      </c>
      <c r="AC99" s="12">
        <f>IF(AND(ISNUMBER(RU_Clean!AC99),ISNUMBER(RU_Clean!AC87)),(RU_Clean!AC99-RU_Clean!AC87)/RU_Clean!AC87*100,"")</f>
        <v>4.43349753694582</v>
      </c>
      <c r="AD99" s="12">
        <f>IF(AND(ISNUMBER(RU_Clean!AD99),ISNUMBER(RU_Clean!AD87)),(RU_Clean!AD99-RU_Clean!AD87)/RU_Clean!AD87*100,"")</f>
        <v>1.99356913183279</v>
      </c>
      <c r="AE99" s="12">
        <f>IF(AND(ISNUMBER(RU_Clean!AE99),ISNUMBER(RU_Clean!AE87)),(RU_Clean!AE99-RU_Clean!AE87)/RU_Clean!AE87*100,"")</f>
        <v>11.831789023521</v>
      </c>
      <c r="AF99" s="12">
        <f>IF(AND(ISNUMBER(RU_Clean!AF99),ISNUMBER(RU_Clean!AF87)),(RU_Clean!AF99-RU_Clean!AF87)/RU_Clean!AF87*100,"")</f>
        <v>6.65251238499645</v>
      </c>
      <c r="AG99" s="12">
        <f>IF(AND(ISNUMBER(RU_Clean!AG99),ISNUMBER(RU_Clean!AG87)),(RU_Clean!AG99-RU_Clean!AG87)/RU_Clean!AG87*100,"")</f>
        <v>6.59488559892329</v>
      </c>
      <c r="AH99" s="12">
        <f>IF(AND(ISNUMBER(RU_Clean!AH99),ISNUMBER(RU_Clean!AH87)),(RU_Clean!AH99-RU_Clean!AH87)/RU_Clean!AH87*100,"")</f>
        <v>9.77259806708357</v>
      </c>
    </row>
    <row r="100" spans="1:34">
      <c r="A100" s="6">
        <f>RU_Clean!A100</f>
        <v>2020</v>
      </c>
      <c r="B100" s="6">
        <f>RU_Clean!B100</f>
        <v>12</v>
      </c>
      <c r="C100" s="6" t="str">
        <f>RU_Clean!C100</f>
        <v>December</v>
      </c>
      <c r="D100" s="9">
        <f>RU_Clean!D100</f>
        <v>44166</v>
      </c>
      <c r="E100" s="6"/>
      <c r="F100" s="6"/>
      <c r="G100" s="12">
        <f>IF(AND(ISNUMBER(RU_Clean!G100),ISNUMBER(RU_Clean!G88)),(RU_Clean!G100-RU_Clean!G88)/RU_Clean!G88*100,"")</f>
        <v>1.74216027874564</v>
      </c>
      <c r="H100" s="12">
        <f>IF(AND(ISNUMBER(RU_Clean!H100),ISNUMBER(RU_Clean!H88)),(RU_Clean!H100-RU_Clean!H88)/RU_Clean!H88*100,"")</f>
        <v>15.7575757575758</v>
      </c>
      <c r="I100" s="12">
        <f>IF(AND(ISNUMBER(RU_Clean!I100),ISNUMBER(RU_Clean!I88)),(RU_Clean!I100-RU_Clean!I88)/RU_Clean!I88*100,"")</f>
        <v>16.0158835208471</v>
      </c>
      <c r="J100" s="12">
        <f>IF(AND(ISNUMBER(RU_Clean!J100),ISNUMBER(RU_Clean!J88)),(RU_Clean!J100-RU_Clean!J88)/RU_Clean!J88*100,"")</f>
        <v>3.91099123398515</v>
      </c>
      <c r="K100" s="12">
        <f>IF(AND(ISNUMBER(RU_Clean!K100),ISNUMBER(RU_Clean!K88)),(RU_Clean!K100-RU_Clean!K88)/RU_Clean!K88*100,"")</f>
        <v>16.6268894192522</v>
      </c>
      <c r="L100" s="12">
        <f>IF(AND(ISNUMBER(RU_Clean!L100),ISNUMBER(RU_Clean!L88)),(RU_Clean!L100-RU_Clean!L88)/RU_Clean!L88*100,"")</f>
        <v>1.37268359643102</v>
      </c>
      <c r="M100" s="12">
        <f>IF(AND(ISNUMBER(RU_Clean!M100),ISNUMBER(RU_Clean!M88)),(RU_Clean!M100-RU_Clean!M88)/RU_Clean!M88*100,"")</f>
        <v>6.22119815668203</v>
      </c>
      <c r="N100" s="12">
        <f>IF(AND(ISNUMBER(RU_Clean!N100),ISNUMBER(RU_Clean!N88)),(RU_Clean!N100-RU_Clean!N88)/RU_Clean!N88*100,"")</f>
        <v>15.8351409978308</v>
      </c>
      <c r="O100" s="12">
        <f>IF(AND(ISNUMBER(RU_Clean!O100),ISNUMBER(RU_Clean!O88)),(RU_Clean!O100-RU_Clean!O88)/RU_Clean!O88*100,"")</f>
        <v>1.14035087719298</v>
      </c>
      <c r="P100" s="12">
        <f>IF(AND(ISNUMBER(RU_Clean!P100),ISNUMBER(RU_Clean!P88)),(RU_Clean!P100-RU_Clean!P88)/RU_Clean!P88*100,"")</f>
        <v>9.61667787491595</v>
      </c>
      <c r="Q100" s="12">
        <f>IF(AND(ISNUMBER(RU_Clean!Q100),ISNUMBER(RU_Clean!Q88)),(RU_Clean!Q100-RU_Clean!Q88)/RU_Clean!Q88*100,"")</f>
        <v>9.86745213549336</v>
      </c>
      <c r="R100" s="12">
        <f>IF(AND(ISNUMBER(RU_Clean!R100),ISNUMBER(RU_Clean!R88)),(RU_Clean!R100-RU_Clean!R88)/RU_Clean!R88*100,"")</f>
        <v>4.30379746835444</v>
      </c>
      <c r="S100" s="12">
        <f>IF(AND(ISNUMBER(RU_Clean!S100),ISNUMBER(RU_Clean!S88)),(RU_Clean!S100-RU_Clean!S88)/RU_Clean!S88*100,"")</f>
        <v>6.70967741935484</v>
      </c>
      <c r="T100" s="12">
        <f>IF(AND(ISNUMBER(RU_Clean!T100),ISNUMBER(RU_Clean!T88)),(RU_Clean!T100-RU_Clean!T88)/RU_Clean!T88*100,"")</f>
        <v>10.0296735905045</v>
      </c>
      <c r="U100" s="12">
        <f>IF(AND(ISNUMBER(RU_Clean!U100),ISNUMBER(RU_Clean!U88)),(RU_Clean!U100-RU_Clean!U88)/RU_Clean!U88*100,"")</f>
        <v>3.12707917498336</v>
      </c>
      <c r="V100" s="12">
        <f>IF(AND(ISNUMBER(RU_Clean!V100),ISNUMBER(RU_Clean!V88)),(RU_Clean!V100-RU_Clean!V88)/RU_Clean!V88*100,"")</f>
        <v>2.90162774239207</v>
      </c>
      <c r="W100" s="12">
        <f>IF(AND(ISNUMBER(RU_Clean!W100),ISNUMBER(RU_Clean!W88)),(RU_Clean!W100-RU_Clean!W88)/RU_Clean!W88*100,"")</f>
        <v>3.08724832214765</v>
      </c>
      <c r="X100" s="12">
        <f>IF(AND(ISNUMBER(RU_Clean!X100),ISNUMBER(RU_Clean!X88)),(RU_Clean!X100-RU_Clean!X88)/RU_Clean!X88*100,"")</f>
        <v>3.66492146596858</v>
      </c>
      <c r="Y100" s="12">
        <f>IF(AND(ISNUMBER(RU_Clean!Y100),ISNUMBER(RU_Clean!Y88)),(RU_Clean!Y100-RU_Clean!Y88)/RU_Clean!Y88*100,"")</f>
        <v>0.62630480167015</v>
      </c>
      <c r="Z100" s="12">
        <f>IF(AND(ISNUMBER(RU_Clean!Z100),ISNUMBER(RU_Clean!Z88)),(RU_Clean!Z100-RU_Clean!Z88)/RU_Clean!Z88*100,"")</f>
        <v>2.67489711934155</v>
      </c>
      <c r="AA100" s="12">
        <f>IF(AND(ISNUMBER(RU_Clean!AA100),ISNUMBER(RU_Clean!AA88)),(RU_Clean!AA100-RU_Clean!AA88)/RU_Clean!AA88*100,"")</f>
        <v>5.25265957446809</v>
      </c>
      <c r="AB100" s="12">
        <f>IF(AND(ISNUMBER(RU_Clean!AB100),ISNUMBER(RU_Clean!AB88)),(RU_Clean!AB100-RU_Clean!AB88)/RU_Clean!AB88*100,"")</f>
        <v>8.39753466872109</v>
      </c>
      <c r="AC100" s="12">
        <f>IF(AND(ISNUMBER(RU_Clean!AC100),ISNUMBER(RU_Clean!AC88)),(RU_Clean!AC100-RU_Clean!AC88)/RU_Clean!AC88*100,"")</f>
        <v>4.35699226985242</v>
      </c>
      <c r="AD100" s="12">
        <f>IF(AND(ISNUMBER(RU_Clean!AD100),ISNUMBER(RU_Clean!AD88)),(RU_Clean!AD100-RU_Clean!AD88)/RU_Clean!AD88*100,"")</f>
        <v>2.37636480411048</v>
      </c>
      <c r="AE100" s="12">
        <f>IF(AND(ISNUMBER(RU_Clean!AE100),ISNUMBER(RU_Clean!AE88)),(RU_Clean!AE100-RU_Clean!AE88)/RU_Clean!AE88*100,"")</f>
        <v>11.8945868945869</v>
      </c>
      <c r="AF100" s="12">
        <f>IF(AND(ISNUMBER(RU_Clean!AF100),ISNUMBER(RU_Clean!AF88)),(RU_Clean!AF100-RU_Clean!AF88)/RU_Clean!AF88*100,"")</f>
        <v>6.10526315789473</v>
      </c>
      <c r="AG100" s="12">
        <f>IF(AND(ISNUMBER(RU_Clean!AG100),ISNUMBER(RU_Clean!AG88)),(RU_Clean!AG100-RU_Clean!AG88)/RU_Clean!AG88*100,"")</f>
        <v>5.65159574468085</v>
      </c>
      <c r="AH100" s="12">
        <f>IF(AND(ISNUMBER(RU_Clean!AH100),ISNUMBER(RU_Clean!AH88)),(RU_Clean!AH100-RU_Clean!AH88)/RU_Clean!AH88*100,"")</f>
        <v>8.5199039696276</v>
      </c>
    </row>
    <row r="101" spans="1:34">
      <c r="A101" s="6">
        <f>RU_Clean!A101</f>
        <v>2021</v>
      </c>
      <c r="B101" s="6">
        <f>RU_Clean!B101</f>
        <v>1</v>
      </c>
      <c r="C101" s="6" t="str">
        <f>RU_Clean!C101</f>
        <v>January</v>
      </c>
      <c r="D101" s="9">
        <f>RU_Clean!D101</f>
        <v>44197</v>
      </c>
      <c r="E101" s="6"/>
      <c r="F101" s="6"/>
      <c r="G101" s="12">
        <f>IF(AND(ISNUMBER(RU_Clean!G101),ISNUMBER(RU_Clean!G89)),(RU_Clean!G101-RU_Clean!G89)/RU_Clean!G89*100,"")</f>
        <v>0.415800415800412</v>
      </c>
      <c r="H101" s="12">
        <f>IF(AND(ISNUMBER(RU_Clean!H101),ISNUMBER(RU_Clean!H89)),(RU_Clean!H101-RU_Clean!H89)/RU_Clean!H89*100,"")</f>
        <v>13.5603345280765</v>
      </c>
      <c r="I101" s="12">
        <f>IF(AND(ISNUMBER(RU_Clean!I101),ISNUMBER(RU_Clean!I89)),(RU_Clean!I101-RU_Clean!I89)/RU_Clean!I89*100,"")</f>
        <v>13.1697869593286</v>
      </c>
      <c r="J101" s="12">
        <f>IF(AND(ISNUMBER(RU_Clean!J101),ISNUMBER(RU_Clean!J89)),(RU_Clean!J101-RU_Clean!J89)/RU_Clean!J89*100,"")</f>
        <v>2.66489007328448</v>
      </c>
      <c r="K101" s="12">
        <f>IF(AND(ISNUMBER(RU_Clean!K101),ISNUMBER(RU_Clean!K89)),(RU_Clean!K101-RU_Clean!K89)/RU_Clean!K89*100,"")</f>
        <v>16.1662817551963</v>
      </c>
      <c r="L101" s="12">
        <f>IF(AND(ISNUMBER(RU_Clean!L101),ISNUMBER(RU_Clean!L89)),(RU_Clean!L101-RU_Clean!L89)/RU_Clean!L89*100,"")</f>
        <v>4.46927374301676</v>
      </c>
      <c r="M101" s="12">
        <f>IF(AND(ISNUMBER(RU_Clean!M101),ISNUMBER(RU_Clean!M89)),(RU_Clean!M101-RU_Clean!M89)/RU_Clean!M89*100,"")</f>
        <v>-1.42131979695432</v>
      </c>
      <c r="N101" s="12">
        <f>IF(AND(ISNUMBER(RU_Clean!N101),ISNUMBER(RU_Clean!N89)),(RU_Clean!N101-RU_Clean!N89)/RU_Clean!N89*100,"")</f>
        <v>14.2450142450142</v>
      </c>
      <c r="O101" s="12">
        <f>IF(AND(ISNUMBER(RU_Clean!O101),ISNUMBER(RU_Clean!O89)),(RU_Clean!O101-RU_Clean!O89)/RU_Clean!O89*100,"")</f>
        <v>0.438212094653812</v>
      </c>
      <c r="P101" s="12">
        <f>IF(AND(ISNUMBER(RU_Clean!P101),ISNUMBER(RU_Clean!P89)),(RU_Clean!P101-RU_Clean!P89)/RU_Clean!P89*100,"")</f>
        <v>8.68124585818422</v>
      </c>
      <c r="Q101" s="12">
        <f>IF(AND(ISNUMBER(RU_Clean!Q101),ISNUMBER(RU_Clean!Q89)),(RU_Clean!Q101-RU_Clean!Q89)/RU_Clean!Q89*100,"")</f>
        <v>11.5356355620867</v>
      </c>
      <c r="R101" s="12">
        <f>IF(AND(ISNUMBER(RU_Clean!R101),ISNUMBER(RU_Clean!R89)),(RU_Clean!R101-RU_Clean!R89)/RU_Clean!R89*100,"")</f>
        <v>4.41361916771753</v>
      </c>
      <c r="S101" s="12">
        <f>IF(AND(ISNUMBER(RU_Clean!S101),ISNUMBER(RU_Clean!S89)),(RU_Clean!S101-RU_Clean!S89)/RU_Clean!S89*100,"")</f>
        <v>4.88599348534202</v>
      </c>
      <c r="T101" s="12">
        <f>IF(AND(ISNUMBER(RU_Clean!T101),ISNUMBER(RU_Clean!T89)),(RU_Clean!T101-RU_Clean!T89)/RU_Clean!T89*100,"")</f>
        <v>10.2245862884161</v>
      </c>
      <c r="U101" s="12">
        <f>IF(AND(ISNUMBER(RU_Clean!U101),ISNUMBER(RU_Clean!U89)),(RU_Clean!U101-RU_Clean!U89)/RU_Clean!U89*100,"")</f>
        <v>3.32225913621262</v>
      </c>
      <c r="V101" s="12">
        <f>IF(AND(ISNUMBER(RU_Clean!V101),ISNUMBER(RU_Clean!V89)),(RU_Clean!V101-RU_Clean!V89)/RU_Clean!V89*100,"")</f>
        <v>3.25088339222614</v>
      </c>
      <c r="W101" s="12">
        <f>IF(AND(ISNUMBER(RU_Clean!W101),ISNUMBER(RU_Clean!W89)),(RU_Clean!W101-RU_Clean!W89)/RU_Clean!W89*100,"")</f>
        <v>3.35120643431635</v>
      </c>
      <c r="X101" s="12">
        <f>IF(AND(ISNUMBER(RU_Clean!X101),ISNUMBER(RU_Clean!X89)),(RU_Clean!X101-RU_Clean!X89)/RU_Clean!X89*100,"")</f>
        <v>2.46913580246912</v>
      </c>
      <c r="Y101" s="12">
        <f>IF(AND(ISNUMBER(RU_Clean!Y101),ISNUMBER(RU_Clean!Y89)),(RU_Clean!Y101-RU_Clean!Y89)/RU_Clean!Y89*100,"")</f>
        <v>2.28215767634856</v>
      </c>
      <c r="Z101" s="12">
        <f>IF(AND(ISNUMBER(RU_Clean!Z101),ISNUMBER(RU_Clean!Z89)),(RU_Clean!Z101-RU_Clean!Z89)/RU_Clean!Z89*100,"")</f>
        <v>2.59917920656636</v>
      </c>
      <c r="AA101" s="12">
        <f>IF(AND(ISNUMBER(RU_Clean!AA101),ISNUMBER(RU_Clean!AA89)),(RU_Clean!AA101-RU_Clean!AA89)/RU_Clean!AA89*100,"")</f>
        <v>5.35714285714287</v>
      </c>
      <c r="AB101" s="12">
        <f>IF(AND(ISNUMBER(RU_Clean!AB101),ISNUMBER(RU_Clean!AB89)),(RU_Clean!AB101-RU_Clean!AB89)/RU_Clean!AB89*100,"")</f>
        <v>8.40336134453781</v>
      </c>
      <c r="AC101" s="12">
        <f>IF(AND(ISNUMBER(RU_Clean!AC101),ISNUMBER(RU_Clean!AC89)),(RU_Clean!AC101-RU_Clean!AC89)/RU_Clean!AC89*100,"")</f>
        <v>4.76190476190475</v>
      </c>
      <c r="AD101" s="12">
        <f>IF(AND(ISNUMBER(RU_Clean!AD101),ISNUMBER(RU_Clean!AD89)),(RU_Clean!AD101-RU_Clean!AD89)/RU_Clean!AD89*100,"")</f>
        <v>1.9859064702114</v>
      </c>
      <c r="AE101" s="12">
        <f>IF(AND(ISNUMBER(RU_Clean!AE101),ISNUMBER(RU_Clean!AE89)),(RU_Clean!AE101-RU_Clean!AE89)/RU_Clean!AE89*100,"")</f>
        <v>10.1897399859452</v>
      </c>
      <c r="AF101" s="12">
        <f>IF(AND(ISNUMBER(RU_Clean!AF101),ISNUMBER(RU_Clean!AF89)),(RU_Clean!AF101-RU_Clean!AF89)/RU_Clean!AF89*100,"")</f>
        <v>5.92747559274756</v>
      </c>
      <c r="AG101" s="12">
        <f>IF(AND(ISNUMBER(RU_Clean!AG101),ISNUMBER(RU_Clean!AG89)),(RU_Clean!AG101-RU_Clean!AG89)/RU_Clean!AG89*100,"")</f>
        <v>4.72703062583224</v>
      </c>
      <c r="AH101" s="12">
        <f>IF(AND(ISNUMBER(RU_Clean!AH101),ISNUMBER(RU_Clean!AH89)),(RU_Clean!AH101-RU_Clean!AH89)/RU_Clean!AH89*100,"")</f>
        <v>7.19682131064972</v>
      </c>
    </row>
    <row r="102" spans="1:34">
      <c r="A102" s="6">
        <f>RU_Clean!A102</f>
        <v>2021</v>
      </c>
      <c r="B102" s="6">
        <f>RU_Clean!B102</f>
        <v>2</v>
      </c>
      <c r="C102" s="6" t="str">
        <f>RU_Clean!C102</f>
        <v>February</v>
      </c>
      <c r="D102" s="9">
        <f>RU_Clean!D102</f>
        <v>44228</v>
      </c>
      <c r="E102" s="6"/>
      <c r="F102" s="6"/>
      <c r="G102" s="12">
        <f>IF(AND(ISNUMBER(RU_Clean!G102),ISNUMBER(RU_Clean!G90)),(RU_Clean!G102-RU_Clean!G90)/RU_Clean!G90*100,"")</f>
        <v>-0.345303867403315</v>
      </c>
      <c r="H102" s="12">
        <f>IF(AND(ISNUMBER(RU_Clean!H102),ISNUMBER(RU_Clean!H90)),(RU_Clean!H102-RU_Clean!H90)/RU_Clean!H90*100,"")</f>
        <v>11.3432835820896</v>
      </c>
      <c r="I102" s="12">
        <f>IF(AND(ISNUMBER(RU_Clean!I102),ISNUMBER(RU_Clean!I90)),(RU_Clean!I102-RU_Clean!I90)/RU_Clean!I90*100,"")</f>
        <v>11.133069828722</v>
      </c>
      <c r="J102" s="12">
        <f>IF(AND(ISNUMBER(RU_Clean!J102),ISNUMBER(RU_Clean!J90)),(RU_Clean!J102-RU_Clean!J90)/RU_Clean!J90*100,"")</f>
        <v>2.58620689655171</v>
      </c>
      <c r="K102" s="12">
        <f>IF(AND(ISNUMBER(RU_Clean!K102),ISNUMBER(RU_Clean!K90)),(RU_Clean!K102-RU_Clean!K90)/RU_Clean!K90*100,"")</f>
        <v>20.7762557077625</v>
      </c>
      <c r="L102" s="12">
        <f>IF(AND(ISNUMBER(RU_Clean!L102),ISNUMBER(RU_Clean!L90)),(RU_Clean!L102-RU_Clean!L90)/RU_Clean!L90*100,"")</f>
        <v>6.27644569816642</v>
      </c>
      <c r="M102" s="12">
        <f>IF(AND(ISNUMBER(RU_Clean!M102),ISNUMBER(RU_Clean!M90)),(RU_Clean!M102-RU_Clean!M90)/RU_Clean!M90*100,"")</f>
        <v>-6.26830697129466</v>
      </c>
      <c r="N102" s="12">
        <f>IF(AND(ISNUMBER(RU_Clean!N102),ISNUMBER(RU_Clean!N90)),(RU_Clean!N102-RU_Clean!N90)/RU_Clean!N90*100,"")</f>
        <v>12.5442948263643</v>
      </c>
      <c r="O102" s="12">
        <f>IF(AND(ISNUMBER(RU_Clean!O102),ISNUMBER(RU_Clean!O90)),(RU_Clean!O102-RU_Clean!O90)/RU_Clean!O90*100,"")</f>
        <v>-0.704225352112674</v>
      </c>
      <c r="P102" s="12">
        <f>IF(AND(ISNUMBER(RU_Clean!P102),ISNUMBER(RU_Clean!P90)),(RU_Clean!P102-RU_Clean!P90)/RU_Clean!P90*100,"")</f>
        <v>8.02631578947368</v>
      </c>
      <c r="Q102" s="12">
        <f>IF(AND(ISNUMBER(RU_Clean!Q102),ISNUMBER(RU_Clean!Q90)),(RU_Clean!Q102-RU_Clean!Q90)/RU_Clean!Q90*100,"")</f>
        <v>13.9194139194139</v>
      </c>
      <c r="R102" s="12">
        <f>IF(AND(ISNUMBER(RU_Clean!R102),ISNUMBER(RU_Clean!R90)),(RU_Clean!R102-RU_Clean!R90)/RU_Clean!R90*100,"")</f>
        <v>5.27969830295412</v>
      </c>
      <c r="S102" s="12">
        <f>IF(AND(ISNUMBER(RU_Clean!S102),ISNUMBER(RU_Clean!S90)),(RU_Clean!S102-RU_Clean!S90)/RU_Clean!S90*100,"")</f>
        <v>4.25249169435216</v>
      </c>
      <c r="T102" s="12">
        <f>IF(AND(ISNUMBER(RU_Clean!T102),ISNUMBER(RU_Clean!T90)),(RU_Clean!T102-RU_Clean!T90)/RU_Clean!T90*100,"")</f>
        <v>10.6995884773663</v>
      </c>
      <c r="U102" s="12">
        <f>IF(AND(ISNUMBER(RU_Clean!U102),ISNUMBER(RU_Clean!U90)),(RU_Clean!U102-RU_Clean!U90)/RU_Clean!U90*100,"")</f>
        <v>4.24403183023871</v>
      </c>
      <c r="V102" s="12">
        <f>IF(AND(ISNUMBER(RU_Clean!V102),ISNUMBER(RU_Clean!V90)),(RU_Clean!V102-RU_Clean!V90)/RU_Clean!V90*100,"")</f>
        <v>4.0225829216655</v>
      </c>
      <c r="W102" s="12">
        <f>IF(AND(ISNUMBER(RU_Clean!W102),ISNUMBER(RU_Clean!W90)),(RU_Clean!W102-RU_Clean!W90)/RU_Clean!W90*100,"")</f>
        <v>4.21404682274248</v>
      </c>
      <c r="X102" s="12">
        <f>IF(AND(ISNUMBER(RU_Clean!X102),ISNUMBER(RU_Clean!X90)),(RU_Clean!X102-RU_Clean!X90)/RU_Clean!X90*100,"")</f>
        <v>3.22997416020672</v>
      </c>
      <c r="Y102" s="12">
        <f>IF(AND(ISNUMBER(RU_Clean!Y102),ISNUMBER(RU_Clean!Y90)),(RU_Clean!Y102-RU_Clean!Y90)/RU_Clean!Y90*100,"")</f>
        <v>3.53260869565219</v>
      </c>
      <c r="Z102" s="12">
        <f>IF(AND(ISNUMBER(RU_Clean!Z102),ISNUMBER(RU_Clean!Z90)),(RU_Clean!Z102-RU_Clean!Z90)/RU_Clean!Z90*100,"")</f>
        <v>3.07377049180328</v>
      </c>
      <c r="AA102" s="12">
        <f>IF(AND(ISNUMBER(RU_Clean!AA102),ISNUMBER(RU_Clean!AA90)),(RU_Clean!AA102-RU_Clean!AA90)/RU_Clean!AA90*100,"")</f>
        <v>6.32827949901122</v>
      </c>
      <c r="AB102" s="12">
        <f>IF(AND(ISNUMBER(RU_Clean!AB102),ISNUMBER(RU_Clean!AB90)),(RU_Clean!AB102-RU_Clean!AB90)/RU_Clean!AB90*100,"")</f>
        <v>11.3584036838066</v>
      </c>
      <c r="AC102" s="12">
        <f>IF(AND(ISNUMBER(RU_Clean!AC102),ISNUMBER(RU_Clean!AC90)),(RU_Clean!AC102-RU_Clean!AC90)/RU_Clean!AC90*100,"")</f>
        <v>5.79608938547487</v>
      </c>
      <c r="AD102" s="12">
        <f>IF(AND(ISNUMBER(RU_Clean!AD102),ISNUMBER(RU_Clean!AD90)),(RU_Clean!AD102-RU_Clean!AD90)/RU_Clean!AD90*100,"")</f>
        <v>2.11267605633804</v>
      </c>
      <c r="AE102" s="12">
        <f>IF(AND(ISNUMBER(RU_Clean!AE102),ISNUMBER(RU_Clean!AE90)),(RU_Clean!AE102-RU_Clean!AE90)/RU_Clean!AE90*100,"")</f>
        <v>8.64714086471409</v>
      </c>
      <c r="AF102" s="12">
        <f>IF(AND(ISNUMBER(RU_Clean!AF102),ISNUMBER(RU_Clean!AF90)),(RU_Clean!AF102-RU_Clean!AF90)/RU_Clean!AF90*100,"")</f>
        <v>6.82451253481895</v>
      </c>
      <c r="AG102" s="12">
        <f>IF(AND(ISNUMBER(RU_Clean!AG102),ISNUMBER(RU_Clean!AG90)),(RU_Clean!AG102-RU_Clean!AG90)/RU_Clean!AG90*100,"")</f>
        <v>5.03018108651912</v>
      </c>
      <c r="AH102" s="12">
        <f>IF(AND(ISNUMBER(RU_Clean!AH102),ISNUMBER(RU_Clean!AH90)),(RU_Clean!AH102-RU_Clean!AH90)/RU_Clean!AH90*100,"")</f>
        <v>6.88774061666005</v>
      </c>
    </row>
    <row r="103" spans="1:34">
      <c r="A103" s="6">
        <f>RU_Clean!A103</f>
        <v>2021</v>
      </c>
      <c r="B103" s="6">
        <f>RU_Clean!B103</f>
        <v>3</v>
      </c>
      <c r="C103" s="6" t="str">
        <f>RU_Clean!C103</f>
        <v>March</v>
      </c>
      <c r="D103" s="9">
        <f>RU_Clean!D103</f>
        <v>44256</v>
      </c>
      <c r="E103" s="6"/>
      <c r="F103" s="6"/>
      <c r="G103" s="12">
        <f>IF(AND(ISNUMBER(RU_Clean!G103),ISNUMBER(RU_Clean!G91)),(RU_Clean!G103-RU_Clean!G91)/RU_Clean!G91*100,"")</f>
        <v>-0.689179875947622</v>
      </c>
      <c r="H103" s="12">
        <f>IF(AND(ISNUMBER(RU_Clean!H103),ISNUMBER(RU_Clean!H91)),(RU_Clean!H103-RU_Clean!H91)/RU_Clean!H91*100,"")</f>
        <v>15.0898203592814</v>
      </c>
      <c r="I103" s="12">
        <f>IF(AND(ISNUMBER(RU_Clean!I103),ISNUMBER(RU_Clean!I91)),(RU_Clean!I103-RU_Clean!I91)/RU_Clean!I91*100,"")</f>
        <v>10.6009453072249</v>
      </c>
      <c r="J103" s="12">
        <f>IF(AND(ISNUMBER(RU_Clean!J103),ISNUMBER(RU_Clean!J91)),(RU_Clean!J103-RU_Clean!J91)/RU_Clean!J91*100,"")</f>
        <v>2.24422442244225</v>
      </c>
      <c r="K103" s="12">
        <f>IF(AND(ISNUMBER(RU_Clean!K103),ISNUMBER(RU_Clean!K91)),(RU_Clean!K103-RU_Clean!K91)/RU_Clean!K91*100,"")</f>
        <v>24.9237804878049</v>
      </c>
      <c r="L103" s="12">
        <f>IF(AND(ISNUMBER(RU_Clean!L103),ISNUMBER(RU_Clean!L91)),(RU_Clean!L103-RU_Clean!L91)/RU_Clean!L91*100,"")</f>
        <v>7.85964912280701</v>
      </c>
      <c r="M103" s="12">
        <f>IF(AND(ISNUMBER(RU_Clean!M103),ISNUMBER(RU_Clean!M91)),(RU_Clean!M103-RU_Clean!M91)/RU_Clean!M91*100,"")</f>
        <v>-4.95867768595042</v>
      </c>
      <c r="N103" s="12">
        <f>IF(AND(ISNUMBER(RU_Clean!N103),ISNUMBER(RU_Clean!N91)),(RU_Clean!N103-RU_Clean!N91)/RU_Clean!N91*100,"")</f>
        <v>13.2530120481928</v>
      </c>
      <c r="O103" s="12">
        <f>IF(AND(ISNUMBER(RU_Clean!O103),ISNUMBER(RU_Clean!O91)),(RU_Clean!O103-RU_Clean!O91)/RU_Clean!O91*100,"")</f>
        <v>-0.530035335689053</v>
      </c>
      <c r="P103" s="12">
        <f>IF(AND(ISNUMBER(RU_Clean!P103),ISNUMBER(RU_Clean!P91)),(RU_Clean!P103-RU_Clean!P91)/RU_Clean!P91*100,"")</f>
        <v>6.72323759791124</v>
      </c>
      <c r="Q103" s="12">
        <f>IF(AND(ISNUMBER(RU_Clean!Q103),ISNUMBER(RU_Clean!Q91)),(RU_Clean!Q103-RU_Clean!Q91)/RU_Clean!Q91*100,"")</f>
        <v>14.4842721287491</v>
      </c>
      <c r="R103" s="12">
        <f>IF(AND(ISNUMBER(RU_Clean!R103),ISNUMBER(RU_Clean!R91)),(RU_Clean!R103-RU_Clean!R91)/RU_Clean!R91*100,"")</f>
        <v>5.38847117794486</v>
      </c>
      <c r="S103" s="12">
        <f>IF(AND(ISNUMBER(RU_Clean!S103),ISNUMBER(RU_Clean!S91)),(RU_Clean!S103-RU_Clean!S91)/RU_Clean!S91*100,"")</f>
        <v>5.23841504365345</v>
      </c>
      <c r="T103" s="12">
        <f>IF(AND(ISNUMBER(RU_Clean!T103),ISNUMBER(RU_Clean!T91)),(RU_Clean!T103-RU_Clean!T91)/RU_Clean!T91*100,"")</f>
        <v>9.87149532710281</v>
      </c>
      <c r="U103" s="12">
        <f>IF(AND(ISNUMBER(RU_Clean!U103),ISNUMBER(RU_Clean!U91)),(RU_Clean!U103-RU_Clean!U91)/RU_Clean!U91*100,"")</f>
        <v>4.36507936507938</v>
      </c>
      <c r="V103" s="12">
        <f>IF(AND(ISNUMBER(RU_Clean!V103),ISNUMBER(RU_Clean!V91)),(RU_Clean!V103-RU_Clean!V91)/RU_Clean!V91*100,"")</f>
        <v>4.22832980972516</v>
      </c>
      <c r="W103" s="12">
        <f>IF(AND(ISNUMBER(RU_Clean!W103),ISNUMBER(RU_Clean!W91)),(RU_Clean!W103-RU_Clean!W91)/RU_Clean!W91*100,"")</f>
        <v>4.40587449933244</v>
      </c>
      <c r="X103" s="12">
        <f>IF(AND(ISNUMBER(RU_Clean!X103),ISNUMBER(RU_Clean!X91)),(RU_Clean!X103-RU_Clean!X91)/RU_Clean!X91*100,"")</f>
        <v>3.49514563106796</v>
      </c>
      <c r="Y103" s="12">
        <f>IF(AND(ISNUMBER(RU_Clean!Y103),ISNUMBER(RU_Clean!Y91)),(RU_Clean!Y103-RU_Clean!Y91)/RU_Clean!Y91*100,"")</f>
        <v>4.43250503693754</v>
      </c>
      <c r="Z103" s="12">
        <f>IF(AND(ISNUMBER(RU_Clean!Z103),ISNUMBER(RU_Clean!Z91)),(RU_Clean!Z103-RU_Clean!Z91)/RU_Clean!Z91*100,"")</f>
        <v>3.27868852459015</v>
      </c>
      <c r="AA103" s="12">
        <f>IF(AND(ISNUMBER(RU_Clean!AA103),ISNUMBER(RU_Clean!AA91)),(RU_Clean!AA103-RU_Clean!AA91)/RU_Clean!AA91*100,"")</f>
        <v>6.17202889034798</v>
      </c>
      <c r="AB103" s="12">
        <f>IF(AND(ISNUMBER(RU_Clean!AB103),ISNUMBER(RU_Clean!AB91)),(RU_Clean!AB103-RU_Clean!AB91)/RU_Clean!AB91*100,"")</f>
        <v>12.5481139337952</v>
      </c>
      <c r="AC103" s="12">
        <f>IF(AND(ISNUMBER(RU_Clean!AC103),ISNUMBER(RU_Clean!AC91)),(RU_Clean!AC103-RU_Clean!AC91)/RU_Clean!AC91*100,"")</f>
        <v>6.19345859429367</v>
      </c>
      <c r="AD103" s="12">
        <f>IF(AND(ISNUMBER(RU_Clean!AD103),ISNUMBER(RU_Clean!AD91)),(RU_Clean!AD103-RU_Clean!AD91)/RU_Clean!AD91*100,"")</f>
        <v>2.62652146060217</v>
      </c>
      <c r="AE103" s="12">
        <f>IF(AND(ISNUMBER(RU_Clean!AE103),ISNUMBER(RU_Clean!AE91)),(RU_Clean!AE103-RU_Clean!AE91)/RU_Clean!AE91*100,"")</f>
        <v>5.92286501377412</v>
      </c>
      <c r="AF103" s="12">
        <f>IF(AND(ISNUMBER(RU_Clean!AF103),ISNUMBER(RU_Clean!AF91)),(RU_Clean!AF103-RU_Clean!AF91)/RU_Clean!AF91*100,"")</f>
        <v>6.95410292072323</v>
      </c>
      <c r="AG103" s="12">
        <f>IF(AND(ISNUMBER(RU_Clean!AG103),ISNUMBER(RU_Clean!AG91)),(RU_Clean!AG103-RU_Clean!AG91)/RU_Clean!AG91*100,"")</f>
        <v>5.51816958277256</v>
      </c>
      <c r="AH103" s="12">
        <f>IF(AND(ISNUMBER(RU_Clean!AH103),ISNUMBER(RU_Clean!AH91)),(RU_Clean!AH103-RU_Clean!AH91)/RU_Clean!AH91*100,"")</f>
        <v>7.79845405095905</v>
      </c>
    </row>
    <row r="104" spans="1:34">
      <c r="A104" s="6">
        <f>RU_Clean!A104</f>
        <v>2021</v>
      </c>
      <c r="B104" s="6">
        <f>RU_Clean!B104</f>
        <v>4</v>
      </c>
      <c r="C104" s="6" t="str">
        <f>RU_Clean!C104</f>
        <v>April</v>
      </c>
      <c r="D104" s="9">
        <f>RU_Clean!D104</f>
        <v>44287</v>
      </c>
      <c r="E104" s="6"/>
      <c r="F104" s="6"/>
      <c r="G104" s="12">
        <f>IF(AND(ISNUMBER(RU_Clean!G104),ISNUMBER(RU_Clean!G92)),(RU_Clean!G104-RU_Clean!G92)/RU_Clean!G92*100,"")</f>
        <v>-2.95897780766643</v>
      </c>
      <c r="H104" s="12">
        <f>IF(AND(ISNUMBER(RU_Clean!H104),ISNUMBER(RU_Clean!H92)),(RU_Clean!H104-RU_Clean!H92)/RU_Clean!H92*100,"")</f>
        <v>12.7776722992216</v>
      </c>
      <c r="I104" s="12">
        <f>IF(AND(ISNUMBER(RU_Clean!I104),ISNUMBER(RU_Clean!I92)),(RU_Clean!I104-RU_Clean!I92)/RU_Clean!I92*100,"")</f>
        <v>10.6182795698925</v>
      </c>
      <c r="J104" s="12">
        <f>IF(AND(ISNUMBER(RU_Clean!J104),ISNUMBER(RU_Clean!J92)),(RU_Clean!J104-RU_Clean!J92)/RU_Clean!J92*100,"")</f>
        <v>-0.128534704370173</v>
      </c>
      <c r="K104" s="12">
        <f>IF(AND(ISNUMBER(RU_Clean!K104),ISNUMBER(RU_Clean!K92)),(RU_Clean!K104-RU_Clean!K92)/RU_Clean!K92*100,"")</f>
        <v>25.9067357512953</v>
      </c>
      <c r="L104" s="12">
        <f>IF(AND(ISNUMBER(RU_Clean!L104),ISNUMBER(RU_Clean!L92)),(RU_Clean!L104-RU_Clean!L92)/RU_Clean!L92*100,"")</f>
        <v>9.67311541027352</v>
      </c>
      <c r="M104" s="12">
        <f>IF(AND(ISNUMBER(RU_Clean!M104),ISNUMBER(RU_Clean!M92)),(RU_Clean!M104-RU_Clean!M92)/RU_Clean!M92*100,"")</f>
        <v>-14.5314353499407</v>
      </c>
      <c r="N104" s="12">
        <f>IF(AND(ISNUMBER(RU_Clean!N104),ISNUMBER(RU_Clean!N92)),(RU_Clean!N104-RU_Clean!N92)/RU_Clean!N92*100,"")</f>
        <v>7.51329787234041</v>
      </c>
      <c r="O104" s="12">
        <f>IF(AND(ISNUMBER(RU_Clean!O104),ISNUMBER(RU_Clean!O92)),(RU_Clean!O104-RU_Clean!O92)/RU_Clean!O92*100,"")</f>
        <v>-5.98503740648379</v>
      </c>
      <c r="P104" s="12">
        <f>IF(AND(ISNUMBER(RU_Clean!P104),ISNUMBER(RU_Clean!P92)),(RU_Clean!P104-RU_Clean!P92)/RU_Clean!P92*100,"")</f>
        <v>4.32845321451306</v>
      </c>
      <c r="Q104" s="12">
        <f>IF(AND(ISNUMBER(RU_Clean!Q104),ISNUMBER(RU_Clean!Q92)),(RU_Clean!Q104-RU_Clean!Q92)/RU_Clean!Q92*100,"")</f>
        <v>15.2046783625731</v>
      </c>
      <c r="R104" s="12">
        <f>IF(AND(ISNUMBER(RU_Clean!R104),ISNUMBER(RU_Clean!R92)),(RU_Clean!R104-RU_Clean!R92)/RU_Clean!R92*100,"")</f>
        <v>5.34303534303534</v>
      </c>
      <c r="S104" s="12">
        <f>IF(AND(ISNUMBER(RU_Clean!S104),ISNUMBER(RU_Clean!S92)),(RU_Clean!S104-RU_Clean!S92)/RU_Clean!S92*100,"")</f>
        <v>4.35931307793923</v>
      </c>
      <c r="T104" s="12">
        <f>IF(AND(ISNUMBER(RU_Clean!T104),ISNUMBER(RU_Clean!T92)),(RU_Clean!T104-RU_Clean!T92)/RU_Clean!T92*100,"")</f>
        <v>7.70108385624645</v>
      </c>
      <c r="U104" s="12">
        <f>IF(AND(ISNUMBER(RU_Clean!U104),ISNUMBER(RU_Clean!U92)),(RU_Clean!U104-RU_Clean!U92)/RU_Clean!U92*100,"")</f>
        <v>4.72631347548913</v>
      </c>
      <c r="V104" s="12">
        <f>IF(AND(ISNUMBER(RU_Clean!V104),ISNUMBER(RU_Clean!V92)),(RU_Clean!V104-RU_Clean!V92)/RU_Clean!V92*100,"")</f>
        <v>4.04016814572628</v>
      </c>
      <c r="W104" s="12">
        <f>IF(AND(ISNUMBER(RU_Clean!W104),ISNUMBER(RU_Clean!W92)),(RU_Clean!W104-RU_Clean!W92)/RU_Clean!W92*100,"")</f>
        <v>4.63414634146342</v>
      </c>
      <c r="X104" s="12">
        <f>IF(AND(ISNUMBER(RU_Clean!X104),ISNUMBER(RU_Clean!X92)),(RU_Clean!X104-RU_Clean!X92)/RU_Clean!X92*100,"")</f>
        <v>3.72750642673523</v>
      </c>
      <c r="Y104" s="12">
        <f>IF(AND(ISNUMBER(RU_Clean!Y104),ISNUMBER(RU_Clean!Y92)),(RU_Clean!Y104-RU_Clean!Y92)/RU_Clean!Y92*100,"")</f>
        <v>7.98056904927134</v>
      </c>
      <c r="Z104" s="12">
        <f>IF(AND(ISNUMBER(RU_Clean!Z104),ISNUMBER(RU_Clean!Z92)),(RU_Clean!Z104-RU_Clean!Z92)/RU_Clean!Z92*100,"")</f>
        <v>3.68852459016394</v>
      </c>
      <c r="AA104" s="12">
        <f>IF(AND(ISNUMBER(RU_Clean!AA104),ISNUMBER(RU_Clean!AA92)),(RU_Clean!AA104-RU_Clean!AA92)/RU_Clean!AA92*100,"")</f>
        <v>7.69741207697414</v>
      </c>
      <c r="AB104" s="12">
        <f>IF(AND(ISNUMBER(RU_Clean!AB104),ISNUMBER(RU_Clean!AB92)),(RU_Clean!AB104-RU_Clean!AB92)/RU_Clean!AB92*100,"")</f>
        <v>11.3981762917933</v>
      </c>
      <c r="AC104" s="12">
        <f>IF(AND(ISNUMBER(RU_Clean!AC104),ISNUMBER(RU_Clean!AC92)),(RU_Clean!AC104-RU_Clean!AC92)/RU_Clean!AC92*100,"")</f>
        <v>5.48542575166399</v>
      </c>
      <c r="AD104" s="12">
        <f>IF(AND(ISNUMBER(RU_Clean!AD104),ISNUMBER(RU_Clean!AD92)),(RU_Clean!AD104-RU_Clean!AD92)/RU_Clean!AD92*100,"")</f>
        <v>2.62483994878363</v>
      </c>
      <c r="AE104" s="12">
        <f>IF(AND(ISNUMBER(RU_Clean!AE104),ISNUMBER(RU_Clean!AE92)),(RU_Clean!AE104-RU_Clean!AE92)/RU_Clean!AE92*100,"")</f>
        <v>5.47511312217196</v>
      </c>
      <c r="AF104" s="12">
        <f>IF(AND(ISNUMBER(RU_Clean!AF104),ISNUMBER(RU_Clean!AF92)),(RU_Clean!AF104-RU_Clean!AF92)/RU_Clean!AF92*100,"")</f>
        <v>6.58076392084675</v>
      </c>
      <c r="AG104" s="12">
        <f>IF(AND(ISNUMBER(RU_Clean!AG104),ISNUMBER(RU_Clean!AG92)),(RU_Clean!AG104-RU_Clean!AG92)/RU_Clean!AG92*100,"")</f>
        <v>5.43429844097997</v>
      </c>
      <c r="AH104" s="12">
        <f>IF(AND(ISNUMBER(RU_Clean!AH104),ISNUMBER(RU_Clean!AH92)),(RU_Clean!AH104-RU_Clean!AH92)/RU_Clean!AH92*100,"")</f>
        <v>5.47255422753431</v>
      </c>
    </row>
    <row r="105" spans="1:34">
      <c r="A105" s="6">
        <f>RU_Clean!A105</f>
        <v>2021</v>
      </c>
      <c r="B105" s="6">
        <f>RU_Clean!B105</f>
        <v>5</v>
      </c>
      <c r="C105" s="6" t="str">
        <f>RU_Clean!C105</f>
        <v>May</v>
      </c>
      <c r="D105" s="9">
        <f>RU_Clean!D105</f>
        <v>44317</v>
      </c>
      <c r="E105" s="6"/>
      <c r="F105" s="6"/>
      <c r="G105" s="12">
        <f>IF(AND(ISNUMBER(RU_Clean!G105),ISNUMBER(RU_Clean!G93)),(RU_Clean!G105-RU_Clean!G93)/RU_Clean!G93*100,"")</f>
        <v>-1.91082802547768</v>
      </c>
      <c r="H105" s="12">
        <f>IF(AND(ISNUMBER(RU_Clean!H105),ISNUMBER(RU_Clean!H93)),(RU_Clean!H105-RU_Clean!H93)/RU_Clean!H93*100,"")</f>
        <v>8.88848660391021</v>
      </c>
      <c r="I105" s="12">
        <f>IF(AND(ISNUMBER(RU_Clean!I105),ISNUMBER(RU_Clean!I93)),(RU_Clean!I105-RU_Clean!I93)/RU_Clean!I93*100,"")</f>
        <v>13.4576948700866</v>
      </c>
      <c r="J105" s="12">
        <f>IF(AND(ISNUMBER(RU_Clean!J105),ISNUMBER(RU_Clean!J93)),(RU_Clean!J105-RU_Clean!J93)/RU_Clean!J93*100,"")</f>
        <v>1.06830689543542</v>
      </c>
      <c r="K105" s="12">
        <f>IF(AND(ISNUMBER(RU_Clean!K105),ISNUMBER(RU_Clean!K93)),(RU_Clean!K105-RU_Clean!K93)/RU_Clean!K93*100,"")</f>
        <v>31.6875460574797</v>
      </c>
      <c r="L105" s="12">
        <f>IF(AND(ISNUMBER(RU_Clean!L105),ISNUMBER(RU_Clean!L93)),(RU_Clean!L105-RU_Clean!L93)/RU_Clean!L93*100,"")</f>
        <v>12.4873779872097</v>
      </c>
      <c r="M105" s="12">
        <f>IF(AND(ISNUMBER(RU_Clean!M105),ISNUMBER(RU_Clean!M93)),(RU_Clean!M105-RU_Clean!M93)/RU_Clean!M93*100,"")</f>
        <v>-9.01261150415257</v>
      </c>
      <c r="N105" s="12">
        <f>IF(AND(ISNUMBER(RU_Clean!N105),ISNUMBER(RU_Clean!N93)),(RU_Clean!N105-RU_Clean!N93)/RU_Clean!N93*100,"")</f>
        <v>9.79090607368072</v>
      </c>
      <c r="O105" s="12">
        <f>IF(AND(ISNUMBER(RU_Clean!O105),ISNUMBER(RU_Clean!O93)),(RU_Clean!O105-RU_Clean!O93)/RU_Clean!O93*100,"")</f>
        <v>-2.08955223880597</v>
      </c>
      <c r="P105" s="12">
        <f>IF(AND(ISNUMBER(RU_Clean!P105),ISNUMBER(RU_Clean!P93)),(RU_Clean!P105-RU_Clean!P93)/RU_Clean!P93*100,"")</f>
        <v>6.25394819962096</v>
      </c>
      <c r="Q105" s="12">
        <f>IF(AND(ISNUMBER(RU_Clean!Q105),ISNUMBER(RU_Clean!Q93)),(RU_Clean!Q105-RU_Clean!Q93)/RU_Clean!Q93*100,"")</f>
        <v>15.3511947863867</v>
      </c>
      <c r="R105" s="12">
        <f>IF(AND(ISNUMBER(RU_Clean!R105),ISNUMBER(RU_Clean!R93)),(RU_Clean!R105-RU_Clean!R93)/RU_Clean!R93*100,"")</f>
        <v>5.79470198675497</v>
      </c>
      <c r="S105" s="12">
        <f>IF(AND(ISNUMBER(RU_Clean!S105),ISNUMBER(RU_Clean!S93)),(RU_Clean!S105-RU_Clean!S93)/RU_Clean!S93*100,"")</f>
        <v>5.23903077930583</v>
      </c>
      <c r="T105" s="12">
        <f>IF(AND(ISNUMBER(RU_Clean!T105),ISNUMBER(RU_Clean!T93)),(RU_Clean!T105-RU_Clean!T93)/RU_Clean!T93*100,"")</f>
        <v>6.96767001114829</v>
      </c>
      <c r="U105" s="12">
        <f>IF(AND(ISNUMBER(RU_Clean!U105),ISNUMBER(RU_Clean!U93)),(RU_Clean!U105-RU_Clean!U93)/RU_Clean!U93*100,"")</f>
        <v>6.4007014467339</v>
      </c>
      <c r="V105" s="12">
        <f>IF(AND(ISNUMBER(RU_Clean!V105),ISNUMBER(RU_Clean!V93)),(RU_Clean!V105-RU_Clean!V93)/RU_Clean!V93*100,"")</f>
        <v>5.94381239842117</v>
      </c>
      <c r="W105" s="12">
        <f>IF(AND(ISNUMBER(RU_Clean!W105),ISNUMBER(RU_Clean!W93)),(RU_Clean!W105-RU_Clean!W93)/RU_Clean!W93*100,"")</f>
        <v>6.31904551480336</v>
      </c>
      <c r="X105" s="12">
        <f>IF(AND(ISNUMBER(RU_Clean!X105),ISNUMBER(RU_Clean!X93)),(RU_Clean!X105-RU_Clean!X93)/RU_Clean!X93*100,"")</f>
        <v>4.15726716081213</v>
      </c>
      <c r="Y105" s="12">
        <f>IF(AND(ISNUMBER(RU_Clean!Y105),ISNUMBER(RU_Clean!Y93)),(RU_Clean!Y105-RU_Clean!Y93)/RU_Clean!Y93*100,"")</f>
        <v>11.4685314685315</v>
      </c>
      <c r="Z105" s="12">
        <f>IF(AND(ISNUMBER(RU_Clean!Z105),ISNUMBER(RU_Clean!Z93)),(RU_Clean!Z105-RU_Clean!Z93)/RU_Clean!Z93*100,"")</f>
        <v>5.66939890710381</v>
      </c>
      <c r="AA105" s="12">
        <f>IF(AND(ISNUMBER(RU_Clean!AA105),ISNUMBER(RU_Clean!AA93)),(RU_Clean!AA105-RU_Clean!AA93)/RU_Clean!AA93*100,"")</f>
        <v>8.68567682726975</v>
      </c>
      <c r="AB105" s="12">
        <f>IF(AND(ISNUMBER(RU_Clean!AB105),ISNUMBER(RU_Clean!AB93)),(RU_Clean!AB105-RU_Clean!AB93)/RU_Clean!AB93*100,"")</f>
        <v>11.7029257314329</v>
      </c>
      <c r="AC105" s="12">
        <f>IF(AND(ISNUMBER(RU_Clean!AC105),ISNUMBER(RU_Clean!AC93)),(RU_Clean!AC105-RU_Clean!AC93)/RU_Clean!AC93*100,"")</f>
        <v>6.15489439018853</v>
      </c>
      <c r="AD105" s="12">
        <f>IF(AND(ISNUMBER(RU_Clean!AD105),ISNUMBER(RU_Clean!AD93)),(RU_Clean!AD105-RU_Clean!AD93)/RU_Clean!AD93*100,"")</f>
        <v>3.13499680102366</v>
      </c>
      <c r="AE105" s="12">
        <f>IF(AND(ISNUMBER(RU_Clean!AE105),ISNUMBER(RU_Clean!AE93)),(RU_Clean!AE105-RU_Clean!AE93)/RU_Clean!AE93*100,"")</f>
        <v>6.1106155218555</v>
      </c>
      <c r="AF105" s="12">
        <f>IF(AND(ISNUMBER(RU_Clean!AF105),ISNUMBER(RU_Clean!AF93)),(RU_Clean!AF105-RU_Clean!AF93)/RU_Clean!AF93*100,"")</f>
        <v>7.44632252169941</v>
      </c>
      <c r="AG105" s="12">
        <f>IF(AND(ISNUMBER(RU_Clean!AG105),ISNUMBER(RU_Clean!AG93)),(RU_Clean!AG105-RU_Clean!AG93)/RU_Clean!AG93*100,"")</f>
        <v>6.41309155241043</v>
      </c>
      <c r="AH105" s="12">
        <f>IF(AND(ISNUMBER(RU_Clean!AH105),ISNUMBER(RU_Clean!AH93)),(RU_Clean!AH105-RU_Clean!AH93)/RU_Clean!AH93*100,"")</f>
        <v>7.45856353591162</v>
      </c>
    </row>
    <row r="106" spans="1:34">
      <c r="A106" s="6">
        <f>RU_Clean!A106</f>
        <v>2021</v>
      </c>
      <c r="B106" s="6">
        <f>RU_Clean!B106</f>
        <v>6</v>
      </c>
      <c r="C106" s="6" t="str">
        <f>RU_Clean!C106</f>
        <v>June</v>
      </c>
      <c r="D106" s="9">
        <f>RU_Clean!D106</f>
        <v>44348</v>
      </c>
      <c r="E106" s="6"/>
      <c r="F106" s="6"/>
      <c r="G106" s="12">
        <f>IF(AND(ISNUMBER(RU_Clean!G106),ISNUMBER(RU_Clean!G94)),(RU_Clean!G106-RU_Clean!G94)/RU_Clean!G94*100,"")</f>
        <v>-1.9385026737968</v>
      </c>
      <c r="H106" s="12">
        <f>IF(AND(ISNUMBER(RU_Clean!H106),ISNUMBER(RU_Clean!H94)),(RU_Clean!H106-RU_Clean!H94)/RU_Clean!H94*100,"")</f>
        <v>4.82615464452517</v>
      </c>
      <c r="I106" s="12">
        <f>IF(AND(ISNUMBER(RU_Clean!I106),ISNUMBER(RU_Clean!I94)),(RU_Clean!I106-RU_Clean!I94)/RU_Clean!I94*100,"")</f>
        <v>19.3527080581242</v>
      </c>
      <c r="J106" s="12">
        <f>IF(AND(ISNUMBER(RU_Clean!J106),ISNUMBER(RU_Clean!J94)),(RU_Clean!J106-RU_Clean!J94)/RU_Clean!J94*100,"")</f>
        <v>1.89171559034571</v>
      </c>
      <c r="K106" s="12">
        <f>IF(AND(ISNUMBER(RU_Clean!K106),ISNUMBER(RU_Clean!K94)),(RU_Clean!K106-RU_Clean!K94)/RU_Clean!K94*100,"")</f>
        <v>34.7762289068232</v>
      </c>
      <c r="L106" s="12">
        <f>IF(AND(ISNUMBER(RU_Clean!L106),ISNUMBER(RU_Clean!L94)),(RU_Clean!L106-RU_Clean!L94)/RU_Clean!L94*100,"")</f>
        <v>11.820652173913</v>
      </c>
      <c r="M106" s="12">
        <f>IF(AND(ISNUMBER(RU_Clean!M106),ISNUMBER(RU_Clean!M94)),(RU_Clean!M106-RU_Clean!M94)/RU_Clean!M94*100,"")</f>
        <v>-0.702875399361019</v>
      </c>
      <c r="N106" s="12">
        <f>IF(AND(ISNUMBER(RU_Clean!N106),ISNUMBER(RU_Clean!N94)),(RU_Clean!N106-RU_Clean!N94)/RU_Clean!N94*100,"")</f>
        <v>10.0066269052353</v>
      </c>
      <c r="O106" s="12">
        <f>IF(AND(ISNUMBER(RU_Clean!O106),ISNUMBER(RU_Clean!O94)),(RU_Clean!O106-RU_Clean!O94)/RU_Clean!O94*100,"")</f>
        <v>0.788091068301218</v>
      </c>
      <c r="P106" s="12">
        <f>IF(AND(ISNUMBER(RU_Clean!P106),ISNUMBER(RU_Clean!P94)),(RU_Clean!P106-RU_Clean!P94)/RU_Clean!P94*100,"")</f>
        <v>5.64263322884013</v>
      </c>
      <c r="Q106" s="12">
        <f>IF(AND(ISNUMBER(RU_Clean!Q106),ISNUMBER(RU_Clean!Q94)),(RU_Clean!Q106-RU_Clean!Q94)/RU_Clean!Q94*100,"")</f>
        <v>14.7776183644189</v>
      </c>
      <c r="R106" s="12">
        <f>IF(AND(ISNUMBER(RU_Clean!R106),ISNUMBER(RU_Clean!R94)),(RU_Clean!R106-RU_Clean!R94)/RU_Clean!R94*100,"")</f>
        <v>6.55129789864029</v>
      </c>
      <c r="S106" s="12">
        <f>IF(AND(ISNUMBER(RU_Clean!S106),ISNUMBER(RU_Clean!S94)),(RU_Clean!S106-RU_Clean!S94)/RU_Clean!S94*100,"")</f>
        <v>5.58441558441558</v>
      </c>
      <c r="T106" s="12">
        <f>IF(AND(ISNUMBER(RU_Clean!T106),ISNUMBER(RU_Clean!T94)),(RU_Clean!T106-RU_Clean!T94)/RU_Clean!T94*100,"")</f>
        <v>3.97820163487739</v>
      </c>
      <c r="U106" s="12">
        <f>IF(AND(ISNUMBER(RU_Clean!U106),ISNUMBER(RU_Clean!U94)),(RU_Clean!U106-RU_Clean!U94)/RU_Clean!U94*100,"")</f>
        <v>6.36065573770491</v>
      </c>
      <c r="V106" s="12">
        <f>IF(AND(ISNUMBER(RU_Clean!V106),ISNUMBER(RU_Clean!V94)),(RU_Clean!V106-RU_Clean!V94)/RU_Clean!V94*100,"")</f>
        <v>5.12465373961219</v>
      </c>
      <c r="W106" s="12">
        <f>IF(AND(ISNUMBER(RU_Clean!W106),ISNUMBER(RU_Clean!W94)),(RU_Clean!W106-RU_Clean!W94)/RU_Clean!W94*100,"")</f>
        <v>6.14266842800527</v>
      </c>
      <c r="X106" s="12">
        <f>IF(AND(ISNUMBER(RU_Clean!X106),ISNUMBER(RU_Clean!X94)),(RU_Clean!X106-RU_Clean!X94)/RU_Clean!X94*100,"")</f>
        <v>3.74919198448611</v>
      </c>
      <c r="Y106" s="12">
        <f>IF(AND(ISNUMBER(RU_Clean!Y106),ISNUMBER(RU_Clean!Y94)),(RU_Clean!Y106-RU_Clean!Y94)/RU_Clean!Y94*100,"")</f>
        <v>12.6145172656801</v>
      </c>
      <c r="Z106" s="12">
        <f>IF(AND(ISNUMBER(RU_Clean!Z106),ISNUMBER(RU_Clean!Z94)),(RU_Clean!Z106-RU_Clean!Z94)/RU_Clean!Z94*100,"")</f>
        <v>5.73770491803279</v>
      </c>
      <c r="AA106" s="12">
        <f>IF(AND(ISNUMBER(RU_Clean!AA106),ISNUMBER(RU_Clean!AA94)),(RU_Clean!AA106-RU_Clean!AA94)/RU_Clean!AA94*100,"")</f>
        <v>7.70725388601037</v>
      </c>
      <c r="AB106" s="12">
        <f>IF(AND(ISNUMBER(RU_Clean!AB106),ISNUMBER(RU_Clean!AB94)),(RU_Clean!AB106-RU_Clean!AB94)/RU_Clean!AB94*100,"")</f>
        <v>11.6296296296296</v>
      </c>
      <c r="AC106" s="12">
        <f>IF(AND(ISNUMBER(RU_Clean!AC106),ISNUMBER(RU_Clean!AC94)),(RU_Clean!AC106-RU_Clean!AC94)/RU_Clean!AC94*100,"")</f>
        <v>4.45043830074174</v>
      </c>
      <c r="AD106" s="12">
        <f>IF(AND(ISNUMBER(RU_Clean!AD106),ISNUMBER(RU_Clean!AD94)),(RU_Clean!AD106-RU_Clean!AD94)/RU_Clean!AD94*100,"")</f>
        <v>3.38874680306904</v>
      </c>
      <c r="AE106" s="12">
        <f>IF(AND(ISNUMBER(RU_Clean!AE106),ISNUMBER(RU_Clean!AE94)),(RU_Clean!AE106-RU_Clean!AE94)/RU_Clean!AE94*100,"")</f>
        <v>4.74934036939315</v>
      </c>
      <c r="AF106" s="12">
        <f>IF(AND(ISNUMBER(RU_Clean!AF106),ISNUMBER(RU_Clean!AF94)),(RU_Clean!AF106-RU_Clean!AF94)/RU_Clean!AF94*100,"")</f>
        <v>7.21088435374149</v>
      </c>
      <c r="AG106" s="12">
        <f>IF(AND(ISNUMBER(RU_Clean!AG106),ISNUMBER(RU_Clean!AG94)),(RU_Clean!AG106-RU_Clean!AG94)/RU_Clean!AG94*100,"")</f>
        <v>6.25823451910408</v>
      </c>
      <c r="AH106" s="12">
        <f>IF(AND(ISNUMBER(RU_Clean!AH106),ISNUMBER(RU_Clean!AH94)),(RU_Clean!AH106-RU_Clean!AH94)/RU_Clean!AH94*100,"")</f>
        <v>8.74338040600175</v>
      </c>
    </row>
    <row r="107" spans="1:34">
      <c r="A107" s="6">
        <f>RU_Clean!A107</f>
        <v>2021</v>
      </c>
      <c r="B107" s="6">
        <f>RU_Clean!B107</f>
        <v>7</v>
      </c>
      <c r="C107" s="6" t="str">
        <f>RU_Clean!C107</f>
        <v>July</v>
      </c>
      <c r="D107" s="9">
        <f>RU_Clean!D107</f>
        <v>44378</v>
      </c>
      <c r="E107" s="6"/>
      <c r="F107" s="6"/>
      <c r="G107" s="12">
        <f>IF(AND(ISNUMBER(RU_Clean!G107),ISNUMBER(RU_Clean!G95)),(RU_Clean!G107-RU_Clean!G95)/RU_Clean!G95*100,"")</f>
        <v>-2.13903743315507</v>
      </c>
      <c r="H107" s="12">
        <f>IF(AND(ISNUMBER(RU_Clean!H107),ISNUMBER(RU_Clean!H95)),(RU_Clean!H107-RU_Clean!H95)/RU_Clean!H95*100,"")</f>
        <v>7.31707317073172</v>
      </c>
      <c r="I107" s="12">
        <f>IF(AND(ISNUMBER(RU_Clean!I107),ISNUMBER(RU_Clean!I95)),(RU_Clean!I107-RU_Clean!I95)/RU_Clean!I95*100,"")</f>
        <v>20.3434610303831</v>
      </c>
      <c r="J107" s="12">
        <f>IF(AND(ISNUMBER(RU_Clean!J107),ISNUMBER(RU_Clean!J95)),(RU_Clean!J107-RU_Clean!J95)/RU_Clean!J95*100,"")</f>
        <v>2.73972602739725</v>
      </c>
      <c r="K107" s="12">
        <f>IF(AND(ISNUMBER(RU_Clean!K107),ISNUMBER(RU_Clean!K95)),(RU_Clean!K107-RU_Clean!K95)/RU_Clean!K95*100,"")</f>
        <v>33.6023477622891</v>
      </c>
      <c r="L107" s="12">
        <f>IF(AND(ISNUMBER(RU_Clean!L107),ISNUMBER(RU_Clean!L95)),(RU_Clean!L107-RU_Clean!L95)/RU_Clean!L95*100,"")</f>
        <v>11.3451086956522</v>
      </c>
      <c r="M107" s="12">
        <f>IF(AND(ISNUMBER(RU_Clean!M107),ISNUMBER(RU_Clean!M95)),(RU_Clean!M107-RU_Clean!M95)/RU_Clean!M95*100,"")</f>
        <v>4.92012779552715</v>
      </c>
      <c r="N107" s="12">
        <f>IF(AND(ISNUMBER(RU_Clean!N107),ISNUMBER(RU_Clean!N95)),(RU_Clean!N107-RU_Clean!N95)/RU_Clean!N95*100,"")</f>
        <v>8.68124585818422</v>
      </c>
      <c r="O107" s="12">
        <f>IF(AND(ISNUMBER(RU_Clean!O107),ISNUMBER(RU_Clean!O95)),(RU_Clean!O107-RU_Clean!O95)/RU_Clean!O95*100,"")</f>
        <v>0.262697022767073</v>
      </c>
      <c r="P107" s="12">
        <f>IF(AND(ISNUMBER(RU_Clean!P107),ISNUMBER(RU_Clean!P95)),(RU_Clean!P107-RU_Clean!P95)/RU_Clean!P95*100,"")</f>
        <v>5.51724137931035</v>
      </c>
      <c r="Q107" s="12">
        <f>IF(AND(ISNUMBER(RU_Clean!Q107),ISNUMBER(RU_Clean!Q95)),(RU_Clean!Q107-RU_Clean!Q95)/RU_Clean!Q95*100,"")</f>
        <v>15.4232424677188</v>
      </c>
      <c r="R107" s="12">
        <f>IF(AND(ISNUMBER(RU_Clean!R107),ISNUMBER(RU_Clean!R95)),(RU_Clean!R107-RU_Clean!R95)/RU_Clean!R95*100,"")</f>
        <v>6.42768850432631</v>
      </c>
      <c r="S107" s="12">
        <f>IF(AND(ISNUMBER(RU_Clean!S107),ISNUMBER(RU_Clean!S95)),(RU_Clean!S107-RU_Clean!S95)/RU_Clean!S95*100,"")</f>
        <v>6.49350649350649</v>
      </c>
      <c r="T107" s="12">
        <f>IF(AND(ISNUMBER(RU_Clean!T107),ISNUMBER(RU_Clean!T95)),(RU_Clean!T107-RU_Clean!T95)/RU_Clean!T95*100,"")</f>
        <v>4.19618528610354</v>
      </c>
      <c r="U107" s="12">
        <f>IF(AND(ISNUMBER(RU_Clean!U107),ISNUMBER(RU_Clean!U95)),(RU_Clean!U107-RU_Clean!U95)/RU_Clean!U95*100,"")</f>
        <v>6.75409836065575</v>
      </c>
      <c r="V107" s="12">
        <f>IF(AND(ISNUMBER(RU_Clean!V107),ISNUMBER(RU_Clean!V95)),(RU_Clean!V107-RU_Clean!V95)/RU_Clean!V95*100,"")</f>
        <v>6.02493074792243</v>
      </c>
      <c r="W107" s="12">
        <f>IF(AND(ISNUMBER(RU_Clean!W107),ISNUMBER(RU_Clean!W95)),(RU_Clean!W107-RU_Clean!W95)/RU_Clean!W95*100,"")</f>
        <v>6.60501981505944</v>
      </c>
      <c r="X107" s="12">
        <f>IF(AND(ISNUMBER(RU_Clean!X107),ISNUMBER(RU_Clean!X95)),(RU_Clean!X107-RU_Clean!X95)/RU_Clean!X95*100,"")</f>
        <v>4.3956043956044</v>
      </c>
      <c r="Y107" s="12">
        <f>IF(AND(ISNUMBER(RU_Clean!Y107),ISNUMBER(RU_Clean!Y95)),(RU_Clean!Y107-RU_Clean!Y95)/RU_Clean!Y95*100,"")</f>
        <v>13.2487667371388</v>
      </c>
      <c r="Z107" s="12">
        <f>IF(AND(ISNUMBER(RU_Clean!Z107),ISNUMBER(RU_Clean!Z95)),(RU_Clean!Z107-RU_Clean!Z95)/RU_Clean!Z95*100,"")</f>
        <v>6.42076502732241</v>
      </c>
      <c r="AA107" s="12">
        <f>IF(AND(ISNUMBER(RU_Clean!AA107),ISNUMBER(RU_Clean!AA95)),(RU_Clean!AA107-RU_Clean!AA95)/RU_Clean!AA95*100,"")</f>
        <v>8.16062176165803</v>
      </c>
      <c r="AB107" s="12">
        <f>IF(AND(ISNUMBER(RU_Clean!AB107),ISNUMBER(RU_Clean!AB95)),(RU_Clean!AB107-RU_Clean!AB95)/RU_Clean!AB95*100,"")</f>
        <v>13.4074074074074</v>
      </c>
      <c r="AC107" s="12">
        <f>IF(AND(ISNUMBER(RU_Clean!AC107),ISNUMBER(RU_Clean!AC95)),(RU_Clean!AC107-RU_Clean!AC95)/RU_Clean!AC95*100,"")</f>
        <v>4.72016183412003</v>
      </c>
      <c r="AD107" s="12">
        <f>IF(AND(ISNUMBER(RU_Clean!AD107),ISNUMBER(RU_Clean!AD95)),(RU_Clean!AD107-RU_Clean!AD95)/RU_Clean!AD95*100,"")</f>
        <v>4.34782608695651</v>
      </c>
      <c r="AE107" s="12">
        <f>IF(AND(ISNUMBER(RU_Clean!AE107),ISNUMBER(RU_Clean!AE95)),(RU_Clean!AE107-RU_Clean!AE95)/RU_Clean!AE95*100,"")</f>
        <v>5.60686015831135</v>
      </c>
      <c r="AF107" s="12">
        <f>IF(AND(ISNUMBER(RU_Clean!AF107),ISNUMBER(RU_Clean!AF95)),(RU_Clean!AF107-RU_Clean!AF95)/RU_Clean!AF95*100,"")</f>
        <v>8.16326530612245</v>
      </c>
      <c r="AG107" s="12">
        <f>IF(AND(ISNUMBER(RU_Clean!AG107),ISNUMBER(RU_Clean!AG95)),(RU_Clean!AG107-RU_Clean!AG95)/RU_Clean!AG95*100,"")</f>
        <v>7.04874835309617</v>
      </c>
      <c r="AH107" s="12">
        <f>IF(AND(ISNUMBER(RU_Clean!AH107),ISNUMBER(RU_Clean!AH95)),(RU_Clean!AH107-RU_Clean!AH95)/RU_Clean!AH95*100,"")</f>
        <v>9.38879082082966</v>
      </c>
    </row>
    <row r="108" spans="1:34">
      <c r="A108" s="6">
        <f>RU_Clean!A108</f>
        <v>2021</v>
      </c>
      <c r="B108" s="6">
        <f>RU_Clean!B108</f>
        <v>8</v>
      </c>
      <c r="C108" s="6" t="str">
        <f>RU_Clean!C108</f>
        <v>August</v>
      </c>
      <c r="D108" s="9">
        <f>RU_Clean!D108</f>
        <v>44409</v>
      </c>
      <c r="E108" s="6"/>
      <c r="F108" s="6"/>
      <c r="G108" s="12">
        <f>IF(AND(ISNUMBER(RU_Clean!G108),ISNUMBER(RU_Clean!G96)),(RU_Clean!G108-RU_Clean!G96)/RU_Clean!G96*100,"")</f>
        <v>-1.54466084620551</v>
      </c>
      <c r="H108" s="12">
        <f>IF(AND(ISNUMBER(RU_Clean!H108),ISNUMBER(RU_Clean!H96)),(RU_Clean!H108-RU_Clean!H96)/RU_Clean!H96*100,"")</f>
        <v>6.86223153483499</v>
      </c>
      <c r="I108" s="12">
        <f>IF(AND(ISNUMBER(RU_Clean!I108),ISNUMBER(RU_Clean!I96)),(RU_Clean!I108-RU_Clean!I96)/RU_Clean!I96*100,"")</f>
        <v>14.5888594164456</v>
      </c>
      <c r="J108" s="12">
        <f>IF(AND(ISNUMBER(RU_Clean!J108),ISNUMBER(RU_Clean!J96)),(RU_Clean!J108-RU_Clean!J96)/RU_Clean!J96*100,"")</f>
        <v>3.32681017612524</v>
      </c>
      <c r="K108" s="12">
        <f>IF(AND(ISNUMBER(RU_Clean!K108),ISNUMBER(RU_Clean!K96)),(RU_Clean!K108-RU_Clean!K96)/RU_Clean!K96*100,"")</f>
        <v>36.8267831149927</v>
      </c>
      <c r="L108" s="12">
        <f>IF(AND(ISNUMBER(RU_Clean!L108),ISNUMBER(RU_Clean!L96)),(RU_Clean!L108-RU_Clean!L96)/RU_Clean!L96*100,"")</f>
        <v>4.25531914893617</v>
      </c>
      <c r="M108" s="12">
        <f>IF(AND(ISNUMBER(RU_Clean!M108),ISNUMBER(RU_Clean!M96)),(RU_Clean!M108-RU_Clean!M96)/RU_Clean!M96*100,"")</f>
        <v>-8.92756878158338</v>
      </c>
      <c r="N108" s="12">
        <f>IF(AND(ISNUMBER(RU_Clean!N108),ISNUMBER(RU_Clean!N96)),(RU_Clean!N108-RU_Clean!N96)/RU_Clean!N96*100,"")</f>
        <v>9.10904255319148</v>
      </c>
      <c r="O108" s="12">
        <f>IF(AND(ISNUMBER(RU_Clean!O108),ISNUMBER(RU_Clean!O96)),(RU_Clean!O108-RU_Clean!O96)/RU_Clean!O96*100,"")</f>
        <v>3.99652476107733</v>
      </c>
      <c r="P108" s="12">
        <f>IF(AND(ISNUMBER(RU_Clean!P108),ISNUMBER(RU_Clean!P96)),(RU_Clean!P108-RU_Clean!P96)/RU_Clean!P96*100,"")</f>
        <v>5.50000000000001</v>
      </c>
      <c r="Q108" s="12">
        <f>IF(AND(ISNUMBER(RU_Clean!Q108),ISNUMBER(RU_Clean!Q96)),(RU_Clean!Q108-RU_Clean!Q96)/RU_Clean!Q96*100,"")</f>
        <v>15.7183499288762</v>
      </c>
      <c r="R108" s="12">
        <f>IF(AND(ISNUMBER(RU_Clean!R108),ISNUMBER(RU_Clean!R96)),(RU_Clean!R108-RU_Clean!R96)/RU_Clean!R96*100,"")</f>
        <v>7.14725816389402</v>
      </c>
      <c r="S108" s="12">
        <f>IF(AND(ISNUMBER(RU_Clean!S108),ISNUMBER(RU_Clean!S96)),(RU_Clean!S108-RU_Clean!S96)/RU_Clean!S96*100,"")</f>
        <v>4.45859872611465</v>
      </c>
      <c r="T108" s="12">
        <f>IF(AND(ISNUMBER(RU_Clean!T108),ISNUMBER(RU_Clean!T96)),(RU_Clean!T108-RU_Clean!T96)/RU_Clean!T96*100,"")</f>
        <v>5.2026286966046</v>
      </c>
      <c r="U108" s="12">
        <f>IF(AND(ISNUMBER(RU_Clean!U108),ISNUMBER(RU_Clean!U96)),(RU_Clean!U108-RU_Clean!U96)/RU_Clean!U96*100,"")</f>
        <v>7.44611365120836</v>
      </c>
      <c r="V108" s="12">
        <f>IF(AND(ISNUMBER(RU_Clean!V108),ISNUMBER(RU_Clean!V96)),(RU_Clean!V108-RU_Clean!V96)/RU_Clean!V96*100,"")</f>
        <v>8.29846582984659</v>
      </c>
      <c r="W108" s="12">
        <f>IF(AND(ISNUMBER(RU_Clean!W108),ISNUMBER(RU_Clean!W96)),(RU_Clean!W108-RU_Clean!W96)/RU_Clean!W96*100,"")</f>
        <v>7.58075148319051</v>
      </c>
      <c r="X108" s="12">
        <f>IF(AND(ISNUMBER(RU_Clean!X108),ISNUMBER(RU_Clean!X96)),(RU_Clean!X108-RU_Clean!X96)/RU_Clean!X96*100,"")</f>
        <v>4.24437299035369</v>
      </c>
      <c r="Y108" s="12">
        <f>IF(AND(ISNUMBER(RU_Clean!Y108),ISNUMBER(RU_Clean!Y96)),(RU_Clean!Y108-RU_Clean!Y96)/RU_Clean!Y96*100,"")</f>
        <v>13.7062937062937</v>
      </c>
      <c r="Z108" s="12">
        <f>IF(AND(ISNUMBER(RU_Clean!Z108),ISNUMBER(RU_Clean!Z96)),(RU_Clean!Z108-RU_Clean!Z96)/RU_Clean!Z96*100,"")</f>
        <v>6.13207547169811</v>
      </c>
      <c r="AA108" s="12">
        <f>IF(AND(ISNUMBER(RU_Clean!AA108),ISNUMBER(RU_Clean!AA96)),(RU_Clean!AA108-RU_Clean!AA96)/RU_Clean!AA96*100,"")</f>
        <v>8.64516129032258</v>
      </c>
      <c r="AB108" s="12">
        <f>IF(AND(ISNUMBER(RU_Clean!AB108),ISNUMBER(RU_Clean!AB96)),(RU_Clean!AB108-RU_Clean!AB96)/RU_Clean!AB96*100,"")</f>
        <v>11.1913357400722</v>
      </c>
      <c r="AC108" s="12">
        <f>IF(AND(ISNUMBER(RU_Clean!AC108),ISNUMBER(RU_Clean!AC96)),(RU_Clean!AC108-RU_Clean!AC96)/RU_Clean!AC96*100,"")</f>
        <v>7.94520547945205</v>
      </c>
      <c r="AD108" s="12">
        <f>IF(AND(ISNUMBER(RU_Clean!AD108),ISNUMBER(RU_Clean!AD96)),(RU_Clean!AD108-RU_Clean!AD96)/RU_Clean!AD96*100,"")</f>
        <v>3.34384858044165</v>
      </c>
      <c r="AE108" s="12">
        <f>IF(AND(ISNUMBER(RU_Clean!AE108),ISNUMBER(RU_Clean!AE96)),(RU_Clean!AE108-RU_Clean!AE96)/RU_Clean!AE96*100,"")</f>
        <v>3.69410239792611</v>
      </c>
      <c r="AF108" s="12">
        <f>IF(AND(ISNUMBER(RU_Clean!AF108),ISNUMBER(RU_Clean!AF96)),(RU_Clean!AF108-RU_Clean!AF96)/RU_Clean!AF96*100,"")</f>
        <v>7.38255033557047</v>
      </c>
      <c r="AG108" s="12">
        <f>IF(AND(ISNUMBER(RU_Clean!AG108),ISNUMBER(RU_Clean!AG96)),(RU_Clean!AG108-RU_Clean!AG96)/RU_Clean!AG96*100,"")</f>
        <v>6.0428849902534</v>
      </c>
      <c r="AH108" s="12">
        <f>IF(AND(ISNUMBER(RU_Clean!AH108),ISNUMBER(RU_Clean!AH96)),(RU_Clean!AH108-RU_Clean!AH96)/RU_Clean!AH96*100,"")</f>
        <v>7.60526602110763</v>
      </c>
    </row>
    <row r="109" spans="1:34">
      <c r="A109" s="6">
        <f>RU_Clean!A109</f>
        <v>2021</v>
      </c>
      <c r="B109" s="6">
        <f>RU_Clean!B109</f>
        <v>9</v>
      </c>
      <c r="C109" s="6" t="str">
        <f>RU_Clean!C109</f>
        <v>September</v>
      </c>
      <c r="D109" s="9">
        <f>RU_Clean!D109</f>
        <v>44440</v>
      </c>
      <c r="E109" s="6"/>
      <c r="F109" s="6"/>
      <c r="G109" s="12">
        <f>IF(AND(ISNUMBER(RU_Clean!G109),ISNUMBER(RU_Clean!G97)),(RU_Clean!G109-RU_Clean!G97)/RU_Clean!G97*100,"")</f>
        <v>-1.21293800539084</v>
      </c>
      <c r="H109" s="12">
        <f>IF(AND(ISNUMBER(RU_Clean!H109),ISNUMBER(RU_Clean!H97)),(RU_Clean!H109-RU_Clean!H97)/RU_Clean!H97*100,"")</f>
        <v>9.03260288615714</v>
      </c>
      <c r="I109" s="12">
        <f>IF(AND(ISNUMBER(RU_Clean!I109),ISNUMBER(RU_Clean!I97)),(RU_Clean!I109-RU_Clean!I97)/RU_Clean!I97*100,"")</f>
        <v>13.3114754098361</v>
      </c>
      <c r="J109" s="12">
        <f>IF(AND(ISNUMBER(RU_Clean!J109),ISNUMBER(RU_Clean!J97)),(RU_Clean!J109-RU_Clean!J97)/RU_Clean!J97*100,"")</f>
        <v>3.12500000000001</v>
      </c>
      <c r="K109" s="12">
        <f>IF(AND(ISNUMBER(RU_Clean!K109),ISNUMBER(RU_Clean!K97)),(RU_Clean!K109-RU_Clean!K97)/RU_Clean!K97*100,"")</f>
        <v>36.0347322720695</v>
      </c>
      <c r="L109" s="12">
        <f>IF(AND(ISNUMBER(RU_Clean!L109),ISNUMBER(RU_Clean!L97)),(RU_Clean!L109-RU_Clean!L97)/RU_Clean!L97*100,"")</f>
        <v>3.84360503644797</v>
      </c>
      <c r="M109" s="12">
        <f>IF(AND(ISNUMBER(RU_Clean!M109),ISNUMBER(RU_Clean!M97)),(RU_Clean!M109-RU_Clean!M97)/RU_Clean!M97*100,"")</f>
        <v>-13.0690948044992</v>
      </c>
      <c r="N109" s="12">
        <f>IF(AND(ISNUMBER(RU_Clean!N109),ISNUMBER(RU_Clean!N97)),(RU_Clean!N109-RU_Clean!N97)/RU_Clean!N97*100,"")</f>
        <v>9.54606141522028</v>
      </c>
      <c r="O109" s="12">
        <f>IF(AND(ISNUMBER(RU_Clean!O109),ISNUMBER(RU_Clean!O97)),(RU_Clean!O109-RU_Clean!O97)/RU_Clean!O97*100,"")</f>
        <v>2.83505154639175</v>
      </c>
      <c r="P109" s="12">
        <f>IF(AND(ISNUMBER(RU_Clean!P109),ISNUMBER(RU_Clean!P97)),(RU_Clean!P109-RU_Clean!P97)/RU_Clean!P97*100,"")</f>
        <v>5.30255770430443</v>
      </c>
      <c r="Q109" s="12">
        <f>IF(AND(ISNUMBER(RU_Clean!Q109),ISNUMBER(RU_Clean!Q97)),(RU_Clean!Q109-RU_Clean!Q97)/RU_Clean!Q97*100,"")</f>
        <v>14.4163150492264</v>
      </c>
      <c r="R109" s="12">
        <f>IF(AND(ISNUMBER(RU_Clean!R109),ISNUMBER(RU_Clean!R97)),(RU_Clean!R109-RU_Clean!R97)/RU_Clean!R97*100,"")</f>
        <v>6.75260896255371</v>
      </c>
      <c r="S109" s="12">
        <f>IF(AND(ISNUMBER(RU_Clean!S109),ISNUMBER(RU_Clean!S97)),(RU_Clean!S109-RU_Clean!S97)/RU_Clean!S97*100,"")</f>
        <v>3.79746835443038</v>
      </c>
      <c r="T109" s="12">
        <f>IF(AND(ISNUMBER(RU_Clean!T109),ISNUMBER(RU_Clean!T97)),(RU_Clean!T109-RU_Clean!T97)/RU_Clean!T97*100,"")</f>
        <v>4.17570498915401</v>
      </c>
      <c r="U109" s="12">
        <f>IF(AND(ISNUMBER(RU_Clean!U109),ISNUMBER(RU_Clean!U97)),(RU_Clean!U109-RU_Clean!U97)/RU_Clean!U97*100,"")</f>
        <v>7.30117340286831</v>
      </c>
      <c r="V109" s="12">
        <f>IF(AND(ISNUMBER(RU_Clean!V109),ISNUMBER(RU_Clean!V97)),(RU_Clean!V109-RU_Clean!V97)/RU_Clean!V97*100,"")</f>
        <v>7.62300762300762</v>
      </c>
      <c r="W109" s="12">
        <f>IF(AND(ISNUMBER(RU_Clean!W109),ISNUMBER(RU_Clean!W97)),(RU_Clean!W109-RU_Clean!W97)/RU_Clean!W97*100,"")</f>
        <v>7.4342105263158</v>
      </c>
      <c r="X109" s="12">
        <f>IF(AND(ISNUMBER(RU_Clean!X109),ISNUMBER(RU_Clean!X97)),(RU_Clean!X109-RU_Clean!X97)/RU_Clean!X97*100,"")</f>
        <v>3.71081253998719</v>
      </c>
      <c r="Y109" s="12">
        <f>IF(AND(ISNUMBER(RU_Clean!Y109),ISNUMBER(RU_Clean!Y97)),(RU_Clean!Y109-RU_Clean!Y97)/RU_Clean!Y97*100,"")</f>
        <v>13.7858642407278</v>
      </c>
      <c r="Z109" s="12">
        <f>IF(AND(ISNUMBER(RU_Clean!Z109),ISNUMBER(RU_Clean!Z97)),(RU_Clean!Z109-RU_Clean!Z97)/RU_Clean!Z97*100,"")</f>
        <v>5.91795561533289</v>
      </c>
      <c r="AA109" s="12">
        <f>IF(AND(ISNUMBER(RU_Clean!AA109),ISNUMBER(RU_Clean!AA97)),(RU_Clean!AA109-RU_Clean!AA97)/RU_Clean!AA97*100,"")</f>
        <v>8.22622107969153</v>
      </c>
      <c r="AB109" s="12">
        <f>IF(AND(ISNUMBER(RU_Clean!AB109),ISNUMBER(RU_Clean!AB97)),(RU_Clean!AB109-RU_Clean!AB97)/RU_Clean!AB97*100,"")</f>
        <v>10.3151862464183</v>
      </c>
      <c r="AC109" s="12">
        <f>IF(AND(ISNUMBER(RU_Clean!AC109),ISNUMBER(RU_Clean!AC97)),(RU_Clean!AC109-RU_Clean!AC97)/RU_Clean!AC97*100,"")</f>
        <v>7.57162346521146</v>
      </c>
      <c r="AD109" s="12">
        <f>IF(AND(ISNUMBER(RU_Clean!AD109),ISNUMBER(RU_Clean!AD97)),(RU_Clean!AD109-RU_Clean!AD97)/RU_Clean!AD97*100,"")</f>
        <v>3.93650793650793</v>
      </c>
      <c r="AE109" s="12">
        <f>IF(AND(ISNUMBER(RU_Clean!AE109),ISNUMBER(RU_Clean!AE97)),(RU_Clean!AE109-RU_Clean!AE97)/RU_Clean!AE97*100,"")</f>
        <v>1.01010101010101</v>
      </c>
      <c r="AF109" s="12">
        <f>IF(AND(ISNUMBER(RU_Clean!AF109),ISNUMBER(RU_Clean!AF97)),(RU_Clean!AF109-RU_Clean!AF97)/RU_Clean!AF97*100,"")</f>
        <v>6.66666666666667</v>
      </c>
      <c r="AG109" s="12">
        <f>IF(AND(ISNUMBER(RU_Clean!AG109),ISNUMBER(RU_Clean!AG97)),(RU_Clean!AG109-RU_Clean!AG97)/RU_Clean!AG97*100,"")</f>
        <v>5.4945054945055</v>
      </c>
      <c r="AH109" s="12">
        <f>IF(AND(ISNUMBER(RU_Clean!AH109),ISNUMBER(RU_Clean!AH97)),(RU_Clean!AH109-RU_Clean!AH97)/RU_Clean!AH97*100,"")</f>
        <v>6.97674418604651</v>
      </c>
    </row>
    <row r="110" spans="1:34">
      <c r="A110" s="6">
        <f>RU_Clean!A110</f>
        <v>2021</v>
      </c>
      <c r="B110" s="6">
        <f>RU_Clean!B110</f>
        <v>10</v>
      </c>
      <c r="C110" s="6" t="str">
        <f>RU_Clean!C110</f>
        <v>October</v>
      </c>
      <c r="D110" s="9">
        <f>RU_Clean!D110</f>
        <v>44470</v>
      </c>
      <c r="E110" s="6"/>
      <c r="F110" s="6"/>
      <c r="G110" s="12">
        <f>IF(AND(ISNUMBER(RU_Clean!G110),ISNUMBER(RU_Clean!G98)),(RU_Clean!G110-RU_Clean!G98)/RU_Clean!G98*100,"")</f>
        <v>-0.0677966101694877</v>
      </c>
      <c r="H110" s="12">
        <f>IF(AND(ISNUMBER(RU_Clean!H110),ISNUMBER(RU_Clean!H98)),(RU_Clean!H110-RU_Clean!H98)/RU_Clean!H98*100,"")</f>
        <v>8.31127580730545</v>
      </c>
      <c r="I110" s="12">
        <f>IF(AND(ISNUMBER(RU_Clean!I110),ISNUMBER(RU_Clean!I98)),(RU_Clean!I110-RU_Clean!I98)/RU_Clean!I98*100,"")</f>
        <v>6.0718711276332</v>
      </c>
      <c r="J110" s="12">
        <f>IF(AND(ISNUMBER(RU_Clean!J110),ISNUMBER(RU_Clean!J98)),(RU_Clean!J110-RU_Clean!J98)/RU_Clean!J98*100,"")</f>
        <v>3.3203125</v>
      </c>
      <c r="K110" s="12">
        <f>IF(AND(ISNUMBER(RU_Clean!K110),ISNUMBER(RU_Clean!K98)),(RU_Clean!K110-RU_Clean!K98)/RU_Clean!K98*100,"")</f>
        <v>36.04568165596</v>
      </c>
      <c r="L110" s="12">
        <f>IF(AND(ISNUMBER(RU_Clean!L110),ISNUMBER(RU_Clean!L98)),(RU_Clean!L110-RU_Clean!L98)/RU_Clean!L98*100,"")</f>
        <v>2.97619047619048</v>
      </c>
      <c r="M110" s="12">
        <f>IF(AND(ISNUMBER(RU_Clean!M110),ISNUMBER(RU_Clean!M98)),(RU_Clean!M110-RU_Clean!M98)/RU_Clean!M98*100,"")</f>
        <v>-11.4244741873805</v>
      </c>
      <c r="N110" s="12">
        <f>IF(AND(ISNUMBER(RU_Clean!N110),ISNUMBER(RU_Clean!N98)),(RU_Clean!N110-RU_Clean!N98)/RU_Clean!N98*100,"")</f>
        <v>9.47647448641483</v>
      </c>
      <c r="O110" s="12">
        <f>IF(AND(ISNUMBER(RU_Clean!O110),ISNUMBER(RU_Clean!O98)),(RU_Clean!O110-RU_Clean!O98)/RU_Clean!O98*100,"")</f>
        <v>4.9053356282272</v>
      </c>
      <c r="P110" s="12">
        <f>IF(AND(ISNUMBER(RU_Clean!P110),ISNUMBER(RU_Clean!P98)),(RU_Clean!P110-RU_Clean!P98)/RU_Clean!P98*100,"")</f>
        <v>5.1552795031056</v>
      </c>
      <c r="Q110" s="12">
        <f>IF(AND(ISNUMBER(RU_Clean!Q110),ISNUMBER(RU_Clean!Q98)),(RU_Clean!Q110-RU_Clean!Q98)/RU_Clean!Q98*100,"")</f>
        <v>13.3333333333333</v>
      </c>
      <c r="R110" s="12">
        <f>IF(AND(ISNUMBER(RU_Clean!R110),ISNUMBER(RU_Clean!R98)),(RU_Clean!R110-RU_Clean!R98)/RU_Clean!R98*100,"")</f>
        <v>7.04656862745098</v>
      </c>
      <c r="S110" s="12">
        <f>IF(AND(ISNUMBER(RU_Clean!S110),ISNUMBER(RU_Clean!S98)),(RU_Clean!S110-RU_Clean!S98)/RU_Clean!S98*100,"")</f>
        <v>3.90334572490705</v>
      </c>
      <c r="T110" s="12">
        <f>IF(AND(ISNUMBER(RU_Clean!T110),ISNUMBER(RU_Clean!T98)),(RU_Clean!T110-RU_Clean!T98)/RU_Clean!T98*100,"")</f>
        <v>4.55778621812261</v>
      </c>
      <c r="U110" s="12">
        <f>IF(AND(ISNUMBER(RU_Clean!U110),ISNUMBER(RU_Clean!U98)),(RU_Clean!U110-RU_Clean!U98)/RU_Clean!U98*100,"")</f>
        <v>7.80741704619388</v>
      </c>
      <c r="V110" s="12">
        <f>IF(AND(ISNUMBER(RU_Clean!V110),ISNUMBER(RU_Clean!V98)),(RU_Clean!V110-RU_Clean!V98)/RU_Clean!V98*100,"")</f>
        <v>8.09128630705395</v>
      </c>
      <c r="W110" s="12">
        <f>IF(AND(ISNUMBER(RU_Clean!W110),ISNUMBER(RU_Clean!W98)),(RU_Clean!W110-RU_Clean!W98)/RU_Clean!W98*100,"")</f>
        <v>7.87918581746553</v>
      </c>
      <c r="X110" s="12">
        <f>IF(AND(ISNUMBER(RU_Clean!X110),ISNUMBER(RU_Clean!X98)),(RU_Clean!X110-RU_Clean!X98)/RU_Clean!X98*100,"")</f>
        <v>4.5367412140575</v>
      </c>
      <c r="Y110" s="12">
        <f>IF(AND(ISNUMBER(RU_Clean!Y110),ISNUMBER(RU_Clean!Y98)),(RU_Clean!Y110-RU_Clean!Y98)/RU_Clean!Y98*100,"")</f>
        <v>14.7449336128581</v>
      </c>
      <c r="Z110" s="12">
        <f>IF(AND(ISNUMBER(RU_Clean!Z110),ISNUMBER(RU_Clean!Z98)),(RU_Clean!Z110-RU_Clean!Z98)/RU_Clean!Z98*100,"")</f>
        <v>6.52320107599194</v>
      </c>
      <c r="AA110" s="12">
        <f>IF(AND(ISNUMBER(RU_Clean!AA110),ISNUMBER(RU_Clean!AA98)),(RU_Clean!AA110-RU_Clean!AA98)/RU_Clean!AA98*100,"")</f>
        <v>8.18937939859244</v>
      </c>
      <c r="AB110" s="12">
        <f>IF(AND(ISNUMBER(RU_Clean!AB110),ISNUMBER(RU_Clean!AB98)),(RU_Clean!AB110-RU_Clean!AB98)/RU_Clean!AB98*100,"")</f>
        <v>10.7396870554765</v>
      </c>
      <c r="AC110" s="12">
        <f>IF(AND(ISNUMBER(RU_Clean!AC110),ISNUMBER(RU_Clean!AC98)),(RU_Clean!AC110-RU_Clean!AC98)/RU_Clean!AC98*100,"")</f>
        <v>8.25938566552901</v>
      </c>
      <c r="AD110" s="12">
        <f>IF(AND(ISNUMBER(RU_Clean!AD110),ISNUMBER(RU_Clean!AD98)),(RU_Clean!AD110-RU_Clean!AD98)/RU_Clean!AD98*100,"")</f>
        <v>3.40694006309149</v>
      </c>
      <c r="AE110" s="12">
        <f>IF(AND(ISNUMBER(RU_Clean!AE110),ISNUMBER(RU_Clean!AE98)),(RU_Clean!AE110-RU_Clean!AE98)/RU_Clean!AE98*100,"")</f>
        <v>2.4203821656051</v>
      </c>
      <c r="AF110" s="12">
        <f>IF(AND(ISNUMBER(RU_Clean!AF110),ISNUMBER(RU_Clean!AF98)),(RU_Clean!AF110-RU_Clean!AF98)/RU_Clean!AF98*100,"")</f>
        <v>7.04787234042553</v>
      </c>
      <c r="AG110" s="12">
        <f>IF(AND(ISNUMBER(RU_Clean!AG110),ISNUMBER(RU_Clean!AG98)),(RU_Clean!AG110-RU_Clean!AG98)/RU_Clean!AG98*100,"")</f>
        <v>5.81841432225064</v>
      </c>
      <c r="AH110" s="12">
        <f>IF(AND(ISNUMBER(RU_Clean!AH110),ISNUMBER(RU_Clean!AH98)),(RU_Clean!AH110-RU_Clean!AH98)/RU_Clean!AH98*100,"")</f>
        <v>6.39041966935141</v>
      </c>
    </row>
    <row r="111" spans="1:34">
      <c r="A111" s="6">
        <f>RU_Clean!A111</f>
        <v>2021</v>
      </c>
      <c r="B111" s="6">
        <f>RU_Clean!B111</f>
        <v>11</v>
      </c>
      <c r="C111" s="6" t="str">
        <f>RU_Clean!C111</f>
        <v>November</v>
      </c>
      <c r="D111" s="9">
        <f>RU_Clean!D111</f>
        <v>44501</v>
      </c>
      <c r="E111" s="6"/>
      <c r="F111" s="6"/>
      <c r="G111" s="12">
        <f>IF(AND(ISNUMBER(RU_Clean!G111),ISNUMBER(RU_Clean!G99)),(RU_Clean!G111-RU_Clean!G99)/RU_Clean!G99*100,"")</f>
        <v>0.953678474114426</v>
      </c>
      <c r="H111" s="12">
        <f>IF(AND(ISNUMBER(RU_Clean!H111),ISNUMBER(RU_Clean!H99)),(RU_Clean!H111-RU_Clean!H99)/RU_Clean!H99*100,"")</f>
        <v>5.54973821989529</v>
      </c>
      <c r="I111" s="12">
        <f>IF(AND(ISNUMBER(RU_Clean!I111),ISNUMBER(RU_Clean!I99)),(RU_Clean!I111-RU_Clean!I99)/RU_Clean!I99*100,"")</f>
        <v>-0.345622119815665</v>
      </c>
      <c r="J111" s="12">
        <f>IF(AND(ISNUMBER(RU_Clean!J111),ISNUMBER(RU_Clean!J99)),(RU_Clean!J111-RU_Clean!J99)/RU_Clean!J99*100,"")</f>
        <v>3.57607282184655</v>
      </c>
      <c r="K111" s="12">
        <f>IF(AND(ISNUMBER(RU_Clean!K111),ISNUMBER(RU_Clean!K99)),(RU_Clean!K111-RU_Clean!K99)/RU_Clean!K99*100,"")</f>
        <v>33.2165381920112</v>
      </c>
      <c r="L111" s="12">
        <f>IF(AND(ISNUMBER(RU_Clean!L111),ISNUMBER(RU_Clean!L99)),(RU_Clean!L111-RU_Clean!L99)/RU_Clean!L99*100,"")</f>
        <v>5.45822102425876</v>
      </c>
      <c r="M111" s="12">
        <f>IF(AND(ISNUMBER(RU_Clean!M111),ISNUMBER(RU_Clean!M99)),(RU_Clean!M111-RU_Clean!M99)/RU_Clean!M99*100,"")</f>
        <v>-13.3913043478261</v>
      </c>
      <c r="N111" s="12">
        <f>IF(AND(ISNUMBER(RU_Clean!N111),ISNUMBER(RU_Clean!N99)),(RU_Clean!N111-RU_Clean!N99)/RU_Clean!N99*100,"")</f>
        <v>5.42091836734694</v>
      </c>
      <c r="O111" s="12">
        <f>IF(AND(ISNUMBER(RU_Clean!O111),ISNUMBER(RU_Clean!O99)),(RU_Clean!O111-RU_Clean!O99)/RU_Clean!O99*100,"")</f>
        <v>5.79083837510804</v>
      </c>
      <c r="P111" s="12">
        <f>IF(AND(ISNUMBER(RU_Clean!P111),ISNUMBER(RU_Clean!P99)),(RU_Clean!P111-RU_Clean!P99)/RU_Clean!P99*100,"")</f>
        <v>4.82076637824474</v>
      </c>
      <c r="Q111" s="12">
        <f>IF(AND(ISNUMBER(RU_Clean!Q111),ISNUMBER(RU_Clean!Q99)),(RU_Clean!Q111-RU_Clean!Q99)/RU_Clean!Q99*100,"")</f>
        <v>11.740614334471</v>
      </c>
      <c r="R111" s="12">
        <f>IF(AND(ISNUMBER(RU_Clean!R111),ISNUMBER(RU_Clean!R99)),(RU_Clean!R111-RU_Clean!R99)/RU_Clean!R99*100,"")</f>
        <v>7.14285714285714</v>
      </c>
      <c r="S111" s="12">
        <f>IF(AND(ISNUMBER(RU_Clean!S111),ISNUMBER(RU_Clean!S99)),(RU_Clean!S111-RU_Clean!S99)/RU_Clean!S99*100,"")</f>
        <v>3.03582270795386</v>
      </c>
      <c r="T111" s="12">
        <f>IF(AND(ISNUMBER(RU_Clean!T111),ISNUMBER(RU_Clean!T99)),(RU_Clean!T111-RU_Clean!T99)/RU_Clean!T99*100,"")</f>
        <v>4.38311688311688</v>
      </c>
      <c r="U111" s="12">
        <f>IF(AND(ISNUMBER(RU_Clean!U111),ISNUMBER(RU_Clean!U99)),(RU_Clean!U111-RU_Clean!U99)/RU_Clean!U99*100,"")</f>
        <v>8.36033700583278</v>
      </c>
      <c r="V111" s="12">
        <f>IF(AND(ISNUMBER(RU_Clean!V111),ISNUMBER(RU_Clean!V99)),(RU_Clean!V111-RU_Clean!V99)/RU_Clean!V99*100,"")</f>
        <v>8.62663906142167</v>
      </c>
      <c r="W111" s="12">
        <f>IF(AND(ISNUMBER(RU_Clean!W111),ISNUMBER(RU_Clean!W99)),(RU_Clean!W111-RU_Clean!W99)/RU_Clean!W99*100,"")</f>
        <v>8.50785340314136</v>
      </c>
      <c r="X111" s="12">
        <f>IF(AND(ISNUMBER(RU_Clean!X111),ISNUMBER(RU_Clean!X99)),(RU_Clean!X111-RU_Clean!X99)/RU_Clean!X99*100,"")</f>
        <v>3.92405063291138</v>
      </c>
      <c r="Y111" s="12">
        <f>IF(AND(ISNUMBER(RU_Clean!Y111),ISNUMBER(RU_Clean!Y99)),(RU_Clean!Y111-RU_Clean!Y99)/RU_Clean!Y99*100,"")</f>
        <v>14.1364902506964</v>
      </c>
      <c r="Z111" s="12">
        <f>IF(AND(ISNUMBER(RU_Clean!Z111),ISNUMBER(RU_Clean!Z99)),(RU_Clean!Z111-RU_Clean!Z99)/RU_Clean!Z99*100,"")</f>
        <v>6.76943699731905</v>
      </c>
      <c r="AA111" s="12">
        <f>IF(AND(ISNUMBER(RU_Clean!AA111),ISNUMBER(RU_Clean!AA99)),(RU_Clean!AA111-RU_Clean!AA99)/RU_Clean!AA99*100,"")</f>
        <v>8.07888040712469</v>
      </c>
      <c r="AB111" s="12">
        <f>IF(AND(ISNUMBER(RU_Clean!AB111),ISNUMBER(RU_Clean!AB99)),(RU_Clean!AB111-RU_Clean!AB99)/RU_Clean!AB99*100,"")</f>
        <v>10.2564102564103</v>
      </c>
      <c r="AC111" s="12">
        <f>IF(AND(ISNUMBER(RU_Clean!AC111),ISNUMBER(RU_Clean!AC99)),(RU_Clean!AC111-RU_Clean!AC99)/RU_Clean!AC99*100,"")</f>
        <v>7.68194070080863</v>
      </c>
      <c r="AD111" s="12">
        <f>IF(AND(ISNUMBER(RU_Clean!AD111),ISNUMBER(RU_Clean!AD99)),(RU_Clean!AD111-RU_Clean!AD99)/RU_Clean!AD99*100,"")</f>
        <v>3.59394703657</v>
      </c>
      <c r="AE111" s="12">
        <f>IF(AND(ISNUMBER(RU_Clean!AE111),ISNUMBER(RU_Clean!AE99)),(RU_Clean!AE111-RU_Clean!AE99)/RU_Clean!AE99*100,"")</f>
        <v>3.37794773741235</v>
      </c>
      <c r="AF111" s="12">
        <f>IF(AND(ISNUMBER(RU_Clean!AF111),ISNUMBER(RU_Clean!AF99)),(RU_Clean!AF111-RU_Clean!AF99)/RU_Clean!AF99*100,"")</f>
        <v>7.100199071002</v>
      </c>
      <c r="AG111" s="12">
        <f>IF(AND(ISNUMBER(RU_Clean!AG111),ISNUMBER(RU_Clean!AG99)),(RU_Clean!AG111-RU_Clean!AG99)/RU_Clean!AG99*100,"")</f>
        <v>5.23989898989898</v>
      </c>
      <c r="AH111" s="12">
        <f>IF(AND(ISNUMBER(RU_Clean!AH111),ISNUMBER(RU_Clean!AH99)),(RU_Clean!AH111-RU_Clean!AH99)/RU_Clean!AH99*100,"")</f>
        <v>4.84230151742709</v>
      </c>
    </row>
    <row r="112" spans="1:34">
      <c r="A112" s="6">
        <f>RU_Clean!A112</f>
        <v>2021</v>
      </c>
      <c r="B112" s="6">
        <f>RU_Clean!B112</f>
        <v>12</v>
      </c>
      <c r="C112" s="6" t="str">
        <f>RU_Clean!C112</f>
        <v>December</v>
      </c>
      <c r="D112" s="9">
        <f>RU_Clean!D112</f>
        <v>44531</v>
      </c>
      <c r="E112" s="6"/>
      <c r="F112" s="6"/>
      <c r="G112" s="12">
        <f>IF(AND(ISNUMBER(RU_Clean!G112),ISNUMBER(RU_Clean!G100)),(RU_Clean!G112-RU_Clean!G100)/RU_Clean!G100*100,"")</f>
        <v>1.84931506849314</v>
      </c>
      <c r="H112" s="12">
        <f>IF(AND(ISNUMBER(RU_Clean!H112),ISNUMBER(RU_Clean!H100)),(RU_Clean!H112-RU_Clean!H100)/RU_Clean!H100*100,"")</f>
        <v>4.08376963350786</v>
      </c>
      <c r="I112" s="12">
        <f>IF(AND(ISNUMBER(RU_Clean!I112),ISNUMBER(RU_Clean!I100)),(RU_Clean!I112-RU_Clean!I100)/RU_Clean!I100*100,"")</f>
        <v>1.48317170564746</v>
      </c>
      <c r="J112" s="12">
        <f>IF(AND(ISNUMBER(RU_Clean!J112),ISNUMBER(RU_Clean!J100)),(RU_Clean!J112-RU_Clean!J100)/RU_Clean!J100*100,"")</f>
        <v>3.76378974691759</v>
      </c>
      <c r="K112" s="12">
        <f>IF(AND(ISNUMBER(RU_Clean!K112),ISNUMBER(RU_Clean!K100)),(RU_Clean!K112-RU_Clean!K100)/RU_Clean!K100*100,"")</f>
        <v>27.9672578444748</v>
      </c>
      <c r="L112" s="12">
        <f>IF(AND(ISNUMBER(RU_Clean!L112),ISNUMBER(RU_Clean!L100)),(RU_Clean!L112-RU_Clean!L100)/RU_Clean!L100*100,"")</f>
        <v>4.87474610697361</v>
      </c>
      <c r="M112" s="12">
        <f>IF(AND(ISNUMBER(RU_Clean!M112),ISNUMBER(RU_Clean!M100)),(RU_Clean!M112-RU_Clean!M100)/RU_Clean!M100*100,"")</f>
        <v>-18.3080260303688</v>
      </c>
      <c r="N112" s="12">
        <f>IF(AND(ISNUMBER(RU_Clean!N112),ISNUMBER(RU_Clean!N100)),(RU_Clean!N112-RU_Clean!N100)/RU_Clean!N100*100,"")</f>
        <v>2.62172284644196</v>
      </c>
      <c r="O112" s="12">
        <f>IF(AND(ISNUMBER(RU_Clean!O112),ISNUMBER(RU_Clean!O100)),(RU_Clean!O112-RU_Clean!O100)/RU_Clean!O100*100,"")</f>
        <v>4.94362532523851</v>
      </c>
      <c r="P112" s="12">
        <f>IF(AND(ISNUMBER(RU_Clean!P112),ISNUMBER(RU_Clean!P100)),(RU_Clean!P112-RU_Clean!P100)/RU_Clean!P100*100,"")</f>
        <v>4.60122699386503</v>
      </c>
      <c r="Q112" s="12">
        <f>IF(AND(ISNUMBER(RU_Clean!Q112),ISNUMBER(RU_Clean!Q100)),(RU_Clean!Q112-RU_Clean!Q100)/RU_Clean!Q100*100,"")</f>
        <v>10.0536193029491</v>
      </c>
      <c r="R112" s="12">
        <f>IF(AND(ISNUMBER(RU_Clean!R112),ISNUMBER(RU_Clean!R100)),(RU_Clean!R112-RU_Clean!R100)/RU_Clean!R100*100,"")</f>
        <v>7.09951456310679</v>
      </c>
      <c r="S112" s="12">
        <f>IF(AND(ISNUMBER(RU_Clean!S112),ISNUMBER(RU_Clean!S100)),(RU_Clean!S112-RU_Clean!S100)/RU_Clean!S100*100,"")</f>
        <v>1.69286577992744</v>
      </c>
      <c r="T112" s="12">
        <f>IF(AND(ISNUMBER(RU_Clean!T112),ISNUMBER(RU_Clean!T100)),(RU_Clean!T112-RU_Clean!T100)/RU_Clean!T100*100,"")</f>
        <v>3.77562028047465</v>
      </c>
      <c r="U112" s="12">
        <f>IF(AND(ISNUMBER(RU_Clean!U112),ISNUMBER(RU_Clean!U100)),(RU_Clean!U112-RU_Clean!U100)/RU_Clean!U100*100,"")</f>
        <v>8.70967741935484</v>
      </c>
      <c r="V112" s="12">
        <f>IF(AND(ISNUMBER(RU_Clean!V112),ISNUMBER(RU_Clean!V100)),(RU_Clean!V112-RU_Clean!V100)/RU_Clean!V100*100,"")</f>
        <v>9.1471801925722</v>
      </c>
      <c r="W112" s="12">
        <f>IF(AND(ISNUMBER(RU_Clean!W112),ISNUMBER(RU_Clean!W100)),(RU_Clean!W112-RU_Clean!W100)/RU_Clean!W100*100,"")</f>
        <v>8.72395833333334</v>
      </c>
      <c r="X112" s="12">
        <f>IF(AND(ISNUMBER(RU_Clean!X112),ISNUMBER(RU_Clean!X100)),(RU_Clean!X112-RU_Clean!X100)/RU_Clean!X100*100,"")</f>
        <v>3.15656565656566</v>
      </c>
      <c r="Y112" s="12">
        <f>IF(AND(ISNUMBER(RU_Clean!Y112),ISNUMBER(RU_Clean!Y100)),(RU_Clean!Y112-RU_Clean!Y100)/RU_Clean!Y100*100,"")</f>
        <v>13.4854771784232</v>
      </c>
      <c r="Z112" s="12">
        <f>IF(AND(ISNUMBER(RU_Clean!Z112),ISNUMBER(RU_Clean!Z100)),(RU_Clean!Z112-RU_Clean!Z100)/RU_Clean!Z100*100,"")</f>
        <v>7.01402805611222</v>
      </c>
      <c r="AA112" s="12">
        <f>IF(AND(ISNUMBER(RU_Clean!AA112),ISNUMBER(RU_Clean!AA100)),(RU_Clean!AA112-RU_Clean!AA100)/RU_Clean!AA100*100,"")</f>
        <v>7.77005685407453</v>
      </c>
      <c r="AB112" s="12">
        <f>IF(AND(ISNUMBER(RU_Clean!AB112),ISNUMBER(RU_Clean!AB100)),(RU_Clean!AB112-RU_Clean!AB100)/RU_Clean!AB100*100,"")</f>
        <v>10.6609808102345</v>
      </c>
      <c r="AC112" s="12">
        <f>IF(AND(ISNUMBER(RU_Clean!AC112),ISNUMBER(RU_Clean!AC100)),(RU_Clean!AC112-RU_Clean!AC100)/RU_Clean!AC100*100,"")</f>
        <v>8.14814814814815</v>
      </c>
      <c r="AD112" s="12">
        <f>IF(AND(ISNUMBER(RU_Clean!AD112),ISNUMBER(RU_Clean!AD100)),(RU_Clean!AD112-RU_Clean!AD100)/RU_Clean!AD100*100,"")</f>
        <v>3.13676286072773</v>
      </c>
      <c r="AE112" s="12">
        <f>IF(AND(ISNUMBER(RU_Clean!AE112),ISNUMBER(RU_Clean!AE100)),(RU_Clean!AE112-RU_Clean!AE100)/RU_Clean!AE100*100,"")</f>
        <v>3.50095480585614</v>
      </c>
      <c r="AF112" s="12">
        <f>IF(AND(ISNUMBER(RU_Clean!AF112),ISNUMBER(RU_Clean!AF100)),(RU_Clean!AF112-RU_Clean!AF100)/RU_Clean!AF100*100,"")</f>
        <v>7.14285714285715</v>
      </c>
      <c r="AG112" s="12">
        <f>IF(AND(ISNUMBER(RU_Clean!AG112),ISNUMBER(RU_Clean!AG100)),(RU_Clean!AG112-RU_Clean!AG100)/RU_Clean!AG100*100,"")</f>
        <v>4.59408432976714</v>
      </c>
      <c r="AH112" s="12">
        <f>IF(AND(ISNUMBER(RU_Clean!AH112),ISNUMBER(RU_Clean!AH100)),(RU_Clean!AH112-RU_Clean!AH100)/RU_Clean!AH100*100,"")</f>
        <v>3.54993054483717</v>
      </c>
    </row>
    <row r="113" spans="1:34">
      <c r="A113" s="6">
        <f>RU_Clean!A113</f>
        <v>2022</v>
      </c>
      <c r="B113" s="6">
        <f>RU_Clean!B113</f>
        <v>1</v>
      </c>
      <c r="C113" s="6" t="str">
        <f>RU_Clean!C113</f>
        <v>January</v>
      </c>
      <c r="D113" s="9">
        <f>RU_Clean!D113</f>
        <v>44562</v>
      </c>
      <c r="E113" s="6"/>
      <c r="F113" s="6"/>
      <c r="G113" s="12">
        <f>IF(AND(ISNUMBER(RU_Clean!G113),ISNUMBER(RU_Clean!G101)),(RU_Clean!G113-RU_Clean!G101)/RU_Clean!G101*100,"")</f>
        <v>3.17460317460317</v>
      </c>
      <c r="H113" s="12">
        <f>IF(AND(ISNUMBER(RU_Clean!H113),ISNUMBER(RU_Clean!H101)),(RU_Clean!H113-RU_Clean!H101)/RU_Clean!H101*100,"")</f>
        <v>4.52393477117306</v>
      </c>
      <c r="I113" s="12">
        <f>IF(AND(ISNUMBER(RU_Clean!I113),ISNUMBER(RU_Clean!I101)),(RU_Clean!I113-RU_Clean!I101)/RU_Clean!I101*100,"")</f>
        <v>1.99657729606389</v>
      </c>
      <c r="J113" s="12">
        <f>IF(AND(ISNUMBER(RU_Clean!J113),ISNUMBER(RU_Clean!J101)),(RU_Clean!J113-RU_Clean!J101)/RU_Clean!J101*100,"")</f>
        <v>4.15314730694355</v>
      </c>
      <c r="K113" s="12">
        <f>IF(AND(ISNUMBER(RU_Clean!K113),ISNUMBER(RU_Clean!K101)),(RU_Clean!K113-RU_Clean!K101)/RU_Clean!K101*100,"")</f>
        <v>22.3989396951623</v>
      </c>
      <c r="L113" s="12">
        <f>IF(AND(ISNUMBER(RU_Clean!L113),ISNUMBER(RU_Clean!L101)),(RU_Clean!L113-RU_Clean!L101)/RU_Clean!L101*100,"")</f>
        <v>2.74064171122994</v>
      </c>
      <c r="M113" s="12">
        <f>IF(AND(ISNUMBER(RU_Clean!M113),ISNUMBER(RU_Clean!M101)),(RU_Clean!M113-RU_Clean!M101)/RU_Clean!M101*100,"")</f>
        <v>-10.2471678681771</v>
      </c>
      <c r="N113" s="12">
        <f>IF(AND(ISNUMBER(RU_Clean!N113),ISNUMBER(RU_Clean!N101)),(RU_Clean!N113-RU_Clean!N101)/RU_Clean!N101*100,"")</f>
        <v>2.18204488778055</v>
      </c>
      <c r="O113" s="12">
        <f>IF(AND(ISNUMBER(RU_Clean!O113),ISNUMBER(RU_Clean!O101)),(RU_Clean!O113-RU_Clean!O101)/RU_Clean!O101*100,"")</f>
        <v>4.71204188481676</v>
      </c>
      <c r="P113" s="12">
        <f>IF(AND(ISNUMBER(RU_Clean!P113),ISNUMBER(RU_Clean!P101)),(RU_Clean!P113-RU_Clean!P101)/RU_Clean!P101*100,"")</f>
        <v>4.9390243902439</v>
      </c>
      <c r="Q113" s="12">
        <f>IF(AND(ISNUMBER(RU_Clean!Q113),ISNUMBER(RU_Clean!Q101)),(RU_Clean!Q113-RU_Clean!Q101)/RU_Clean!Q101*100,"")</f>
        <v>8.23451910408432</v>
      </c>
      <c r="R113" s="12">
        <f>IF(AND(ISNUMBER(RU_Clean!R113),ISNUMBER(RU_Clean!R101)),(RU_Clean!R113-RU_Clean!R101)/RU_Clean!R101*100,"")</f>
        <v>7.06521739130436</v>
      </c>
      <c r="S113" s="12">
        <f>IF(AND(ISNUMBER(RU_Clean!S113),ISNUMBER(RU_Clean!S101)),(RU_Clean!S113-RU_Clean!S101)/RU_Clean!S101*100,"")</f>
        <v>3.35403726708075</v>
      </c>
      <c r="T113" s="12">
        <f>IF(AND(ISNUMBER(RU_Clean!T113),ISNUMBER(RU_Clean!T101)),(RU_Clean!T113-RU_Clean!T101)/RU_Clean!T101*100,"")</f>
        <v>3.05630026809651</v>
      </c>
      <c r="U113" s="12">
        <f>IF(AND(ISNUMBER(RU_Clean!U113),ISNUMBER(RU_Clean!U101)),(RU_Clean!U113-RU_Clean!U101)/RU_Clean!U101*100,"")</f>
        <v>9.26045016077171</v>
      </c>
      <c r="V113" s="12">
        <f>IF(AND(ISNUMBER(RU_Clean!V113),ISNUMBER(RU_Clean!V101)),(RU_Clean!V113-RU_Clean!V101)/RU_Clean!V101*100,"")</f>
        <v>9.99315537303216</v>
      </c>
      <c r="W113" s="12">
        <f>IF(AND(ISNUMBER(RU_Clean!W113),ISNUMBER(RU_Clean!W101)),(RU_Clean!W113-RU_Clean!W101)/RU_Clean!W101*100,"")</f>
        <v>9.27367055771726</v>
      </c>
      <c r="X113" s="12">
        <f>IF(AND(ISNUMBER(RU_Clean!X113),ISNUMBER(RU_Clean!X101)),(RU_Clean!X113-RU_Clean!X101)/RU_Clean!X101*100,"")</f>
        <v>4.31198478123019</v>
      </c>
      <c r="Y113" s="12">
        <f>IF(AND(ISNUMBER(RU_Clean!Y113),ISNUMBER(RU_Clean!Y101)),(RU_Clean!Y113-RU_Clean!Y101)/RU_Clean!Y101*100,"")</f>
        <v>11.0209601081812</v>
      </c>
      <c r="Z113" s="12">
        <f>IF(AND(ISNUMBER(RU_Clean!Z113),ISNUMBER(RU_Clean!Z101)),(RU_Clean!Z113-RU_Clean!Z101)/RU_Clean!Z101*100,"")</f>
        <v>7.4</v>
      </c>
      <c r="AA113" s="12">
        <f>IF(AND(ISNUMBER(RU_Clean!AA113),ISNUMBER(RU_Clean!AA101)),(RU_Clean!AA113-RU_Clean!AA101)/RU_Clean!AA101*100,"")</f>
        <v>7.59573132454488</v>
      </c>
      <c r="AB113" s="12">
        <f>IF(AND(ISNUMBER(RU_Clean!AB113),ISNUMBER(RU_Clean!AB101)),(RU_Clean!AB113-RU_Clean!AB101)/RU_Clean!AB101*100,"")</f>
        <v>10.2889358703312</v>
      </c>
      <c r="AC113" s="12">
        <f>IF(AND(ISNUMBER(RU_Clean!AC113),ISNUMBER(RU_Clean!AC101)),(RU_Clean!AC113-RU_Clean!AC101)/RU_Clean!AC101*100,"")</f>
        <v>7.75401069518716</v>
      </c>
      <c r="AD113" s="12">
        <f>IF(AND(ISNUMBER(RU_Clean!AD113),ISNUMBER(RU_Clean!AD101)),(RU_Clean!AD113-RU_Clean!AD101)/RU_Clean!AD101*100,"")</f>
        <v>3.45477386934673</v>
      </c>
      <c r="AE113" s="12">
        <f>IF(AND(ISNUMBER(RU_Clean!AE113),ISNUMBER(RU_Clean!AE101)),(RU_Clean!AE113-RU_Clean!AE101)/RU_Clean!AE101*100,"")</f>
        <v>3.95408163265305</v>
      </c>
      <c r="AF113" s="12">
        <f>IF(AND(ISNUMBER(RU_Clean!AF113),ISNUMBER(RU_Clean!AF101)),(RU_Clean!AF113-RU_Clean!AF101)/RU_Clean!AF101*100,"")</f>
        <v>7.10994075049373</v>
      </c>
      <c r="AG113" s="12">
        <f>IF(AND(ISNUMBER(RU_Clean!AG113),ISNUMBER(RU_Clean!AG101)),(RU_Clean!AG113-RU_Clean!AG101)/RU_Clean!AG101*100,"")</f>
        <v>5.34011443102351</v>
      </c>
      <c r="AH113" s="12">
        <f>IF(AND(ISNUMBER(RU_Clean!AH113),ISNUMBER(RU_Clean!AH101)),(RU_Clean!AH113-RU_Clean!AH101)/RU_Clean!AH101*100,"")</f>
        <v>4.29652832158706</v>
      </c>
    </row>
    <row r="114" spans="1:34">
      <c r="A114" s="6">
        <f>RU_Clean!A114</f>
        <v>2022</v>
      </c>
      <c r="B114" s="6">
        <f>RU_Clean!B114</f>
        <v>2</v>
      </c>
      <c r="C114" s="6" t="str">
        <f>RU_Clean!C114</f>
        <v>February</v>
      </c>
      <c r="D114" s="9">
        <f>RU_Clean!D114</f>
        <v>44593</v>
      </c>
      <c r="E114" s="6"/>
      <c r="F114" s="6"/>
      <c r="G114" s="12">
        <f>IF(AND(ISNUMBER(RU_Clean!G114),ISNUMBER(RU_Clean!G102)),(RU_Clean!G114-RU_Clean!G102)/RU_Clean!G102*100,"")</f>
        <v>3.95010395010394</v>
      </c>
      <c r="H114" s="12">
        <f>IF(AND(ISNUMBER(RU_Clean!H114),ISNUMBER(RU_Clean!H102)),(RU_Clean!H114-RU_Clean!H102)/RU_Clean!H102*100,"")</f>
        <v>7.56032171581769</v>
      </c>
      <c r="I114" s="12">
        <f>IF(AND(ISNUMBER(RU_Clean!I114),ISNUMBER(RU_Clean!I102)),(RU_Clean!I114-RU_Clean!I102)/RU_Clean!I102*100,"")</f>
        <v>4.20865441612331</v>
      </c>
      <c r="J114" s="12">
        <f>IF(AND(ISNUMBER(RU_Clean!J114),ISNUMBER(RU_Clean!J102)),(RU_Clean!J114-RU_Clean!J102)/RU_Clean!J102*100,"")</f>
        <v>3.87847446670976</v>
      </c>
      <c r="K114" s="12">
        <f>IF(AND(ISNUMBER(RU_Clean!K114),ISNUMBER(RU_Clean!K102)),(RU_Clean!K114-RU_Clean!K102)/RU_Clean!K102*100,"")</f>
        <v>16.5091367359798</v>
      </c>
      <c r="L114" s="12">
        <f>IF(AND(ISNUMBER(RU_Clean!L114),ISNUMBER(RU_Clean!L102)),(RU_Clean!L114-RU_Clean!L102)/RU_Clean!L102*100,"")</f>
        <v>1.9907100199071</v>
      </c>
      <c r="M114" s="12">
        <f>IF(AND(ISNUMBER(RU_Clean!M114),ISNUMBER(RU_Clean!M102)),(RU_Clean!M114-RU_Clean!M102)/RU_Clean!M102*100,"")</f>
        <v>6.06249999999999</v>
      </c>
      <c r="N114" s="12">
        <f>IF(AND(ISNUMBER(RU_Clean!N114),ISNUMBER(RU_Clean!N102)),(RU_Clean!N114-RU_Clean!N102)/RU_Clean!N102*100,"")</f>
        <v>3.08564231738034</v>
      </c>
      <c r="O114" s="12">
        <f>IF(AND(ISNUMBER(RU_Clean!O114),ISNUMBER(RU_Clean!O102)),(RU_Clean!O114-RU_Clean!O102)/RU_Clean!O102*100,"")</f>
        <v>5.40780141843972</v>
      </c>
      <c r="P114" s="12">
        <f>IF(AND(ISNUMBER(RU_Clean!P114),ISNUMBER(RU_Clean!P102)),(RU_Clean!P114-RU_Clean!P102)/RU_Clean!P102*100,"")</f>
        <v>6.15103532277712</v>
      </c>
      <c r="Q114" s="12">
        <f>IF(AND(ISNUMBER(RU_Clean!Q114),ISNUMBER(RU_Clean!Q102)),(RU_Clean!Q114-RU_Clean!Q102)/RU_Clean!Q102*100,"")</f>
        <v>5.91639871382636</v>
      </c>
      <c r="R114" s="12">
        <f>IF(AND(ISNUMBER(RU_Clean!R114),ISNUMBER(RU_Clean!R102)),(RU_Clean!R114-RU_Clean!R102)/RU_Clean!R102*100,"")</f>
        <v>6.26865671641791</v>
      </c>
      <c r="S114" s="12">
        <f>IF(AND(ISNUMBER(RU_Clean!S114),ISNUMBER(RU_Clean!S102)),(RU_Clean!S114-RU_Clean!S102)/RU_Clean!S102*100,"")</f>
        <v>5.92734225621414</v>
      </c>
      <c r="T114" s="12">
        <f>IF(AND(ISNUMBER(RU_Clean!T114),ISNUMBER(RU_Clean!T102)),(RU_Clean!T114-RU_Clean!T102)/RU_Clean!T102*100,"")</f>
        <v>2.38980350504514</v>
      </c>
      <c r="U114" s="12">
        <f>IF(AND(ISNUMBER(RU_Clean!U114),ISNUMBER(RU_Clean!U102)),(RU_Clean!U114-RU_Clean!U102)/RU_Clean!U102*100,"")</f>
        <v>8.65139949109416</v>
      </c>
      <c r="V114" s="12">
        <f>IF(AND(ISNUMBER(RU_Clean!V114),ISNUMBER(RU_Clean!V102)),(RU_Clean!V114-RU_Clean!V102)/RU_Clean!V102*100,"")</f>
        <v>10.1763907734057</v>
      </c>
      <c r="W114" s="12">
        <f>IF(AND(ISNUMBER(RU_Clean!W114),ISNUMBER(RU_Clean!W102)),(RU_Clean!W114-RU_Clean!W102)/RU_Clean!W102*100,"")</f>
        <v>8.85750962772784</v>
      </c>
      <c r="X114" s="12">
        <f>IF(AND(ISNUMBER(RU_Clean!X114),ISNUMBER(RU_Clean!X102)),(RU_Clean!X114-RU_Clean!X102)/RU_Clean!X102*100,"")</f>
        <v>3.56695869837296</v>
      </c>
      <c r="Y114" s="12">
        <f>IF(AND(ISNUMBER(RU_Clean!Y114),ISNUMBER(RU_Clean!Y102)),(RU_Clean!Y114-RU_Clean!Y102)/RU_Clean!Y102*100,"")</f>
        <v>8.7270341207349</v>
      </c>
      <c r="Z114" s="12">
        <f>IF(AND(ISNUMBER(RU_Clean!Z114),ISNUMBER(RU_Clean!Z102)),(RU_Clean!Z114-RU_Clean!Z102)/RU_Clean!Z102*100,"")</f>
        <v>7.2233267064281</v>
      </c>
      <c r="AA114" s="12">
        <f>IF(AND(ISNUMBER(RU_Clean!AA114),ISNUMBER(RU_Clean!AA102)),(RU_Clean!AA114-RU_Clean!AA102)/RU_Clean!AA102*100,"")</f>
        <v>6.75759454432733</v>
      </c>
      <c r="AB114" s="12">
        <f>IF(AND(ISNUMBER(RU_Clean!AB114),ISNUMBER(RU_Clean!AB102)),(RU_Clean!AB114-RU_Clean!AB102)/RU_Clean!AB102*100,"")</f>
        <v>8.13232253618195</v>
      </c>
      <c r="AC114" s="12">
        <f>IF(AND(ISNUMBER(RU_Clean!AC114),ISNUMBER(RU_Clean!AC102)),(RU_Clean!AC114-RU_Clean!AC102)/RU_Clean!AC102*100,"")</f>
        <v>6.99669966996699</v>
      </c>
      <c r="AD114" s="12">
        <f>IF(AND(ISNUMBER(RU_Clean!AD114),ISNUMBER(RU_Clean!AD102)),(RU_Clean!AD114-RU_Clean!AD102)/RU_Clean!AD102*100,"")</f>
        <v>3.69905956112853</v>
      </c>
      <c r="AE114" s="12">
        <f>IF(AND(ISNUMBER(RU_Clean!AE114),ISNUMBER(RU_Clean!AE102)),(RU_Clean!AE114-RU_Clean!AE102)/RU_Clean!AE102*100,"")</f>
        <v>5.5198973042362</v>
      </c>
      <c r="AF114" s="12">
        <f>IF(AND(ISNUMBER(RU_Clean!AF114),ISNUMBER(RU_Clean!AF102)),(RU_Clean!AF114-RU_Clean!AF102)/RU_Clean!AF102*100,"")</f>
        <v>6.58409387222946</v>
      </c>
      <c r="AG114" s="12">
        <f>IF(AND(ISNUMBER(RU_Clean!AG114),ISNUMBER(RU_Clean!AG102)),(RU_Clean!AG114-RU_Clean!AG102)/RU_Clean!AG102*100,"")</f>
        <v>6.06641123882503</v>
      </c>
      <c r="AH114" s="12">
        <f>IF(AND(ISNUMBER(RU_Clean!AH114),ISNUMBER(RU_Clean!AH102)),(RU_Clean!AH114-RU_Clean!AH102)/RU_Clean!AH102*100,"")</f>
        <v>5.98172545686359</v>
      </c>
    </row>
    <row r="115" spans="1:34">
      <c r="A115" s="6">
        <f>RU_Clean!A115</f>
        <v>2022</v>
      </c>
      <c r="B115" s="6">
        <f>RU_Clean!B115</f>
        <v>3</v>
      </c>
      <c r="C115" s="6" t="str">
        <f>RU_Clean!C115</f>
        <v>March</v>
      </c>
      <c r="D115" s="9">
        <f>RU_Clean!D115</f>
        <v>44621</v>
      </c>
      <c r="E115" s="6"/>
      <c r="F115" s="6"/>
      <c r="G115" s="12">
        <f>IF(AND(ISNUMBER(RU_Clean!G115),ISNUMBER(RU_Clean!G103)),(RU_Clean!G115-RU_Clean!G103)/RU_Clean!G103*100,"")</f>
        <v>4.99653018736989</v>
      </c>
      <c r="H115" s="12">
        <f>IF(AND(ISNUMBER(RU_Clean!H115),ISNUMBER(RU_Clean!H103)),(RU_Clean!H115-RU_Clean!H103)/RU_Clean!H103*100,"")</f>
        <v>9.62539021852237</v>
      </c>
      <c r="I115" s="12">
        <f>IF(AND(ISNUMBER(RU_Clean!I115),ISNUMBER(RU_Clean!I103)),(RU_Clean!I115-RU_Clean!I103)/RU_Clean!I103*100,"")</f>
        <v>2.44200244200244</v>
      </c>
      <c r="J115" s="12">
        <f>IF(AND(ISNUMBER(RU_Clean!J115),ISNUMBER(RU_Clean!J103)),(RU_Clean!J115-RU_Clean!J103)/RU_Clean!J103*100,"")</f>
        <v>4.71271788250483</v>
      </c>
      <c r="K115" s="12">
        <f>IF(AND(ISNUMBER(RU_Clean!K115),ISNUMBER(RU_Clean!K103)),(RU_Clean!K115-RU_Clean!K103)/RU_Clean!K103*100,"")</f>
        <v>18.7309334960342</v>
      </c>
      <c r="L115" s="12">
        <f>IF(AND(ISNUMBER(RU_Clean!L115),ISNUMBER(RU_Clean!L103)),(RU_Clean!L115-RU_Clean!L103)/RU_Clean!L103*100,"")</f>
        <v>2.53741054001302</v>
      </c>
      <c r="M115" s="12">
        <f>IF(AND(ISNUMBER(RU_Clean!M115),ISNUMBER(RU_Clean!M103)),(RU_Clean!M115-RU_Clean!M103)/RU_Clean!M103*100,"")</f>
        <v>11.6387959866221</v>
      </c>
      <c r="N115" s="12">
        <f>IF(AND(ISNUMBER(RU_Clean!N115),ISNUMBER(RU_Clean!N103)),(RU_Clean!N115-RU_Clean!N103)/RU_Clean!N103*100,"")</f>
        <v>2.56570713391739</v>
      </c>
      <c r="O115" s="12">
        <f>IF(AND(ISNUMBER(RU_Clean!O115),ISNUMBER(RU_Clean!O103)),(RU_Clean!O115-RU_Clean!O103)/RU_Clean!O103*100,"")</f>
        <v>5.50621669626998</v>
      </c>
      <c r="P115" s="12">
        <f>IF(AND(ISNUMBER(RU_Clean!P115),ISNUMBER(RU_Clean!P103)),(RU_Clean!P115-RU_Clean!P103)/RU_Clean!P103*100,"")</f>
        <v>8.50152905198777</v>
      </c>
      <c r="Q115" s="12">
        <f>IF(AND(ISNUMBER(RU_Clean!Q115),ISNUMBER(RU_Clean!Q103)),(RU_Clean!Q115-RU_Clean!Q103)/RU_Clean!Q103*100,"")</f>
        <v>5.62300319488819</v>
      </c>
      <c r="R115" s="12">
        <f>IF(AND(ISNUMBER(RU_Clean!R115),ISNUMBER(RU_Clean!R103)),(RU_Clean!R115-RU_Clean!R103)/RU_Clean!R103*100,"")</f>
        <v>6.59928656361476</v>
      </c>
      <c r="S115" s="12">
        <f>IF(AND(ISNUMBER(RU_Clean!S115),ISNUMBER(RU_Clean!S103)),(RU_Clean!S115-RU_Clean!S103)/RU_Clean!S103*100,"")</f>
        <v>7.4664964901085</v>
      </c>
      <c r="T115" s="12">
        <f>IF(AND(ISNUMBER(RU_Clean!T115),ISNUMBER(RU_Clean!T103)),(RU_Clean!T115-RU_Clean!T103)/RU_Clean!T103*100,"")</f>
        <v>2.97713981924508</v>
      </c>
      <c r="U115" s="12">
        <f>IF(AND(ISNUMBER(RU_Clean!U115),ISNUMBER(RU_Clean!U103)),(RU_Clean!U115-RU_Clean!U103)/RU_Clean!U103*100,"")</f>
        <v>9.06210392902407</v>
      </c>
      <c r="V115" s="12">
        <f>IF(AND(ISNUMBER(RU_Clean!V115),ISNUMBER(RU_Clean!V103)),(RU_Clean!V115-RU_Clean!V103)/RU_Clean!V103*100,"")</f>
        <v>11.2914131169709</v>
      </c>
      <c r="W115" s="12">
        <f>IF(AND(ISNUMBER(RU_Clean!W115),ISNUMBER(RU_Clean!W103)),(RU_Clean!W115-RU_Clean!W103)/RU_Clean!W103*100,"")</f>
        <v>9.39897698209718</v>
      </c>
      <c r="X115" s="12">
        <f>IF(AND(ISNUMBER(RU_Clean!X115),ISNUMBER(RU_Clean!X103)),(RU_Clean!X115-RU_Clean!X103)/RU_Clean!X103*100,"")</f>
        <v>3.37711069418387</v>
      </c>
      <c r="Y115" s="12">
        <f>IF(AND(ISNUMBER(RU_Clean!Y115),ISNUMBER(RU_Clean!Y103)),(RU_Clean!Y115-RU_Clean!Y103)/RU_Clean!Y103*100,"")</f>
        <v>7.524115755627</v>
      </c>
      <c r="Z115" s="12">
        <f>IF(AND(ISNUMBER(RU_Clean!Z115),ISNUMBER(RU_Clean!Z103)),(RU_Clean!Z115-RU_Clean!Z103)/RU_Clean!Z103*100,"")</f>
        <v>7.67195767195769</v>
      </c>
      <c r="AA115" s="12">
        <f>IF(AND(ISNUMBER(RU_Clean!AA115),ISNUMBER(RU_Clean!AA103)),(RU_Clean!AA115-RU_Clean!AA103)/RU_Clean!AA103*100,"")</f>
        <v>6.98824984539271</v>
      </c>
      <c r="AB115" s="12">
        <f>IF(AND(ISNUMBER(RU_Clean!AB115),ISNUMBER(RU_Clean!AB103)),(RU_Clean!AB115-RU_Clean!AB103)/RU_Clean!AB103*100,"")</f>
        <v>8.00273597811219</v>
      </c>
      <c r="AC115" s="12">
        <f>IF(AND(ISNUMBER(RU_Clean!AC115),ISNUMBER(RU_Clean!AC103)),(RU_Clean!AC115-RU_Clean!AC103)/RU_Clean!AC103*100,"")</f>
        <v>7.01179554390565</v>
      </c>
      <c r="AD115" s="12">
        <f>IF(AND(ISNUMBER(RU_Clean!AD115),ISNUMBER(RU_Clean!AD103)),(RU_Clean!AD115-RU_Clean!AD103)/RU_Clean!AD103*100,"")</f>
        <v>3.62047440699127</v>
      </c>
      <c r="AE115" s="12">
        <f>IF(AND(ISNUMBER(RU_Clean!AE115),ISNUMBER(RU_Clean!AE103)),(RU_Clean!AE115-RU_Clean!AE103)/RU_Clean!AE103*100,"")</f>
        <v>8.71261378413523</v>
      </c>
      <c r="AF115" s="12">
        <f>IF(AND(ISNUMBER(RU_Clean!AF115),ISNUMBER(RU_Clean!AF103)),(RU_Clean!AF115-RU_Clean!AF103)/RU_Clean!AF103*100,"")</f>
        <v>7.02210663198959</v>
      </c>
      <c r="AG115" s="12">
        <f>IF(AND(ISNUMBER(RU_Clean!AG115),ISNUMBER(RU_Clean!AG103)),(RU_Clean!AG115-RU_Clean!AG103)/RU_Clean!AG103*100,"")</f>
        <v>6.95153061224488</v>
      </c>
      <c r="AH115" s="12">
        <f>IF(AND(ISNUMBER(RU_Clean!AH115),ISNUMBER(RU_Clean!AH103)),(RU_Clean!AH115-RU_Clean!AH103)/RU_Clean!AH103*100,"")</f>
        <v>7.06963403622459</v>
      </c>
    </row>
    <row r="116" spans="1:34">
      <c r="A116" s="6">
        <f>RU_Clean!A116</f>
        <v>2022</v>
      </c>
      <c r="B116" s="6">
        <f>RU_Clean!B116</f>
        <v>4</v>
      </c>
      <c r="C116" s="6" t="str">
        <f>RU_Clean!C116</f>
        <v>April</v>
      </c>
      <c r="D116" s="9">
        <f>RU_Clean!D116</f>
        <v>44652</v>
      </c>
      <c r="E116" s="6"/>
      <c r="F116" s="6"/>
      <c r="G116" s="12">
        <f>IF(AND(ISNUMBER(RU_Clean!G116),ISNUMBER(RU_Clean!G104)),(RU_Clean!G116-RU_Clean!G104)/RU_Clean!G104*100,"")</f>
        <v>5.95980595980596</v>
      </c>
      <c r="H116" s="12">
        <f>IF(AND(ISNUMBER(RU_Clean!H116),ISNUMBER(RU_Clean!H104)),(RU_Clean!H116-RU_Clean!H104)/RU_Clean!H104*100,"")</f>
        <v>6.96969696969698</v>
      </c>
      <c r="I116" s="12">
        <f>IF(AND(ISNUMBER(RU_Clean!I116),ISNUMBER(RU_Clean!I104)),(RU_Clean!I116-RU_Clean!I104)/RU_Clean!I104*100,"")</f>
        <v>-0.0607533414337754</v>
      </c>
      <c r="J116" s="12">
        <f>IF(AND(ISNUMBER(RU_Clean!J116),ISNUMBER(RU_Clean!J104)),(RU_Clean!J116-RU_Clean!J104)/RU_Clean!J104*100,"")</f>
        <v>5.46975546975547</v>
      </c>
      <c r="K116" s="12">
        <f>IF(AND(ISNUMBER(RU_Clean!K116),ISNUMBER(RU_Clean!K104)),(RU_Clean!K116-RU_Clean!K104)/RU_Clean!K104*100,"")</f>
        <v>17.283950617284</v>
      </c>
      <c r="L116" s="12">
        <f>IF(AND(ISNUMBER(RU_Clean!L116),ISNUMBER(RU_Clean!L104)),(RU_Clean!L116-RU_Clean!L104)/RU_Clean!L104*100,"")</f>
        <v>4.98783454987834</v>
      </c>
      <c r="M116" s="12">
        <f>IF(AND(ISNUMBER(RU_Clean!M116),ISNUMBER(RU_Clean!M104)),(RU_Clean!M116-RU_Clean!M104)/RU_Clean!M104*100,"")</f>
        <v>15.3365718251214</v>
      </c>
      <c r="N116" s="12">
        <f>IF(AND(ISNUMBER(RU_Clean!N116),ISNUMBER(RU_Clean!N104)),(RU_Clean!N116-RU_Clean!N104)/RU_Clean!N104*100,"")</f>
        <v>1.85528756957328</v>
      </c>
      <c r="O116" s="12">
        <f>IF(AND(ISNUMBER(RU_Clean!O116),ISNUMBER(RU_Clean!O104)),(RU_Clean!O116-RU_Clean!O104)/RU_Clean!O104*100,"")</f>
        <v>5.21662245800177</v>
      </c>
      <c r="P116" s="12">
        <f>IF(AND(ISNUMBER(RU_Clean!P116),ISNUMBER(RU_Clean!P104)),(RU_Clean!P116-RU_Clean!P104)/RU_Clean!P104*100,"")</f>
        <v>10.6162294081757</v>
      </c>
      <c r="Q116" s="12">
        <f>IF(AND(ISNUMBER(RU_Clean!Q116),ISNUMBER(RU_Clean!Q104)),(RU_Clean!Q116-RU_Clean!Q104)/RU_Clean!Q104*100,"")</f>
        <v>5.45685279187817</v>
      </c>
      <c r="R116" s="12">
        <f>IF(AND(ISNUMBER(RU_Clean!R116),ISNUMBER(RU_Clean!R104)),(RU_Clean!R116-RU_Clean!R104)/RU_Clean!R104*100,"")</f>
        <v>7.10479573712256</v>
      </c>
      <c r="S116" s="12">
        <f>IF(AND(ISNUMBER(RU_Clean!S116),ISNUMBER(RU_Clean!S104)),(RU_Clean!S116-RU_Clean!S104)/RU_Clean!S104*100,"")</f>
        <v>8.10126582278482</v>
      </c>
      <c r="T116" s="12">
        <f>IF(AND(ISNUMBER(RU_Clean!T116),ISNUMBER(RU_Clean!T104)),(RU_Clean!T116-RU_Clean!T104)/RU_Clean!T104*100,"")</f>
        <v>2.70127118644067</v>
      </c>
      <c r="U116" s="12">
        <f>IF(AND(ISNUMBER(RU_Clean!U116),ISNUMBER(RU_Clean!U104)),(RU_Clean!U116-RU_Clean!U104)/RU_Clean!U104*100,"")</f>
        <v>9.5088161209068</v>
      </c>
      <c r="V116" s="12">
        <f>IF(AND(ISNUMBER(RU_Clean!V116),ISNUMBER(RU_Clean!V104)),(RU_Clean!V116-RU_Clean!V104)/RU_Clean!V104*100,"")</f>
        <v>12.1212121212121</v>
      </c>
      <c r="W116" s="12">
        <f>IF(AND(ISNUMBER(RU_Clean!W116),ISNUMBER(RU_Clean!W104)),(RU_Clean!W116-RU_Clean!W104)/RU_Clean!W104*100,"")</f>
        <v>9.85378258105531</v>
      </c>
      <c r="X116" s="12">
        <f>IF(AND(ISNUMBER(RU_Clean!X116),ISNUMBER(RU_Clean!X104)),(RU_Clean!X116-RU_Clean!X104)/RU_Clean!X104*100,"")</f>
        <v>3.46964064436183</v>
      </c>
      <c r="Y116" s="12">
        <f>IF(AND(ISNUMBER(RU_Clean!Y116),ISNUMBER(RU_Clean!Y104)),(RU_Clean!Y116-RU_Clean!Y104)/RU_Clean!Y104*100,"")</f>
        <v>10.6683804627249</v>
      </c>
      <c r="Z116" s="12">
        <f>IF(AND(ISNUMBER(RU_Clean!Z116),ISNUMBER(RU_Clean!Z104)),(RU_Clean!Z116-RU_Clean!Z104)/RU_Clean!Z104*100,"")</f>
        <v>8.03689064558629</v>
      </c>
      <c r="AA116" s="12">
        <f>IF(AND(ISNUMBER(RU_Clean!AA116),ISNUMBER(RU_Clean!AA104)),(RU_Clean!AA116-RU_Clean!AA104)/RU_Clean!AA104*100,"")</f>
        <v>7.20887245841034</v>
      </c>
      <c r="AB116" s="12">
        <f>IF(AND(ISNUMBER(RU_Clean!AB116),ISNUMBER(RU_Clean!AB104)),(RU_Clean!AB116-RU_Clean!AB104)/RU_Clean!AB104*100,"")</f>
        <v>10.9140518417462</v>
      </c>
      <c r="AC116" s="12">
        <f>IF(AND(ISNUMBER(RU_Clean!AC116),ISNUMBER(RU_Clean!AC104)),(RU_Clean!AC116-RU_Clean!AC104)/RU_Clean!AC104*100,"")</f>
        <v>7.31070496083552</v>
      </c>
      <c r="AD116" s="12">
        <f>IF(AND(ISNUMBER(RU_Clean!AD116),ISNUMBER(RU_Clean!AD104)),(RU_Clean!AD116-RU_Clean!AD104)/RU_Clean!AD104*100,"")</f>
        <v>4.11728009981285</v>
      </c>
      <c r="AE116" s="12">
        <f>IF(AND(ISNUMBER(RU_Clean!AE116),ISNUMBER(RU_Clean!AE104)),(RU_Clean!AE116-RU_Clean!AE104)/RU_Clean!AE104*100,"")</f>
        <v>8.62290862290863</v>
      </c>
      <c r="AF116" s="12">
        <f>IF(AND(ISNUMBER(RU_Clean!AF116),ISNUMBER(RU_Clean!AF104)),(RU_Clean!AF116-RU_Clean!AF104)/RU_Clean!AF104*100,"")</f>
        <v>8.03108808290156</v>
      </c>
      <c r="AG116" s="12">
        <f>IF(AND(ISNUMBER(RU_Clean!AG116),ISNUMBER(RU_Clean!AG104)),(RU_Clean!AG116-RU_Clean!AG104)/RU_Clean!AG104*100,"")</f>
        <v>7.79467680608364</v>
      </c>
      <c r="AH116" s="12">
        <f>IF(AND(ISNUMBER(RU_Clean!AH116),ISNUMBER(RU_Clean!AH104)),(RU_Clean!AH116-RU_Clean!AH104)/RU_Clean!AH104*100,"")</f>
        <v>7.20843607365827</v>
      </c>
    </row>
    <row r="117" spans="1:34">
      <c r="A117" s="6">
        <f>RU_Clean!A117</f>
        <v>2022</v>
      </c>
      <c r="B117" s="6">
        <f>RU_Clean!B117</f>
        <v>5</v>
      </c>
      <c r="C117" s="6" t="str">
        <f>RU_Clean!C117</f>
        <v>May</v>
      </c>
      <c r="D117" s="9">
        <f>RU_Clean!D117</f>
        <v>44682</v>
      </c>
      <c r="E117" s="6"/>
      <c r="F117" s="6"/>
      <c r="G117" s="12">
        <f>IF(AND(ISNUMBER(RU_Clean!G117),ISNUMBER(RU_Clean!G105)),(RU_Clean!G117-RU_Clean!G105)/RU_Clean!G105*100,"")</f>
        <v>5.33151059466848</v>
      </c>
      <c r="H117" s="12">
        <f>IF(AND(ISNUMBER(RU_Clean!H117),ISNUMBER(RU_Clean!H105)),(RU_Clean!H117-RU_Clean!H105)/RU_Clean!H105*100,"")</f>
        <v>8.22942643391521</v>
      </c>
      <c r="I117" s="12">
        <f>IF(AND(ISNUMBER(RU_Clean!I117),ISNUMBER(RU_Clean!I105)),(RU_Clean!I117-RU_Clean!I105)/RU_Clean!I105*100,"")</f>
        <v>-4.63887257780388</v>
      </c>
      <c r="J117" s="12">
        <f>IF(AND(ISNUMBER(RU_Clean!J117),ISNUMBER(RU_Clean!J105)),(RU_Clean!J117-RU_Clean!J105)/RU_Clean!J105*100,"")</f>
        <v>5.63741191543883</v>
      </c>
      <c r="K117" s="12">
        <f>IF(AND(ISNUMBER(RU_Clean!K117),ISNUMBER(RU_Clean!K105)),(RU_Clean!K117-RU_Clean!K105)/RU_Clean!K105*100,"")</f>
        <v>13.2624510352546</v>
      </c>
      <c r="L117" s="12">
        <f>IF(AND(ISNUMBER(RU_Clean!L117),ISNUMBER(RU_Clean!L105)),(RU_Clean!L117-RU_Clean!L105)/RU_Clean!L105*100,"")</f>
        <v>2.33393177737882</v>
      </c>
      <c r="M117" s="12">
        <f>IF(AND(ISNUMBER(RU_Clean!M117),ISNUMBER(RU_Clean!M105)),(RU_Clean!M117-RU_Clean!M105)/RU_Clean!M105*100,"")</f>
        <v>18.2555780933063</v>
      </c>
      <c r="N117" s="12">
        <f>IF(AND(ISNUMBER(RU_Clean!N117),ISNUMBER(RU_Clean!N105)),(RU_Clean!N117-RU_Clean!N105)/RU_Clean!N105*100,"")</f>
        <v>-0.423216444981872</v>
      </c>
      <c r="O117" s="12">
        <f>IF(AND(ISNUMBER(RU_Clean!O117),ISNUMBER(RU_Clean!O105)),(RU_Clean!O117-RU_Clean!O105)/RU_Clean!O105*100,"")</f>
        <v>4.26829268292683</v>
      </c>
      <c r="P117" s="12">
        <f>IF(AND(ISNUMBER(RU_Clean!P117),ISNUMBER(RU_Clean!P105)),(RU_Clean!P117-RU_Clean!P105)/RU_Clean!P105*100,"")</f>
        <v>9.92865636147445</v>
      </c>
      <c r="Q117" s="12">
        <f>IF(AND(ISNUMBER(RU_Clean!Q117),ISNUMBER(RU_Clean!Q105)),(RU_Clean!Q117-RU_Clean!Q105)/RU_Clean!Q105*100,"")</f>
        <v>4.89642184557438</v>
      </c>
      <c r="R117" s="12">
        <f>IF(AND(ISNUMBER(RU_Clean!R117),ISNUMBER(RU_Clean!R105)),(RU_Clean!R117-RU_Clean!R105)/RU_Clean!R105*100,"")</f>
        <v>7.10093896713615</v>
      </c>
      <c r="S117" s="12">
        <f>IF(AND(ISNUMBER(RU_Clean!S117),ISNUMBER(RU_Clean!S105)),(RU_Clean!S117-RU_Clean!S105)/RU_Clean!S105*100,"")</f>
        <v>7.84069695084009</v>
      </c>
      <c r="T117" s="12">
        <f>IF(AND(ISNUMBER(RU_Clean!T117),ISNUMBER(RU_Clean!T105)),(RU_Clean!T117-RU_Clean!T105)/RU_Clean!T105*100,"")</f>
        <v>1.14643043251693</v>
      </c>
      <c r="U117" s="12">
        <f>IF(AND(ISNUMBER(RU_Clean!U117),ISNUMBER(RU_Clean!U105)),(RU_Clean!U117-RU_Clean!U105)/RU_Clean!U105*100,"")</f>
        <v>8.52904820766377</v>
      </c>
      <c r="V117" s="12">
        <f>IF(AND(ISNUMBER(RU_Clean!V117),ISNUMBER(RU_Clean!V105)),(RU_Clean!V117-RU_Clean!V105)/RU_Clean!V105*100,"")</f>
        <v>10.7166337935569</v>
      </c>
      <c r="W117" s="12">
        <f>IF(AND(ISNUMBER(RU_Clean!W117),ISNUMBER(RU_Clean!W105)),(RU_Clean!W117-RU_Clean!W105)/RU_Clean!W105*100,"")</f>
        <v>8.85286783042393</v>
      </c>
      <c r="X117" s="12">
        <f>IF(AND(ISNUMBER(RU_Clean!X117),ISNUMBER(RU_Clean!X105)),(RU_Clean!X117-RU_Clean!X105)/RU_Clean!X105*100,"")</f>
        <v>3.6509900990099</v>
      </c>
      <c r="Y117" s="12">
        <f>IF(AND(ISNUMBER(RU_Clean!Y117),ISNUMBER(RU_Clean!Y105)),(RU_Clean!Y117-RU_Clean!Y105)/RU_Clean!Y105*100,"")</f>
        <v>9.53575909661229</v>
      </c>
      <c r="Z117" s="12">
        <f>IF(AND(ISNUMBER(RU_Clean!Z117),ISNUMBER(RU_Clean!Z105)),(RU_Clean!Z117-RU_Clean!Z105)/RU_Clean!Z105*100,"")</f>
        <v>6.78733031674208</v>
      </c>
      <c r="AA117" s="12">
        <f>IF(AND(ISNUMBER(RU_Clean!AA117),ISNUMBER(RU_Clean!AA105)),(RU_Clean!AA117-RU_Clean!AA105)/RU_Clean!AA105*100,"")</f>
        <v>5.42822677925211</v>
      </c>
      <c r="AB117" s="12">
        <f>IF(AND(ISNUMBER(RU_Clean!AB117),ISNUMBER(RU_Clean!AB105)),(RU_Clean!AB117-RU_Clean!AB105)/RU_Clean!AB105*100,"")</f>
        <v>9.46944257891202</v>
      </c>
      <c r="AC117" s="12">
        <f>IF(AND(ISNUMBER(RU_Clean!AC117),ISNUMBER(RU_Clean!AC105)),(RU_Clean!AC117-RU_Clean!AC105)/RU_Clean!AC105*100,"")</f>
        <v>5.96919127086007</v>
      </c>
      <c r="AD117" s="12">
        <f>IF(AND(ISNUMBER(RU_Clean!AD117),ISNUMBER(RU_Clean!AD105)),(RU_Clean!AD117-RU_Clean!AD105)/RU_Clean!AD105*100,"")</f>
        <v>4.15632754342433</v>
      </c>
      <c r="AE117" s="12">
        <f>IF(AND(ISNUMBER(RU_Clean!AE117),ISNUMBER(RU_Clean!AE105)),(RU_Clean!AE117-RU_Clean!AE105)/RU_Clean!AE105*100,"")</f>
        <v>6.17906683480455</v>
      </c>
      <c r="AF117" s="12">
        <f>IF(AND(ISNUMBER(RU_Clean!AF117),ISNUMBER(RU_Clean!AF105)),(RU_Clean!AF117-RU_Clean!AF105)/RU_Clean!AF105*100,"")</f>
        <v>6.82397959183673</v>
      </c>
      <c r="AG117" s="12">
        <f>IF(AND(ISNUMBER(RU_Clean!AG117),ISNUMBER(RU_Clean!AG105)),(RU_Clean!AG117-RU_Clean!AG105)/RU_Clean!AG105*100,"")</f>
        <v>7.04488778054862</v>
      </c>
      <c r="AH117" s="12">
        <f>IF(AND(ISNUMBER(RU_Clean!AH117),ISNUMBER(RU_Clean!AH105)),(RU_Clean!AH117-RU_Clean!AH105)/RU_Clean!AH105*100,"")</f>
        <v>6.20051413881749</v>
      </c>
    </row>
    <row r="118" spans="1:34">
      <c r="A118" s="6">
        <f>RU_Clean!A118</f>
        <v>2022</v>
      </c>
      <c r="B118" s="6">
        <f>RU_Clean!B118</f>
        <v>6</v>
      </c>
      <c r="C118" s="6" t="str">
        <f>RU_Clean!C118</f>
        <v>June</v>
      </c>
      <c r="D118" s="9">
        <f>RU_Clean!D118</f>
        <v>44713</v>
      </c>
      <c r="E118" s="6"/>
      <c r="F118" s="6"/>
      <c r="G118" s="12">
        <f>IF(AND(ISNUMBER(RU_Clean!G118),ISNUMBER(RU_Clean!G106)),(RU_Clean!G118-RU_Clean!G106)/RU_Clean!G106*100,"")</f>
        <v>5.65780504430812</v>
      </c>
      <c r="H118" s="12">
        <f>IF(AND(ISNUMBER(RU_Clean!H118),ISNUMBER(RU_Clean!H106)),(RU_Clean!H118-RU_Clean!H106)/RU_Clean!H106*100,"")</f>
        <v>8.61386138613862</v>
      </c>
      <c r="I118" s="12">
        <f>IF(AND(ISNUMBER(RU_Clean!I118),ISNUMBER(RU_Clean!I106)),(RU_Clean!I118-RU_Clean!I106)/RU_Clean!I106*100,"")</f>
        <v>-5.47869396790259</v>
      </c>
      <c r="J118" s="12">
        <f>IF(AND(ISNUMBER(RU_Clean!J118),ISNUMBER(RU_Clean!J106)),(RU_Clean!J118-RU_Clean!J106)/RU_Clean!J106*100,"")</f>
        <v>6.14596670934701</v>
      </c>
      <c r="K118" s="12">
        <f>IF(AND(ISNUMBER(RU_Clean!K118),ISNUMBER(RU_Clean!K106)),(RU_Clean!K118-RU_Clean!K106)/RU_Clean!K106*100,"")</f>
        <v>9.36309199782255</v>
      </c>
      <c r="L118" s="12">
        <f>IF(AND(ISNUMBER(RU_Clean!L118),ISNUMBER(RU_Clean!L106)),(RU_Clean!L118-RU_Clean!L106)/RU_Clean!L106*100,"")</f>
        <v>3.09842041312272</v>
      </c>
      <c r="M118" s="12">
        <f>IF(AND(ISNUMBER(RU_Clean!M118),ISNUMBER(RU_Clean!M106)),(RU_Clean!M118-RU_Clean!M106)/RU_Clean!M106*100,"")</f>
        <v>17.3101673101673</v>
      </c>
      <c r="N118" s="12">
        <f>IF(AND(ISNUMBER(RU_Clean!N118),ISNUMBER(RU_Clean!N106)),(RU_Clean!N118-RU_Clean!N106)/RU_Clean!N106*100,"")</f>
        <v>-1.02409638554216</v>
      </c>
      <c r="O118" s="12">
        <f>IF(AND(ISNUMBER(RU_Clean!O118),ISNUMBER(RU_Clean!O106)),(RU_Clean!O118-RU_Clean!O106)/RU_Clean!O106*100,"")</f>
        <v>4.17028670721113</v>
      </c>
      <c r="P118" s="12">
        <f>IF(AND(ISNUMBER(RU_Clean!P118),ISNUMBER(RU_Clean!P106)),(RU_Clean!P118-RU_Clean!P106)/RU_Clean!P106*100,"")</f>
        <v>11.0385756676558</v>
      </c>
      <c r="Q118" s="12">
        <f>IF(AND(ISNUMBER(RU_Clean!Q118),ISNUMBER(RU_Clean!Q106)),(RU_Clean!Q118-RU_Clean!Q106)/RU_Clean!Q106*100,"")</f>
        <v>4.9375</v>
      </c>
      <c r="R118" s="12">
        <f>IF(AND(ISNUMBER(RU_Clean!R118),ISNUMBER(RU_Clean!R106)),(RU_Clean!R118-RU_Clean!R106)/RU_Clean!R106*100,"")</f>
        <v>6.67053364269141</v>
      </c>
      <c r="S118" s="12">
        <f>IF(AND(ISNUMBER(RU_Clean!S118),ISNUMBER(RU_Clean!S106)),(RU_Clean!S118-RU_Clean!S106)/RU_Clean!S106*100,"")</f>
        <v>7.56457564575646</v>
      </c>
      <c r="T118" s="12">
        <f>IF(AND(ISNUMBER(RU_Clean!T118),ISNUMBER(RU_Clean!T106)),(RU_Clean!T118-RU_Clean!T106)/RU_Clean!T106*100,"")</f>
        <v>1.83438155136268</v>
      </c>
      <c r="U118" s="12">
        <f>IF(AND(ISNUMBER(RU_Clean!U118),ISNUMBER(RU_Clean!U106)),(RU_Clean!U118-RU_Clean!U106)/RU_Clean!U106*100,"")</f>
        <v>9.1861898890259</v>
      </c>
      <c r="V118" s="12">
        <f>IF(AND(ISNUMBER(RU_Clean!V118),ISNUMBER(RU_Clean!V106)),(RU_Clean!V118-RU_Clean!V106)/RU_Clean!V106*100,"")</f>
        <v>11.9235836627141</v>
      </c>
      <c r="W118" s="12">
        <f>IF(AND(ISNUMBER(RU_Clean!W118),ISNUMBER(RU_Clean!W106)),(RU_Clean!W118-RU_Clean!W106)/RU_Clean!W106*100,"")</f>
        <v>9.52084629744867</v>
      </c>
      <c r="X118" s="12">
        <f>IF(AND(ISNUMBER(RU_Clean!X118),ISNUMBER(RU_Clean!X106)),(RU_Clean!X118-RU_Clean!X106)/RU_Clean!X106*100,"")</f>
        <v>3.92523364485982</v>
      </c>
      <c r="Y118" s="12">
        <f>IF(AND(ISNUMBER(RU_Clean!Y118),ISNUMBER(RU_Clean!Y106)),(RU_Clean!Y118-RU_Clean!Y106)/RU_Clean!Y106*100,"")</f>
        <v>10.1376720901126</v>
      </c>
      <c r="Z118" s="12">
        <f>IF(AND(ISNUMBER(RU_Clean!Z118),ISNUMBER(RU_Clean!Z106)),(RU_Clean!Z118-RU_Clean!Z106)/RU_Clean!Z106*100,"")</f>
        <v>7.49354005167958</v>
      </c>
      <c r="AA118" s="12">
        <f>IF(AND(ISNUMBER(RU_Clean!AA118),ISNUMBER(RU_Clean!AA106)),(RU_Clean!AA118-RU_Clean!AA106)/RU_Clean!AA106*100,"")</f>
        <v>5.47203848466626</v>
      </c>
      <c r="AB118" s="12">
        <f>IF(AND(ISNUMBER(RU_Clean!AB118),ISNUMBER(RU_Clean!AB106)),(RU_Clean!AB118-RU_Clean!AB106)/RU_Clean!AB106*100,"")</f>
        <v>6.90112806901128</v>
      </c>
      <c r="AC118" s="12">
        <f>IF(AND(ISNUMBER(RU_Clean!AC118),ISNUMBER(RU_Clean!AC106)),(RU_Clean!AC118-RU_Clean!AC106)/RU_Clean!AC106*100,"")</f>
        <v>7.03679793415107</v>
      </c>
      <c r="AD118" s="12">
        <f>IF(AND(ISNUMBER(RU_Clean!AD118),ISNUMBER(RU_Clean!AD106)),(RU_Clean!AD118-RU_Clean!AD106)/RU_Clean!AD106*100,"")</f>
        <v>4.51453308596166</v>
      </c>
      <c r="AE118" s="12">
        <f>IF(AND(ISNUMBER(RU_Clean!AE118),ISNUMBER(RU_Clean!AE106)),(RU_Clean!AE118-RU_Clean!AE106)/RU_Clean!AE106*100,"")</f>
        <v>6.67506297229219</v>
      </c>
      <c r="AF118" s="12">
        <f>IF(AND(ISNUMBER(RU_Clean!AF118),ISNUMBER(RU_Clean!AF106)),(RU_Clean!AF118-RU_Clean!AF106)/RU_Clean!AF106*100,"")</f>
        <v>6.28172588832488</v>
      </c>
      <c r="AG118" s="12">
        <f>IF(AND(ISNUMBER(RU_Clean!AG118),ISNUMBER(RU_Clean!AG106)),(RU_Clean!AG118-RU_Clean!AG106)/RU_Clean!AG106*100,"")</f>
        <v>7.00557966522008</v>
      </c>
      <c r="AH118" s="12">
        <f>IF(AND(ISNUMBER(RU_Clean!AH118),ISNUMBER(RU_Clean!AH106)),(RU_Clean!AH118-RU_Clean!AH106)/RU_Clean!AH106*100,"")</f>
        <v>5.86922335514635</v>
      </c>
    </row>
    <row r="119" spans="1:34">
      <c r="A119" s="6">
        <f>RU_Clean!A119</f>
        <v>2022</v>
      </c>
      <c r="B119" s="6">
        <f>RU_Clean!B119</f>
        <v>7</v>
      </c>
      <c r="C119" s="6" t="str">
        <f>RU_Clean!C119</f>
        <v>July</v>
      </c>
      <c r="D119" s="9">
        <f>RU_Clean!D119</f>
        <v>44743</v>
      </c>
      <c r="E119" s="6"/>
      <c r="F119" s="6"/>
      <c r="G119" s="12">
        <f>IF(AND(ISNUMBER(RU_Clean!G119),ISNUMBER(RU_Clean!G107)),(RU_Clean!G119-RU_Clean!G107)/RU_Clean!G107*100,"")</f>
        <v>6.89890710382513</v>
      </c>
      <c r="H119" s="12">
        <f>IF(AND(ISNUMBER(RU_Clean!H119),ISNUMBER(RU_Clean!H107)),(RU_Clean!H119-RU_Clean!H107)/RU_Clean!H107*100,"")</f>
        <v>2.9980657640232</v>
      </c>
      <c r="I119" s="12">
        <f>IF(AND(ISNUMBER(RU_Clean!I119),ISNUMBER(RU_Clean!I107)),(RU_Clean!I119-RU_Clean!I107)/RU_Clean!I107*100,"")</f>
        <v>-3.84193194291987</v>
      </c>
      <c r="J119" s="12">
        <f>IF(AND(ISNUMBER(RU_Clean!J119),ISNUMBER(RU_Clean!J107)),(RU_Clean!J119-RU_Clean!J107)/RU_Clean!J107*100,"")</f>
        <v>5.77777777777777</v>
      </c>
      <c r="K119" s="12">
        <f>IF(AND(ISNUMBER(RU_Clean!K119),ISNUMBER(RU_Clean!K107)),(RU_Clean!K119-RU_Clean!K107)/RU_Clean!K107*100,"")</f>
        <v>7.52333882482154</v>
      </c>
      <c r="L119" s="12">
        <f>IF(AND(ISNUMBER(RU_Clean!L119),ISNUMBER(RU_Clean!L107)),(RU_Clean!L119-RU_Clean!L107)/RU_Clean!L107*100,"")</f>
        <v>6.28431970713849</v>
      </c>
      <c r="M119" s="12">
        <f>IF(AND(ISNUMBER(RU_Clean!M119),ISNUMBER(RU_Clean!M107)),(RU_Clean!M119-RU_Clean!M107)/RU_Clean!M107*100,"")</f>
        <v>10.9013398294763</v>
      </c>
      <c r="N119" s="12">
        <f>IF(AND(ISNUMBER(RU_Clean!N119),ISNUMBER(RU_Clean!N107)),(RU_Clean!N119-RU_Clean!N107)/RU_Clean!N107*100,"")</f>
        <v>0.1829268292683</v>
      </c>
      <c r="O119" s="12">
        <f>IF(AND(ISNUMBER(RU_Clean!O119),ISNUMBER(RU_Clean!O107)),(RU_Clean!O119-RU_Clean!O107)/RU_Clean!O107*100,"")</f>
        <v>4.80349344978166</v>
      </c>
      <c r="P119" s="12">
        <f>IF(AND(ISNUMBER(RU_Clean!P119),ISNUMBER(RU_Clean!P107)),(RU_Clean!P119-RU_Clean!P107)/RU_Clean!P107*100,"")</f>
        <v>12.893642305407</v>
      </c>
      <c r="Q119" s="12">
        <f>IF(AND(ISNUMBER(RU_Clean!Q119),ISNUMBER(RU_Clean!Q107)),(RU_Clean!Q119-RU_Clean!Q107)/RU_Clean!Q107*100,"")</f>
        <v>4.66128029832194</v>
      </c>
      <c r="R119" s="12">
        <f>IF(AND(ISNUMBER(RU_Clean!R119),ISNUMBER(RU_Clean!R107)),(RU_Clean!R119-RU_Clean!R107)/RU_Clean!R107*100,"")</f>
        <v>7.54936120789779</v>
      </c>
      <c r="S119" s="12">
        <f>IF(AND(ISNUMBER(RU_Clean!S119),ISNUMBER(RU_Clean!S107)),(RU_Clean!S119-RU_Clean!S107)/RU_Clean!S107*100,"")</f>
        <v>6.70731707317073</v>
      </c>
      <c r="T119" s="12">
        <f>IF(AND(ISNUMBER(RU_Clean!T119),ISNUMBER(RU_Clean!T107)),(RU_Clean!T119-RU_Clean!T107)/RU_Clean!T107*100,"")</f>
        <v>1.77824267782427</v>
      </c>
      <c r="U119" s="12">
        <f>IF(AND(ISNUMBER(RU_Clean!U119),ISNUMBER(RU_Clean!U107)),(RU_Clean!U119-RU_Clean!U107)/RU_Clean!U107*100,"")</f>
        <v>9.52088452088452</v>
      </c>
      <c r="V119" s="12">
        <f>IF(AND(ISNUMBER(RU_Clean!V119),ISNUMBER(RU_Clean!V107)),(RU_Clean!V119-RU_Clean!V107)/RU_Clean!V107*100,"")</f>
        <v>11.8876551273677</v>
      </c>
      <c r="W119" s="12">
        <f>IF(AND(ISNUMBER(RU_Clean!W119),ISNUMBER(RU_Clean!W107)),(RU_Clean!W119-RU_Clean!W107)/RU_Clean!W107*100,"")</f>
        <v>9.85130111524164</v>
      </c>
      <c r="X119" s="12">
        <f>IF(AND(ISNUMBER(RU_Clean!X119),ISNUMBER(RU_Clean!X107)),(RU_Clean!X119-RU_Clean!X107)/RU_Clean!X107*100,"")</f>
        <v>3.90092879256967</v>
      </c>
      <c r="Y119" s="12">
        <f>IF(AND(ISNUMBER(RU_Clean!Y119),ISNUMBER(RU_Clean!Y107)),(RU_Clean!Y119-RU_Clean!Y107)/RU_Clean!Y107*100,"")</f>
        <v>11.7610454262601</v>
      </c>
      <c r="Z119" s="12">
        <f>IF(AND(ISNUMBER(RU_Clean!Z119),ISNUMBER(RU_Clean!Z107)),(RU_Clean!Z119-RU_Clean!Z107)/RU_Clean!Z107*100,"")</f>
        <v>7.44544287548138</v>
      </c>
      <c r="AA119" s="12">
        <f>IF(AND(ISNUMBER(RU_Clean!AA119),ISNUMBER(RU_Clean!AA107)),(RU_Clean!AA119-RU_Clean!AA107)/RU_Clean!AA107*100,"")</f>
        <v>5.44910179640718</v>
      </c>
      <c r="AB119" s="12">
        <f>IF(AND(ISNUMBER(RU_Clean!AB119),ISNUMBER(RU_Clean!AB107)),(RU_Clean!AB119-RU_Clean!AB107)/RU_Clean!AB107*100,"")</f>
        <v>5.55192684519922</v>
      </c>
      <c r="AC119" s="12">
        <f>IF(AND(ISNUMBER(RU_Clean!AC119),ISNUMBER(RU_Clean!AC107)),(RU_Clean!AC119-RU_Clean!AC107)/RU_Clean!AC107*100,"")</f>
        <v>7.08306503541532</v>
      </c>
      <c r="AD119" s="12">
        <f>IF(AND(ISNUMBER(RU_Clean!AD119),ISNUMBER(RU_Clean!AD107)),(RU_Clean!AD119-RU_Clean!AD107)/RU_Clean!AD107*100,"")</f>
        <v>5.02450980392158</v>
      </c>
      <c r="AE119" s="12">
        <f>IF(AND(ISNUMBER(RU_Clean!AE119),ISNUMBER(RU_Clean!AE107)),(RU_Clean!AE119-RU_Clean!AE107)/RU_Clean!AE107*100,"")</f>
        <v>5.99625234228607</v>
      </c>
      <c r="AF119" s="12">
        <f>IF(AND(ISNUMBER(RU_Clean!AF119),ISNUMBER(RU_Clean!AF107)),(RU_Clean!AF119-RU_Clean!AF107)/RU_Clean!AF107*100,"")</f>
        <v>5.91194968553459</v>
      </c>
      <c r="AG119" s="12">
        <f>IF(AND(ISNUMBER(RU_Clean!AG119),ISNUMBER(RU_Clean!AG107)),(RU_Clean!AG119-RU_Clean!AG107)/RU_Clean!AG107*100,"")</f>
        <v>6.70769230769231</v>
      </c>
      <c r="AH119" s="12">
        <f>IF(AND(ISNUMBER(RU_Clean!AH119),ISNUMBER(RU_Clean!AH107)),(RU_Clean!AH119-RU_Clean!AH107)/RU_Clean!AH107*100,"")</f>
        <v>5.46142208774584</v>
      </c>
    </row>
    <row r="120" spans="1:34">
      <c r="A120" s="6">
        <f>RU_Clean!A120</f>
        <v>2022</v>
      </c>
      <c r="B120" s="6">
        <f>RU_Clean!B120</f>
        <v>8</v>
      </c>
      <c r="C120" s="6" t="str">
        <f>RU_Clean!C120</f>
        <v>August</v>
      </c>
      <c r="D120" s="9">
        <f>RU_Clean!D120</f>
        <v>44774</v>
      </c>
      <c r="E120" s="6"/>
      <c r="F120" s="6"/>
      <c r="G120" s="12">
        <f>IF(AND(ISNUMBER(RU_Clean!G120),ISNUMBER(RU_Clean!G108)),(RU_Clean!G120-RU_Clean!G108)/RU_Clean!G108*100,"")</f>
        <v>9.34515688949524</v>
      </c>
      <c r="H120" s="12">
        <f>IF(AND(ISNUMBER(RU_Clean!H120),ISNUMBER(RU_Clean!H108)),(RU_Clean!H120-RU_Clean!H108)/RU_Clean!H108*100,"")</f>
        <v>1.22549019607843</v>
      </c>
      <c r="I120" s="12">
        <f>IF(AND(ISNUMBER(RU_Clean!I120),ISNUMBER(RU_Clean!I108)),(RU_Clean!I120-RU_Clean!I108)/RU_Clean!I108*100,"")</f>
        <v>-2.08333333333335</v>
      </c>
      <c r="J120" s="12">
        <f>IF(AND(ISNUMBER(RU_Clean!J120),ISNUMBER(RU_Clean!J108)),(RU_Clean!J120-RU_Clean!J108)/RU_Clean!J108*100,"")</f>
        <v>6.12373737373737</v>
      </c>
      <c r="K120" s="12">
        <f>IF(AND(ISNUMBER(RU_Clean!K120),ISNUMBER(RU_Clean!K108)),(RU_Clean!K120-RU_Clean!K108)/RU_Clean!K108*100,"")</f>
        <v>2.3404255319149</v>
      </c>
      <c r="L120" s="12">
        <f>IF(AND(ISNUMBER(RU_Clean!L120),ISNUMBER(RU_Clean!L108)),(RU_Clean!L120-RU_Clean!L108)/RU_Clean!L108*100,"")</f>
        <v>10.2678571428571</v>
      </c>
      <c r="M120" s="12">
        <f>IF(AND(ISNUMBER(RU_Clean!M120),ISNUMBER(RU_Clean!M108)),(RU_Clean!M120-RU_Clean!M108)/RU_Clean!M108*100,"")</f>
        <v>15.1048088779285</v>
      </c>
      <c r="N120" s="12">
        <f>IF(AND(ISNUMBER(RU_Clean!N120),ISNUMBER(RU_Clean!N108)),(RU_Clean!N120-RU_Clean!N108)/RU_Clean!N108*100,"")</f>
        <v>1.88909201706276</v>
      </c>
      <c r="O120" s="12">
        <f>IF(AND(ISNUMBER(RU_Clean!O120),ISNUMBER(RU_Clean!O108)),(RU_Clean!O120-RU_Clean!O108)/RU_Clean!O108*100,"")</f>
        <v>1.00250626566416</v>
      </c>
      <c r="P120" s="12">
        <f>IF(AND(ISNUMBER(RU_Clean!P120),ISNUMBER(RU_Clean!P108)),(RU_Clean!P120-RU_Clean!P108)/RU_Clean!P108*100,"")</f>
        <v>14.6919431279621</v>
      </c>
      <c r="Q120" s="12">
        <f>IF(AND(ISNUMBER(RU_Clean!Q120),ISNUMBER(RU_Clean!Q108)),(RU_Clean!Q120-RU_Clean!Q108)/RU_Clean!Q108*100,"")</f>
        <v>3.74923171481255</v>
      </c>
      <c r="R120" s="12">
        <f>IF(AND(ISNUMBER(RU_Clean!R120),ISNUMBER(RU_Clean!R108)),(RU_Clean!R120-RU_Clean!R108)/RU_Clean!R108*100,"")</f>
        <v>7.13053479010926</v>
      </c>
      <c r="S120" s="12">
        <f>IF(AND(ISNUMBER(RU_Clean!S120),ISNUMBER(RU_Clean!S108)),(RU_Clean!S120-RU_Clean!S108)/RU_Clean!S108*100,"")</f>
        <v>7.50000000000001</v>
      </c>
      <c r="T120" s="12">
        <f>IF(AND(ISNUMBER(RU_Clean!T120),ISNUMBER(RU_Clean!T108)),(RU_Clean!T120-RU_Clean!T108)/RU_Clean!T108*100,"")</f>
        <v>1.5096304008329</v>
      </c>
      <c r="U120" s="12">
        <f>IF(AND(ISNUMBER(RU_Clean!U120),ISNUMBER(RU_Clean!U108)),(RU_Clean!U120-RU_Clean!U108)/RU_Clean!U108*100,"")</f>
        <v>9.11854103343465</v>
      </c>
      <c r="V120" s="12">
        <f>IF(AND(ISNUMBER(RU_Clean!V120),ISNUMBER(RU_Clean!V108)),(RU_Clean!V120-RU_Clean!V108)/RU_Clean!V108*100,"")</f>
        <v>11.2041210560206</v>
      </c>
      <c r="W120" s="12">
        <f>IF(AND(ISNUMBER(RU_Clean!W120),ISNUMBER(RU_Clean!W108)),(RU_Clean!W120-RU_Clean!W108)/RU_Clean!W108*100,"")</f>
        <v>9.37500000000001</v>
      </c>
      <c r="X120" s="12">
        <f>IF(AND(ISNUMBER(RU_Clean!X120),ISNUMBER(RU_Clean!X108)),(RU_Clean!X120-RU_Clean!X108)/RU_Clean!X108*100,"")</f>
        <v>4.25663170882172</v>
      </c>
      <c r="Y120" s="12">
        <f>IF(AND(ISNUMBER(RU_Clean!Y120),ISNUMBER(RU_Clean!Y108)),(RU_Clean!Y120-RU_Clean!Y108)/RU_Clean!Y108*100,"")</f>
        <v>9.96309963099632</v>
      </c>
      <c r="Z120" s="12">
        <f>IF(AND(ISNUMBER(RU_Clean!Z120),ISNUMBER(RU_Clean!Z108)),(RU_Clean!Z120-RU_Clean!Z108)/RU_Clean!Z108*100,"")</f>
        <v>6.98412698412698</v>
      </c>
      <c r="AA120" s="12">
        <f>IF(AND(ISNUMBER(RU_Clean!AA120),ISNUMBER(RU_Clean!AA108)),(RU_Clean!AA120-RU_Clean!AA108)/RU_Clean!AA108*100,"")</f>
        <v>4.98812351543943</v>
      </c>
      <c r="AB120" s="12">
        <f>IF(AND(ISNUMBER(RU_Clean!AB120),ISNUMBER(RU_Clean!AB108)),(RU_Clean!AB120-RU_Clean!AB108)/RU_Clean!AB108*100,"")</f>
        <v>5.12987012987013</v>
      </c>
      <c r="AC120" s="12">
        <f>IF(AND(ISNUMBER(RU_Clean!AC120),ISNUMBER(RU_Clean!AC108)),(RU_Clean!AC120-RU_Clean!AC108)/RU_Clean!AC108*100,"")</f>
        <v>5.9010152284264</v>
      </c>
      <c r="AD120" s="12">
        <f>IF(AND(ISNUMBER(RU_Clean!AD120),ISNUMBER(RU_Clean!AD108)),(RU_Clean!AD120-RU_Clean!AD108)/RU_Clean!AD108*100,"")</f>
        <v>5.18925518925519</v>
      </c>
      <c r="AE120" s="12">
        <f>IF(AND(ISNUMBER(RU_Clean!AE120),ISNUMBER(RU_Clean!AE108)),(RU_Clean!AE120-RU_Clean!AE108)/RU_Clean!AE108*100,"")</f>
        <v>6.99999999999999</v>
      </c>
      <c r="AF120" s="12">
        <f>IF(AND(ISNUMBER(RU_Clean!AF120),ISNUMBER(RU_Clean!AF108)),(RU_Clean!AF120-RU_Clean!AF108)/RU_Clean!AF108*100,"")</f>
        <v>5.6875</v>
      </c>
      <c r="AG120" s="12">
        <f>IF(AND(ISNUMBER(RU_Clean!AG120),ISNUMBER(RU_Clean!AG108)),(RU_Clean!AG120-RU_Clean!AG108)/RU_Clean!AG108*100,"")</f>
        <v>6.80147058823531</v>
      </c>
      <c r="AH120" s="12">
        <f>IF(AND(ISNUMBER(RU_Clean!AH120),ISNUMBER(RU_Clean!AH108)),(RU_Clean!AH120-RU_Clean!AH108)/RU_Clean!AH108*100,"")</f>
        <v>5.80889787664307</v>
      </c>
    </row>
    <row r="121" spans="1:34">
      <c r="A121" s="6">
        <f>RU_Clean!A121</f>
        <v>2022</v>
      </c>
      <c r="B121" s="6">
        <f>RU_Clean!B121</f>
        <v>9</v>
      </c>
      <c r="C121" s="6" t="str">
        <f>RU_Clean!C121</f>
        <v>September</v>
      </c>
      <c r="D121" s="9">
        <f>RU_Clean!D121</f>
        <v>44805</v>
      </c>
      <c r="E121" s="6"/>
      <c r="F121" s="6"/>
      <c r="G121" s="12">
        <f>IF(AND(ISNUMBER(RU_Clean!G121),ISNUMBER(RU_Clean!G109)),(RU_Clean!G121-RU_Clean!G109)/RU_Clean!G109*100,"")</f>
        <v>11.5279672578445</v>
      </c>
      <c r="H121" s="12">
        <f>IF(AND(ISNUMBER(RU_Clean!H121),ISNUMBER(RU_Clean!H109)),(RU_Clean!H121-RU_Clean!H109)/RU_Clean!H109*100,"")</f>
        <v>2.54901960784313</v>
      </c>
      <c r="I121" s="12">
        <f>IF(AND(ISNUMBER(RU_Clean!I121),ISNUMBER(RU_Clean!I109)),(RU_Clean!I121-RU_Clean!I109)/RU_Clean!I109*100,"")</f>
        <v>-1.79398148148149</v>
      </c>
      <c r="J121" s="12">
        <f>IF(AND(ISNUMBER(RU_Clean!J121),ISNUMBER(RU_Clean!J109)),(RU_Clean!J121-RU_Clean!J109)/RU_Clean!J109*100,"")</f>
        <v>7.13383838383837</v>
      </c>
      <c r="K121" s="12">
        <f>IF(AND(ISNUMBER(RU_Clean!K121),ISNUMBER(RU_Clean!K109)),(RU_Clean!K121-RU_Clean!K109)/RU_Clean!K109*100,"")</f>
        <v>0.372340425531909</v>
      </c>
      <c r="L121" s="12">
        <f>IF(AND(ISNUMBER(RU_Clean!L121),ISNUMBER(RU_Clean!L109)),(RU_Clean!L121-RU_Clean!L109)/RU_Clean!L109*100,"")</f>
        <v>5.74345883854499</v>
      </c>
      <c r="M121" s="12">
        <f>IF(AND(ISNUMBER(RU_Clean!M121),ISNUMBER(RU_Clean!M109)),(RU_Clean!M121-RU_Clean!M109)/RU_Clean!M109*100,"")</f>
        <v>18.1762168823167</v>
      </c>
      <c r="N121" s="12">
        <f>IF(AND(ISNUMBER(RU_Clean!N121),ISNUMBER(RU_Clean!N109)),(RU_Clean!N121-RU_Clean!N109)/RU_Clean!N109*100,"")</f>
        <v>3.04692260816575</v>
      </c>
      <c r="O121" s="12">
        <f>IF(AND(ISNUMBER(RU_Clean!O121),ISNUMBER(RU_Clean!O109)),(RU_Clean!O121-RU_Clean!O109)/RU_Clean!O109*100,"")</f>
        <v>1.58730158730158</v>
      </c>
      <c r="P121" s="12">
        <f>IF(AND(ISNUMBER(RU_Clean!P121),ISNUMBER(RU_Clean!P109)),(RU_Clean!P121-RU_Clean!P109)/RU_Clean!P109*100,"")</f>
        <v>16.8838862559242</v>
      </c>
      <c r="Q121" s="12">
        <f>IF(AND(ISNUMBER(RU_Clean!Q121),ISNUMBER(RU_Clean!Q109)),(RU_Clean!Q121-RU_Clean!Q109)/RU_Clean!Q109*100,"")</f>
        <v>4.11800860479411</v>
      </c>
      <c r="R121" s="12">
        <f>IF(AND(ISNUMBER(RU_Clean!R121),ISNUMBER(RU_Clean!R109)),(RU_Clean!R121-RU_Clean!R109)/RU_Clean!R109*100,"")</f>
        <v>7.76308223116734</v>
      </c>
      <c r="S121" s="12">
        <f>IF(AND(ISNUMBER(RU_Clean!S121),ISNUMBER(RU_Clean!S109)),(RU_Clean!S121-RU_Clean!S109)/RU_Clean!S109*100,"")</f>
        <v>8.41463414634147</v>
      </c>
      <c r="T121" s="12">
        <f>IF(AND(ISNUMBER(RU_Clean!T121),ISNUMBER(RU_Clean!T109)),(RU_Clean!T121-RU_Clean!T109)/RU_Clean!T109*100,"")</f>
        <v>1.97813638729829</v>
      </c>
      <c r="U121" s="12">
        <f>IF(AND(ISNUMBER(RU_Clean!U121),ISNUMBER(RU_Clean!U109)),(RU_Clean!U121-RU_Clean!U109)/RU_Clean!U109*100,"")</f>
        <v>9.90279465370596</v>
      </c>
      <c r="V121" s="12">
        <f>IF(AND(ISNUMBER(RU_Clean!V121),ISNUMBER(RU_Clean!V109)),(RU_Clean!V121-RU_Clean!V109)/RU_Clean!V109*100,"")</f>
        <v>12.2343850611719</v>
      </c>
      <c r="W121" s="12">
        <f>IF(AND(ISNUMBER(RU_Clean!W121),ISNUMBER(RU_Clean!W109)),(RU_Clean!W121-RU_Clean!W109)/RU_Clean!W109*100,"")</f>
        <v>10.1653398652786</v>
      </c>
      <c r="X121" s="12">
        <f>IF(AND(ISNUMBER(RU_Clean!X121),ISNUMBER(RU_Clean!X109)),(RU_Clean!X121-RU_Clean!X109)/RU_Clean!X109*100,"")</f>
        <v>4.56508328192474</v>
      </c>
      <c r="Y121" s="12">
        <f>IF(AND(ISNUMBER(RU_Clean!Y121),ISNUMBER(RU_Clean!Y109)),(RU_Clean!Y121-RU_Clean!Y109)/RU_Clean!Y109*100,"")</f>
        <v>10.3936039360394</v>
      </c>
      <c r="Z121" s="12">
        <f>IF(AND(ISNUMBER(RU_Clean!Z121),ISNUMBER(RU_Clean!Z109)),(RU_Clean!Z121-RU_Clean!Z109)/RU_Clean!Z109*100,"")</f>
        <v>7.61904761904762</v>
      </c>
      <c r="AA121" s="12">
        <f>IF(AND(ISNUMBER(RU_Clean!AA121),ISNUMBER(RU_Clean!AA109)),(RU_Clean!AA121-RU_Clean!AA109)/RU_Clean!AA109*100,"")</f>
        <v>5.58194774346794</v>
      </c>
      <c r="AB121" s="12">
        <f>IF(AND(ISNUMBER(RU_Clean!AB121),ISNUMBER(RU_Clean!AB109)),(RU_Clean!AB121-RU_Clean!AB109)/RU_Clean!AB109*100,"")</f>
        <v>5.3896103896104</v>
      </c>
      <c r="AC121" s="12">
        <f>IF(AND(ISNUMBER(RU_Clean!AC121),ISNUMBER(RU_Clean!AC109)),(RU_Clean!AC121-RU_Clean!AC109)/RU_Clean!AC109*100,"")</f>
        <v>6.27774254914395</v>
      </c>
      <c r="AD121" s="12">
        <f>IF(AND(ISNUMBER(RU_Clean!AD121),ISNUMBER(RU_Clean!AD109)),(RU_Clean!AD121-RU_Clean!AD109)/RU_Clean!AD109*100,"")</f>
        <v>5.74221136224802</v>
      </c>
      <c r="AE121" s="12">
        <f>IF(AND(ISNUMBER(RU_Clean!AE121),ISNUMBER(RU_Clean!AE109)),(RU_Clean!AE121-RU_Clean!AE109)/RU_Clean!AE109*100,"")</f>
        <v>6.8125</v>
      </c>
      <c r="AF121" s="12">
        <f>IF(AND(ISNUMBER(RU_Clean!AF121),ISNUMBER(RU_Clean!AF109)),(RU_Clean!AF121-RU_Clean!AF109)/RU_Clean!AF109*100,"")</f>
        <v>6.06249999999999</v>
      </c>
      <c r="AG121" s="12">
        <f>IF(AND(ISNUMBER(RU_Clean!AG121),ISNUMBER(RU_Clean!AG109)),(RU_Clean!AG121-RU_Clean!AG109)/RU_Clean!AG109*100,"")</f>
        <v>7.41421568627452</v>
      </c>
      <c r="AH121" s="12">
        <f>IF(AND(ISNUMBER(RU_Clean!AH121),ISNUMBER(RU_Clean!AH109)),(RU_Clean!AH121-RU_Clean!AH109)/RU_Clean!AH109*100,"")</f>
        <v>6.32457027300303</v>
      </c>
    </row>
    <row r="122" spans="1:34">
      <c r="A122" s="6">
        <f>RU_Clean!A122</f>
        <v>2022</v>
      </c>
      <c r="B122" s="6">
        <f>RU_Clean!B122</f>
        <v>10</v>
      </c>
      <c r="C122" s="6" t="str">
        <f>RU_Clean!C122</f>
        <v>October</v>
      </c>
      <c r="D122" s="9">
        <f>RU_Clean!D122</f>
        <v>44835</v>
      </c>
      <c r="E122" s="6"/>
      <c r="F122" s="6"/>
      <c r="G122" s="12">
        <f>IF(AND(ISNUMBER(RU_Clean!G122),ISNUMBER(RU_Clean!G110)),(RU_Clean!G122-RU_Clean!G110)/RU_Clean!G110*100,"")</f>
        <v>12.0759837177748</v>
      </c>
      <c r="H122" s="12">
        <f>IF(AND(ISNUMBER(RU_Clean!H122),ISNUMBER(RU_Clean!H110)),(RU_Clean!H122-RU_Clean!H110)/RU_Clean!H110*100,"")</f>
        <v>3.0791788856305</v>
      </c>
      <c r="I122" s="12">
        <f>IF(AND(ISNUMBER(RU_Clean!I122),ISNUMBER(RU_Clean!I110)),(RU_Clean!I122-RU_Clean!I110)/RU_Clean!I110*100,"")</f>
        <v>-0.175233644859803</v>
      </c>
      <c r="J122" s="12">
        <f>IF(AND(ISNUMBER(RU_Clean!J122),ISNUMBER(RU_Clean!J110)),(RU_Clean!J122-RU_Clean!J110)/RU_Clean!J110*100,"")</f>
        <v>7.68746061751734</v>
      </c>
      <c r="K122" s="12">
        <f>IF(AND(ISNUMBER(RU_Clean!K122),ISNUMBER(RU_Clean!K110)),(RU_Clean!K122-RU_Clean!K110)/RU_Clean!K110*100,"")</f>
        <v>-2.1511017838405</v>
      </c>
      <c r="L122" s="12">
        <f>IF(AND(ISNUMBER(RU_Clean!L122),ISNUMBER(RU_Clean!L110)),(RU_Clean!L122-RU_Clean!L110)/RU_Clean!L110*100,"")</f>
        <v>5.20231213872834</v>
      </c>
      <c r="M122" s="12">
        <f>IF(AND(ISNUMBER(RU_Clean!M122),ISNUMBER(RU_Clean!M110)),(RU_Clean!M122-RU_Clean!M110)/RU_Clean!M110*100,"")</f>
        <v>7.7711818672423</v>
      </c>
      <c r="N122" s="12">
        <f>IF(AND(ISNUMBER(RU_Clean!N122),ISNUMBER(RU_Clean!N110)),(RU_Clean!N122-RU_Clean!N110)/RU_Clean!N110*100,"")</f>
        <v>2.78450363196127</v>
      </c>
      <c r="O122" s="12">
        <f>IF(AND(ISNUMBER(RU_Clean!O122),ISNUMBER(RU_Clean!O110)),(RU_Clean!O122-RU_Clean!O110)/RU_Clean!O110*100,"")</f>
        <v>0</v>
      </c>
      <c r="P122" s="12">
        <f>IF(AND(ISNUMBER(RU_Clean!P122),ISNUMBER(RU_Clean!P110)),(RU_Clean!P122-RU_Clean!P110)/RU_Clean!P110*100,"")</f>
        <v>18.0744240992321</v>
      </c>
      <c r="Q122" s="12">
        <f>IF(AND(ISNUMBER(RU_Clean!Q122),ISNUMBER(RU_Clean!Q110)),(RU_Clean!Q122-RU_Clean!Q110)/RU_Clean!Q110*100,"")</f>
        <v>4.10539215686276</v>
      </c>
      <c r="R122" s="12">
        <f>IF(AND(ISNUMBER(RU_Clean!R122),ISNUMBER(RU_Clean!R110)),(RU_Clean!R122-RU_Clean!R110)/RU_Clean!R110*100,"")</f>
        <v>7.78477389811106</v>
      </c>
      <c r="S122" s="12">
        <f>IF(AND(ISNUMBER(RU_Clean!S122),ISNUMBER(RU_Clean!S110)),(RU_Clean!S122-RU_Clean!S110)/RU_Clean!S110*100,"")</f>
        <v>7.09600477042338</v>
      </c>
      <c r="T122" s="12">
        <f>IF(AND(ISNUMBER(RU_Clean!T122),ISNUMBER(RU_Clean!T110)),(RU_Clean!T122-RU_Clean!T110)/RU_Clean!T110*100,"")</f>
        <v>1.86818889465492</v>
      </c>
      <c r="U122" s="12">
        <f>IF(AND(ISNUMBER(RU_Clean!U122),ISNUMBER(RU_Clean!U110)),(RU_Clean!U122-RU_Clean!U110)/RU_Clean!U110*100,"")</f>
        <v>9.77670488835246</v>
      </c>
      <c r="V122" s="12">
        <f>IF(AND(ISNUMBER(RU_Clean!V122),ISNUMBER(RU_Clean!V110)),(RU_Clean!V122-RU_Clean!V110)/RU_Clean!V110*100,"")</f>
        <v>12.1561100447857</v>
      </c>
      <c r="W122" s="12">
        <f>IF(AND(ISNUMBER(RU_Clean!W122),ISNUMBER(RU_Clean!W110)),(RU_Clean!W122-RU_Clean!W110)/RU_Clean!W110*100,"")</f>
        <v>10.1643335362142</v>
      </c>
      <c r="X122" s="12">
        <f>IF(AND(ISNUMBER(RU_Clean!X122),ISNUMBER(RU_Clean!X110)),(RU_Clean!X122-RU_Clean!X110)/RU_Clean!X110*100,"")</f>
        <v>4.64547677261613</v>
      </c>
      <c r="Y122" s="12">
        <f>IF(AND(ISNUMBER(RU_Clean!Y122),ISNUMBER(RU_Clean!Y110)),(RU_Clean!Y122-RU_Clean!Y110)/RU_Clean!Y110*100,"")</f>
        <v>9.92691839220464</v>
      </c>
      <c r="Z122" s="12">
        <f>IF(AND(ISNUMBER(RU_Clean!Z122),ISNUMBER(RU_Clean!Z110)),(RU_Clean!Z122-RU_Clean!Z110)/RU_Clean!Z110*100,"")</f>
        <v>7.57575757575758</v>
      </c>
      <c r="AA122" s="12">
        <f>IF(AND(ISNUMBER(RU_Clean!AA122),ISNUMBER(RU_Clean!AA110)),(RU_Clean!AA122-RU_Clean!AA110)/RU_Clean!AA110*100,"")</f>
        <v>5.67711413364873</v>
      </c>
      <c r="AB122" s="12">
        <f>IF(AND(ISNUMBER(RU_Clean!AB122),ISNUMBER(RU_Clean!AB110)),(RU_Clean!AB122-RU_Clean!AB110)/RU_Clean!AB110*100,"")</f>
        <v>4.62427745664741</v>
      </c>
      <c r="AC122" s="12">
        <f>IF(AND(ISNUMBER(RU_Clean!AC122),ISNUMBER(RU_Clean!AC110)),(RU_Clean!AC122-RU_Clean!AC110)/RU_Clean!AC110*100,"")</f>
        <v>6.05296343001261</v>
      </c>
      <c r="AD122" s="12">
        <f>IF(AND(ISNUMBER(RU_Clean!AD122),ISNUMBER(RU_Clean!AD110)),(RU_Clean!AD122-RU_Clean!AD110)/RU_Clean!AD110*100,"")</f>
        <v>5.79621720561318</v>
      </c>
      <c r="AE122" s="12">
        <f>IF(AND(ISNUMBER(RU_Clean!AE122),ISNUMBER(RU_Clean!AE110)),(RU_Clean!AE122-RU_Clean!AE110)/RU_Clean!AE110*100,"")</f>
        <v>7.02736318407959</v>
      </c>
      <c r="AF122" s="12">
        <f>IF(AND(ISNUMBER(RU_Clean!AF122),ISNUMBER(RU_Clean!AF110)),(RU_Clean!AF122-RU_Clean!AF110)/RU_Clean!AF110*100,"")</f>
        <v>5.90062111801242</v>
      </c>
      <c r="AG122" s="12">
        <f>IF(AND(ISNUMBER(RU_Clean!AG122),ISNUMBER(RU_Clean!AG110)),(RU_Clean!AG122-RU_Clean!AG110)/RU_Clean!AG110*100,"")</f>
        <v>6.76737160120845</v>
      </c>
      <c r="AH122" s="12">
        <f>IF(AND(ISNUMBER(RU_Clean!AH122),ISNUMBER(RU_Clean!AH110)),(RU_Clean!AH122-RU_Clean!AH110)/RU_Clean!AH110*100,"")</f>
        <v>5.4736527542584</v>
      </c>
    </row>
    <row r="123" spans="1:34">
      <c r="A123" s="6">
        <f>RU_Clean!A123</f>
        <v>2022</v>
      </c>
      <c r="B123" s="6">
        <f>RU_Clean!B123</f>
        <v>11</v>
      </c>
      <c r="C123" s="6" t="str">
        <f>RU_Clean!C123</f>
        <v>November</v>
      </c>
      <c r="D123" s="9">
        <f>RU_Clean!D123</f>
        <v>44866</v>
      </c>
      <c r="E123" s="6"/>
      <c r="F123" s="6"/>
      <c r="G123" s="12">
        <f>IF(AND(ISNUMBER(RU_Clean!G123),ISNUMBER(RU_Clean!G111)),(RU_Clean!G123-RU_Clean!G111)/RU_Clean!G111*100,"")</f>
        <v>12.9554655870445</v>
      </c>
      <c r="H123" s="12">
        <f>IF(AND(ISNUMBER(RU_Clean!H123),ISNUMBER(RU_Clean!H111)),(RU_Clean!H123-RU_Clean!H111)/RU_Clean!H111*100,"")</f>
        <v>3.86904761904762</v>
      </c>
      <c r="I123" s="12">
        <f>IF(AND(ISNUMBER(RU_Clean!I123),ISNUMBER(RU_Clean!I111)),(RU_Clean!I123-RU_Clean!I111)/RU_Clean!I111*100,"")</f>
        <v>4.85549132947977</v>
      </c>
      <c r="J123" s="12">
        <f>IF(AND(ISNUMBER(RU_Clean!J123),ISNUMBER(RU_Clean!J111)),(RU_Clean!J123-RU_Clean!J111)/RU_Clean!J111*100,"")</f>
        <v>8.16070307595731</v>
      </c>
      <c r="K123" s="12">
        <f>IF(AND(ISNUMBER(RU_Clean!K123),ISNUMBER(RU_Clean!K111)),(RU_Clean!K123-RU_Clean!K111)/RU_Clean!K111*100,"")</f>
        <v>-0.631246712256701</v>
      </c>
      <c r="L123" s="12">
        <f>IF(AND(ISNUMBER(RU_Clean!L123),ISNUMBER(RU_Clean!L111)),(RU_Clean!L123-RU_Clean!L111)/RU_Clean!L111*100,"")</f>
        <v>2.68370607028753</v>
      </c>
      <c r="M123" s="12">
        <f>IF(AND(ISNUMBER(RU_Clean!M123),ISNUMBER(RU_Clean!M111)),(RU_Clean!M123-RU_Clean!M111)/RU_Clean!M111*100,"")</f>
        <v>-8.08232931726907</v>
      </c>
      <c r="N123" s="12">
        <f>IF(AND(ISNUMBER(RU_Clean!N123),ISNUMBER(RU_Clean!N111)),(RU_Clean!N123-RU_Clean!N111)/RU_Clean!N111*100,"")</f>
        <v>3.14579552329098</v>
      </c>
      <c r="O123" s="12">
        <f>IF(AND(ISNUMBER(RU_Clean!O123),ISNUMBER(RU_Clean!O111)),(RU_Clean!O123-RU_Clean!O111)/RU_Clean!O111*100,"")</f>
        <v>-0.245098039215696</v>
      </c>
      <c r="P123" s="12">
        <f>IF(AND(ISNUMBER(RU_Clean!P123),ISNUMBER(RU_Clean!P111)),(RU_Clean!P123-RU_Clean!P111)/RU_Clean!P111*100,"")</f>
        <v>19.5754716981132</v>
      </c>
      <c r="Q123" s="12">
        <f>IF(AND(ISNUMBER(RU_Clean!Q123),ISNUMBER(RU_Clean!Q111)),(RU_Clean!Q123-RU_Clean!Q111)/RU_Clean!Q111*100,"")</f>
        <v>4.09285277947466</v>
      </c>
      <c r="R123" s="12">
        <f>IF(AND(ISNUMBER(RU_Clean!R123),ISNUMBER(RU_Clean!R111)),(RU_Clean!R123-RU_Clean!R111)/RU_Clean!R111*100,"")</f>
        <v>7.97720797720798</v>
      </c>
      <c r="S123" s="12">
        <f>IF(AND(ISNUMBER(RU_Clean!S123),ISNUMBER(RU_Clean!S111)),(RU_Clean!S123-RU_Clean!S111)/RU_Clean!S111*100,"")</f>
        <v>5.06776664702417</v>
      </c>
      <c r="T123" s="12">
        <f>IF(AND(ISNUMBER(RU_Clean!T123),ISNUMBER(RU_Clean!T111)),(RU_Clean!T123-RU_Clean!T111)/RU_Clean!T111*100,"")</f>
        <v>2.07361327112494</v>
      </c>
      <c r="U123" s="12">
        <f>IF(AND(ISNUMBER(RU_Clean!U123),ISNUMBER(RU_Clean!U111)),(RU_Clean!U123-RU_Clean!U111)/RU_Clean!U111*100,"")</f>
        <v>9.50956937799043</v>
      </c>
      <c r="V123" s="12">
        <f>IF(AND(ISNUMBER(RU_Clean!V123),ISNUMBER(RU_Clean!V111)),(RU_Clean!V123-RU_Clean!V111)/RU_Clean!V111*100,"")</f>
        <v>11.9440914866582</v>
      </c>
      <c r="W123" s="12">
        <f>IF(AND(ISNUMBER(RU_Clean!W123),ISNUMBER(RU_Clean!W111)),(RU_Clean!W123-RU_Clean!W111)/RU_Clean!W111*100,"")</f>
        <v>9.83112183353437</v>
      </c>
      <c r="X123" s="12">
        <f>IF(AND(ISNUMBER(RU_Clean!X123),ISNUMBER(RU_Clean!X111)),(RU_Clean!X123-RU_Clean!X111)/RU_Clean!X111*100,"")</f>
        <v>4.62850182704021</v>
      </c>
      <c r="Y123" s="12">
        <f>IF(AND(ISNUMBER(RU_Clean!Y123),ISNUMBER(RU_Clean!Y111)),(RU_Clean!Y123-RU_Clean!Y111)/RU_Clean!Y111*100,"")</f>
        <v>10.6162294081757</v>
      </c>
      <c r="Z123" s="12">
        <f>IF(AND(ISNUMBER(RU_Clean!Z123),ISNUMBER(RU_Clean!Z111)),(RU_Clean!Z123-RU_Clean!Z111)/RU_Clean!Z111*100,"")</f>
        <v>7.59573132454488</v>
      </c>
      <c r="AA123" s="12">
        <f>IF(AND(ISNUMBER(RU_Clean!AA123),ISNUMBER(RU_Clean!AA111)),(RU_Clean!AA123-RU_Clean!AA111)/RU_Clean!AA111*100,"")</f>
        <v>5.82695703354915</v>
      </c>
      <c r="AB123" s="12">
        <f>IF(AND(ISNUMBER(RU_Clean!AB123),ISNUMBER(RU_Clean!AB111)),(RU_Clean!AB123-RU_Clean!AB111)/RU_Clean!AB111*100,"")</f>
        <v>5.29715762273901</v>
      </c>
      <c r="AC123" s="12">
        <f>IF(AND(ISNUMBER(RU_Clean!AC123),ISNUMBER(RU_Clean!AC111)),(RU_Clean!AC123-RU_Clean!AC111)/RU_Clean!AC111*100,"")</f>
        <v>5.44430538172715</v>
      </c>
      <c r="AD123" s="12">
        <f>IF(AND(ISNUMBER(RU_Clean!AD123),ISNUMBER(RU_Clean!AD111)),(RU_Clean!AD123-RU_Clean!AD111)/RU_Clean!AD111*100,"")</f>
        <v>5.72124163116249</v>
      </c>
      <c r="AE123" s="12">
        <f>IF(AND(ISNUMBER(RU_Clean!AE123),ISNUMBER(RU_Clean!AE111)),(RU_Clean!AE123-RU_Clean!AE111)/RU_Clean!AE111*100,"")</f>
        <v>7.02836004932183</v>
      </c>
      <c r="AF123" s="12">
        <f>IF(AND(ISNUMBER(RU_Clean!AF123),ISNUMBER(RU_Clean!AF111)),(RU_Clean!AF123-RU_Clean!AF111)/RU_Clean!AF111*100,"")</f>
        <v>6.00991325898388</v>
      </c>
      <c r="AG123" s="12">
        <f>IF(AND(ISNUMBER(RU_Clean!AG123),ISNUMBER(RU_Clean!AG111)),(RU_Clean!AG123-RU_Clean!AG111)/RU_Clean!AG111*100,"")</f>
        <v>5.87882423515298</v>
      </c>
      <c r="AH123" s="12">
        <f>IF(AND(ISNUMBER(RU_Clean!AH123),ISNUMBER(RU_Clean!AH111)),(RU_Clean!AH123-RU_Clean!AH111)/RU_Clean!AH111*100,"")</f>
        <v>4.64829085161036</v>
      </c>
    </row>
    <row r="124" spans="1:34">
      <c r="A124" s="6">
        <f>RU_Clean!A124</f>
        <v>2022</v>
      </c>
      <c r="B124" s="6">
        <f>RU_Clean!B124</f>
        <v>12</v>
      </c>
      <c r="C124" s="6" t="str">
        <f>RU_Clean!C124</f>
        <v>December</v>
      </c>
      <c r="D124" s="9">
        <f>RU_Clean!D124</f>
        <v>44896</v>
      </c>
      <c r="E124" s="6"/>
      <c r="F124" s="6"/>
      <c r="G124" s="12">
        <f>IF(AND(ISNUMBER(RU_Clean!G124),ISNUMBER(RU_Clean!G112)),(RU_Clean!G124-RU_Clean!G112)/RU_Clean!G112*100,"")</f>
        <v>13.7861466039005</v>
      </c>
      <c r="H124" s="12">
        <f>IF(AND(ISNUMBER(RU_Clean!H124),ISNUMBER(RU_Clean!H112)),(RU_Clean!H124-RU_Clean!H112)/RU_Clean!H112*100,"")</f>
        <v>5.13078470824949</v>
      </c>
      <c r="I124" s="12">
        <f>IF(AND(ISNUMBER(RU_Clean!I124),ISNUMBER(RU_Clean!I112)),(RU_Clean!I124-RU_Clean!I112)/RU_Clean!I112*100,"")</f>
        <v>6.91399662731871</v>
      </c>
      <c r="J124" s="12">
        <f>IF(AND(ISNUMBER(RU_Clean!J124),ISNUMBER(RU_Clean!J112)),(RU_Clean!J124-RU_Clean!J112)/RU_Clean!J112*100,"")</f>
        <v>8.56785490931832</v>
      </c>
      <c r="K124" s="12">
        <f>IF(AND(ISNUMBER(RU_Clean!K124),ISNUMBER(RU_Clean!K112)),(RU_Clean!K124-RU_Clean!K112)/RU_Clean!K112*100,"")</f>
        <v>0.479744136460557</v>
      </c>
      <c r="L124" s="12">
        <f>IF(AND(ISNUMBER(RU_Clean!L124),ISNUMBER(RU_Clean!L112)),(RU_Clean!L124-RU_Clean!L112)/RU_Clean!L112*100,"")</f>
        <v>2.00129115558424</v>
      </c>
      <c r="M124" s="12">
        <f>IF(AND(ISNUMBER(RU_Clean!M124),ISNUMBER(RU_Clean!M112)),(RU_Clean!M124-RU_Clean!M112)/RU_Clean!M112*100,"")</f>
        <v>-15.0823154540627</v>
      </c>
      <c r="N124" s="12">
        <f>IF(AND(ISNUMBER(RU_Clean!N124),ISNUMBER(RU_Clean!N112)),(RU_Clean!N124-RU_Clean!N112)/RU_Clean!N112*100,"")</f>
        <v>3.89294403892944</v>
      </c>
      <c r="O124" s="12">
        <f>IF(AND(ISNUMBER(RU_Clean!O124),ISNUMBER(RU_Clean!O112)),(RU_Clean!O124-RU_Clean!O112)/RU_Clean!O112*100,"")</f>
        <v>0.661157024793386</v>
      </c>
      <c r="P124" s="12">
        <f>IF(AND(ISNUMBER(RU_Clean!P124),ISNUMBER(RU_Clean!P112)),(RU_Clean!P124-RU_Clean!P112)/RU_Clean!P112*100,"")</f>
        <v>20.3519061583578</v>
      </c>
      <c r="Q124" s="12">
        <f>IF(AND(ISNUMBER(RU_Clean!Q124),ISNUMBER(RU_Clean!Q112)),(RU_Clean!Q124-RU_Clean!Q112)/RU_Clean!Q112*100,"")</f>
        <v>4.14129110840439</v>
      </c>
      <c r="R124" s="12">
        <f>IF(AND(ISNUMBER(RU_Clean!R124),ISNUMBER(RU_Clean!R112)),(RU_Clean!R124-RU_Clean!R112)/RU_Clean!R112*100,"")</f>
        <v>7.8186968838527</v>
      </c>
      <c r="S124" s="12">
        <f>IF(AND(ISNUMBER(RU_Clean!S124),ISNUMBER(RU_Clean!S112)),(RU_Clean!S124-RU_Clean!S112)/RU_Clean!S112*100,"")</f>
        <v>4.57788347205708</v>
      </c>
      <c r="T124" s="12">
        <f>IF(AND(ISNUMBER(RU_Clean!T124),ISNUMBER(RU_Clean!T112)),(RU_Clean!T124-RU_Clean!T112)/RU_Clean!T112*100,"")</f>
        <v>2.54677754677755</v>
      </c>
      <c r="U124" s="12">
        <f>IF(AND(ISNUMBER(RU_Clean!U124),ISNUMBER(RU_Clean!U112)),(RU_Clean!U124-RU_Clean!U112)/RU_Clean!U112*100,"")</f>
        <v>9.19881305637982</v>
      </c>
      <c r="V124" s="12">
        <f>IF(AND(ISNUMBER(RU_Clean!V124),ISNUMBER(RU_Clean!V112)),(RU_Clean!V124-RU_Clean!V112)/RU_Clean!V112*100,"")</f>
        <v>11.531190926276</v>
      </c>
      <c r="W124" s="12">
        <f>IF(AND(ISNUMBER(RU_Clean!W124),ISNUMBER(RU_Clean!W112)),(RU_Clean!W124-RU_Clean!W112)/RU_Clean!W112*100,"")</f>
        <v>9.58083832335329</v>
      </c>
      <c r="X124" s="12">
        <f>IF(AND(ISNUMBER(RU_Clean!X124),ISNUMBER(RU_Clean!X112)),(RU_Clean!X124-RU_Clean!X112)/RU_Clean!X112*100,"")</f>
        <v>4.46756425948591</v>
      </c>
      <c r="Y124" s="12">
        <f>IF(AND(ISNUMBER(RU_Clean!Y124),ISNUMBER(RU_Clean!Y112)),(RU_Clean!Y124-RU_Clean!Y112)/RU_Clean!Y112*100,"")</f>
        <v>10.9079829372334</v>
      </c>
      <c r="Z124" s="12">
        <f>IF(AND(ISNUMBER(RU_Clean!Z124),ISNUMBER(RU_Clean!Z112)),(RU_Clean!Z124-RU_Clean!Z112)/RU_Clean!Z112*100,"")</f>
        <v>7.42821473158552</v>
      </c>
      <c r="AA124" s="12">
        <f>IF(AND(ISNUMBER(RU_Clean!AA124),ISNUMBER(RU_Clean!AA112)),(RU_Clean!AA124-RU_Clean!AA112)/RU_Clean!AA112*100,"")</f>
        <v>6.15474794841735</v>
      </c>
      <c r="AB124" s="12">
        <f>IF(AND(ISNUMBER(RU_Clean!AB124),ISNUMBER(RU_Clean!AB112)),(RU_Clean!AB124-RU_Clean!AB112)/RU_Clean!AB112*100,"")</f>
        <v>4.94540783558126</v>
      </c>
      <c r="AC124" s="12">
        <f>IF(AND(ISNUMBER(RU_Clean!AC124),ISNUMBER(RU_Clean!AC112)),(RU_Clean!AC124-RU_Clean!AC112)/RU_Clean!AC112*100,"")</f>
        <v>5.1681195516812</v>
      </c>
      <c r="AD124" s="12">
        <f>IF(AND(ISNUMBER(RU_Clean!AD124),ISNUMBER(RU_Clean!AD112)),(RU_Clean!AD124-RU_Clean!AD112)/RU_Clean!AD112*100,"")</f>
        <v>5.90024330900243</v>
      </c>
      <c r="AE124" s="12">
        <f>IF(AND(ISNUMBER(RU_Clean!AE124),ISNUMBER(RU_Clean!AE112)),(RU_Clean!AE124-RU_Clean!AE112)/RU_Clean!AE112*100,"")</f>
        <v>8.11808118081182</v>
      </c>
      <c r="AF124" s="12">
        <f>IF(AND(ISNUMBER(RU_Clean!AF124),ISNUMBER(RU_Clean!AF112)),(RU_Clean!AF124-RU_Clean!AF112)/RU_Clean!AF112*100,"")</f>
        <v>6.17283950617284</v>
      </c>
      <c r="AG124" s="12">
        <f>IF(AND(ISNUMBER(RU_Clean!AG124),ISNUMBER(RU_Clean!AG112)),(RU_Clean!AG124-RU_Clean!AG112)/RU_Clean!AG112*100,"")</f>
        <v>5.71600481347774</v>
      </c>
      <c r="AH124" s="12">
        <f>IF(AND(ISNUMBER(RU_Clean!AH124),ISNUMBER(RU_Clean!AH112)),(RU_Clean!AH124-RU_Clean!AH112)/RU_Clean!AH112*100,"")</f>
        <v>4.71009092264123</v>
      </c>
    </row>
    <row r="125" spans="1:34">
      <c r="A125" s="6">
        <f>RU_Clean!A125</f>
        <v>2023</v>
      </c>
      <c r="B125" s="6">
        <f>RU_Clean!B125</f>
        <v>1</v>
      </c>
      <c r="C125" s="6" t="str">
        <f>RU_Clean!C125</f>
        <v>January</v>
      </c>
      <c r="D125" s="9">
        <f>RU_Clean!D125</f>
        <v>44927</v>
      </c>
      <c r="E125" s="6"/>
      <c r="F125" s="6"/>
      <c r="G125" s="12">
        <f>IF(AND(ISNUMBER(RU_Clean!G125),ISNUMBER(RU_Clean!G113)),(RU_Clean!G125-RU_Clean!G113)/RU_Clean!G113*100,"")</f>
        <v>16.2541806020067</v>
      </c>
      <c r="H125" s="12">
        <f>IF(AND(ISNUMBER(RU_Clean!H125),ISNUMBER(RU_Clean!H113)),(RU_Clean!H125-RU_Clean!H113)/RU_Clean!H113*100,"")</f>
        <v>6.03925515853045</v>
      </c>
      <c r="I125" s="12">
        <f>IF(AND(ISNUMBER(RU_Clean!I125),ISNUMBER(RU_Clean!I113)),(RU_Clean!I125-RU_Clean!I113)/RU_Clean!I113*100,"")</f>
        <v>8.7807606263982</v>
      </c>
      <c r="J125" s="12">
        <f>IF(AND(ISNUMBER(RU_Clean!J125),ISNUMBER(RU_Clean!J113)),(RU_Clean!J125-RU_Clean!J113)/RU_Clean!J113*100,"")</f>
        <v>8.78504672897196</v>
      </c>
      <c r="K125" s="12">
        <f>IF(AND(ISNUMBER(RU_Clean!K125),ISNUMBER(RU_Clean!K113)),(RU_Clean!K125-RU_Clean!K113)/RU_Clean!K113*100,"")</f>
        <v>1.35354629128316</v>
      </c>
      <c r="L125" s="12">
        <f>IF(AND(ISNUMBER(RU_Clean!L125),ISNUMBER(RU_Clean!L113)),(RU_Clean!L125-RU_Clean!L113)/RU_Clean!L113*100,"")</f>
        <v>2.992843201041</v>
      </c>
      <c r="M125" s="12">
        <f>IF(AND(ISNUMBER(RU_Clean!M125),ISNUMBER(RU_Clean!M113)),(RU_Clean!M125-RU_Clean!M113)/RU_Clean!M113*100,"")</f>
        <v>-11.7039586919105</v>
      </c>
      <c r="N125" s="12">
        <f>IF(AND(ISNUMBER(RU_Clean!N125),ISNUMBER(RU_Clean!N113)),(RU_Clean!N125-RU_Clean!N113)/RU_Clean!N113*100,"")</f>
        <v>4.27089688834655</v>
      </c>
      <c r="O125" s="12">
        <f>IF(AND(ISNUMBER(RU_Clean!O125),ISNUMBER(RU_Clean!O113)),(RU_Clean!O125-RU_Clean!O113)/RU_Clean!O113*100,"")</f>
        <v>0.916666666666662</v>
      </c>
      <c r="P125" s="12">
        <f>IF(AND(ISNUMBER(RU_Clean!P125),ISNUMBER(RU_Clean!P113)),(RU_Clean!P125-RU_Clean!P113)/RU_Clean!P113*100,"")</f>
        <v>21.0923881464265</v>
      </c>
      <c r="Q125" s="12">
        <f>IF(AND(ISNUMBER(RU_Clean!Q125),ISNUMBER(RU_Clean!Q113)),(RU_Clean!Q125-RU_Clean!Q113)/RU_Clean!Q113*100,"")</f>
        <v>4.32136335970785</v>
      </c>
      <c r="R125" s="12">
        <f>IF(AND(ISNUMBER(RU_Clean!R125),ISNUMBER(RU_Clean!R113)),(RU_Clean!R125-RU_Clean!R113)/RU_Clean!R113*100,"")</f>
        <v>7.83981951494641</v>
      </c>
      <c r="S125" s="12">
        <f>IF(AND(ISNUMBER(RU_Clean!S125),ISNUMBER(RU_Clean!S113)),(RU_Clean!S125-RU_Clean!S113)/RU_Clean!S113*100,"")</f>
        <v>6.18990384615384</v>
      </c>
      <c r="T125" s="12">
        <f>IF(AND(ISNUMBER(RU_Clean!T125),ISNUMBER(RU_Clean!T113)),(RU_Clean!T125-RU_Clean!T113)/RU_Clean!T113*100,"")</f>
        <v>3.12174817898023</v>
      </c>
      <c r="U125" s="12">
        <f>IF(AND(ISNUMBER(RU_Clean!U125),ISNUMBER(RU_Clean!U113)),(RU_Clean!U125-RU_Clean!U113)/RU_Clean!U113*100,"")</f>
        <v>8.82872277810477</v>
      </c>
      <c r="V125" s="12">
        <f>IF(AND(ISNUMBER(RU_Clean!V125),ISNUMBER(RU_Clean!V113)),(RU_Clean!V125-RU_Clean!V113)/RU_Clean!V113*100,"")</f>
        <v>10.5164903546982</v>
      </c>
      <c r="W125" s="12">
        <f>IF(AND(ISNUMBER(RU_Clean!W125),ISNUMBER(RU_Clean!W113)),(RU_Clean!W125-RU_Clean!W113)/RU_Clean!W113*100,"")</f>
        <v>9.08011869436202</v>
      </c>
      <c r="X125" s="12">
        <f>IF(AND(ISNUMBER(RU_Clean!X125),ISNUMBER(RU_Clean!X113)),(RU_Clean!X125-RU_Clean!X113)/RU_Clean!X113*100,"")</f>
        <v>4.62006079027355</v>
      </c>
      <c r="Y125" s="12">
        <f>IF(AND(ISNUMBER(RU_Clean!Y125),ISNUMBER(RU_Clean!Y113)),(RU_Clean!Y125-RU_Clean!Y113)/RU_Clean!Y113*100,"")</f>
        <v>10.8404384896468</v>
      </c>
      <c r="Z125" s="12">
        <f>IF(AND(ISNUMBER(RU_Clean!Z125),ISNUMBER(RU_Clean!Z113)),(RU_Clean!Z125-RU_Clean!Z113)/RU_Clean!Z113*100,"")</f>
        <v>7.32464307883303</v>
      </c>
      <c r="AA125" s="12">
        <f>IF(AND(ISNUMBER(RU_Clean!AA125),ISNUMBER(RU_Clean!AA113)),(RU_Clean!AA125-RU_Clean!AA113)/RU_Clean!AA113*100,"")</f>
        <v>6.35939323220537</v>
      </c>
      <c r="AB125" s="12">
        <f>IF(AND(ISNUMBER(RU_Clean!AB125),ISNUMBER(RU_Clean!AB113)),(RU_Clean!AB125-RU_Clean!AB113)/RU_Clean!AB113*100,"")</f>
        <v>4.5367412140575</v>
      </c>
      <c r="AC125" s="12">
        <f>IF(AND(ISNUMBER(RU_Clean!AC125),ISNUMBER(RU_Clean!AC113)),(RU_Clean!AC125-RU_Clean!AC113)/RU_Clean!AC113*100,"")</f>
        <v>5.14888337468983</v>
      </c>
      <c r="AD125" s="12">
        <f>IF(AND(ISNUMBER(RU_Clean!AD125),ISNUMBER(RU_Clean!AD113)),(RU_Clean!AD125-RU_Clean!AD113)/RU_Clean!AD113*100,"")</f>
        <v>5.82877959927142</v>
      </c>
      <c r="AE125" s="12">
        <f>IF(AND(ISNUMBER(RU_Clean!AE125),ISNUMBER(RU_Clean!AE113)),(RU_Clean!AE125-RU_Clean!AE113)/RU_Clean!AE113*100,"")</f>
        <v>9.57055214723926</v>
      </c>
      <c r="AF125" s="12">
        <f>IF(AND(ISNUMBER(RU_Clean!AF125),ISNUMBER(RU_Clean!AF113)),(RU_Clean!AF125-RU_Clean!AF113)/RU_Clean!AF113*100,"")</f>
        <v>6.20774431468963</v>
      </c>
      <c r="AG125" s="12">
        <f>IF(AND(ISNUMBER(RU_Clean!AG125),ISNUMBER(RU_Clean!AG113)),(RU_Clean!AG125-RU_Clean!AG113)/RU_Clean!AG113*100,"")</f>
        <v>6.51780325890164</v>
      </c>
      <c r="AH125" s="12">
        <f>IF(AND(ISNUMBER(RU_Clean!AH125),ISNUMBER(RU_Clean!AH113)),(RU_Clean!AH125-RU_Clean!AH113)/RU_Clean!AH113*100,"")</f>
        <v>5.91650815897488</v>
      </c>
    </row>
    <row r="126" spans="1:34">
      <c r="A126" s="6">
        <f>RU_Clean!A126</f>
        <v>2023</v>
      </c>
      <c r="B126" s="6">
        <f>RU_Clean!B126</f>
        <v>2</v>
      </c>
      <c r="C126" s="6" t="str">
        <f>RU_Clean!C126</f>
        <v>February</v>
      </c>
      <c r="D126" s="9">
        <f>RU_Clean!D126</f>
        <v>44958</v>
      </c>
      <c r="E126" s="6"/>
      <c r="F126" s="6"/>
      <c r="G126" s="12">
        <f>IF(AND(ISNUMBER(RU_Clean!G126),ISNUMBER(RU_Clean!G114)),(RU_Clean!G126-RU_Clean!G114)/RU_Clean!G114*100,"")</f>
        <v>16.2666666666667</v>
      </c>
      <c r="H126" s="12">
        <f>IF(AND(ISNUMBER(RU_Clean!H126),ISNUMBER(RU_Clean!H114)),(RU_Clean!H126-RU_Clean!H114)/RU_Clean!H114*100,"")</f>
        <v>3.53938185443669</v>
      </c>
      <c r="I126" s="12">
        <f>IF(AND(ISNUMBER(RU_Clean!I126),ISNUMBER(RU_Clean!I114)),(RU_Clean!I126-RU_Clean!I114)/RU_Clean!I114*100,"")</f>
        <v>-0.341296928327658</v>
      </c>
      <c r="J126" s="12">
        <f>IF(AND(ISNUMBER(RU_Clean!J126),ISNUMBER(RU_Clean!J114)),(RU_Clean!J126-RU_Clean!J114)/RU_Clean!J114*100,"")</f>
        <v>10.3298070939639</v>
      </c>
      <c r="K126" s="12">
        <f>IF(AND(ISNUMBER(RU_Clean!K126),ISNUMBER(RU_Clean!K114)),(RU_Clean!K126-RU_Clean!K114)/RU_Clean!K114*100,"")</f>
        <v>-3.02866414277988</v>
      </c>
      <c r="L126" s="12">
        <f>IF(AND(ISNUMBER(RU_Clean!L126),ISNUMBER(RU_Clean!L114)),(RU_Clean!L126-RU_Clean!L114)/RU_Clean!L114*100,"")</f>
        <v>10.2797657774886</v>
      </c>
      <c r="M126" s="12">
        <f>IF(AND(ISNUMBER(RU_Clean!M126),ISNUMBER(RU_Clean!M114)),(RU_Clean!M126-RU_Clean!M114)/RU_Clean!M114*100,"")</f>
        <v>-10.0176782557454</v>
      </c>
      <c r="N126" s="12">
        <f>IF(AND(ISNUMBER(RU_Clean!N126),ISNUMBER(RU_Clean!N114)),(RU_Clean!N126-RU_Clean!N114)/RU_Clean!N114*100,"")</f>
        <v>4.45937690897985</v>
      </c>
      <c r="O126" s="12">
        <f>IF(AND(ISNUMBER(RU_Clean!O126),ISNUMBER(RU_Clean!O114)),(RU_Clean!O126-RU_Clean!O114)/RU_Clean!O114*100,"")</f>
        <v>0.925147182506303</v>
      </c>
      <c r="P126" s="12">
        <f>IF(AND(ISNUMBER(RU_Clean!P126),ISNUMBER(RU_Clean!P114)),(RU_Clean!P126-RU_Clean!P114)/RU_Clean!P114*100,"")</f>
        <v>20.3098106712564</v>
      </c>
      <c r="Q126" s="12">
        <f>IF(AND(ISNUMBER(RU_Clean!Q126),ISNUMBER(RU_Clean!Q114)),(RU_Clean!Q126-RU_Clean!Q114)/RU_Clean!Q114*100,"")</f>
        <v>4.61445051608987</v>
      </c>
      <c r="R126" s="12">
        <f>IF(AND(ISNUMBER(RU_Clean!R126),ISNUMBER(RU_Clean!R114)),(RU_Clean!R126-RU_Clean!R114)/RU_Clean!R114*100,"")</f>
        <v>8.42696629213483</v>
      </c>
      <c r="S126" s="12">
        <f>IF(AND(ISNUMBER(RU_Clean!S126),ISNUMBER(RU_Clean!S114)),(RU_Clean!S126-RU_Clean!S114)/RU_Clean!S114*100,"")</f>
        <v>6.49819494584838</v>
      </c>
      <c r="T126" s="12">
        <f>IF(AND(ISNUMBER(RU_Clean!T126),ISNUMBER(RU_Clean!T114)),(RU_Clean!T126-RU_Clean!T114)/RU_Clean!T114*100,"")</f>
        <v>3.47510373443983</v>
      </c>
      <c r="U126" s="12">
        <f>IF(AND(ISNUMBER(RU_Clean!U126),ISNUMBER(RU_Clean!U114)),(RU_Clean!U126-RU_Clean!U114)/RU_Clean!U114*100,"")</f>
        <v>9.01639344262294</v>
      </c>
      <c r="V126" s="12">
        <f>IF(AND(ISNUMBER(RU_Clean!V126),ISNUMBER(RU_Clean!V114)),(RU_Clean!V126-RU_Clean!V114)/RU_Clean!V114*100,"")</f>
        <v>10.0369458128079</v>
      </c>
      <c r="W126" s="12">
        <f>IF(AND(ISNUMBER(RU_Clean!W126),ISNUMBER(RU_Clean!W114)),(RU_Clean!W126-RU_Clean!W114)/RU_Clean!W114*100,"")</f>
        <v>9.13915094339623</v>
      </c>
      <c r="X126" s="12">
        <f>IF(AND(ISNUMBER(RU_Clean!X126),ISNUMBER(RU_Clean!X114)),(RU_Clean!X126-RU_Clean!X114)/RU_Clean!X114*100,"")</f>
        <v>4.83383685800604</v>
      </c>
      <c r="Y126" s="12">
        <f>IF(AND(ISNUMBER(RU_Clean!Y126),ISNUMBER(RU_Clean!Y114)),(RU_Clean!Y126-RU_Clean!Y114)/RU_Clean!Y114*100,"")</f>
        <v>9.89740494870248</v>
      </c>
      <c r="Z126" s="12">
        <f>IF(AND(ISNUMBER(RU_Clean!Z126),ISNUMBER(RU_Clean!Z114)),(RU_Clean!Z126-RU_Clean!Z114)/RU_Clean!Z114*100,"")</f>
        <v>7.66378244746599</v>
      </c>
      <c r="AA126" s="12">
        <f>IF(AND(ISNUMBER(RU_Clean!AA126),ISNUMBER(RU_Clean!AA114)),(RU_Clean!AA126-RU_Clean!AA114)/RU_Clean!AA114*100,"")</f>
        <v>7.08478513356563</v>
      </c>
      <c r="AB126" s="12">
        <f>IF(AND(ISNUMBER(RU_Clean!AB126),ISNUMBER(RU_Clean!AB114)),(RU_Clean!AB126-RU_Clean!AB114)/RU_Clean!AB114*100,"")</f>
        <v>4.65264499681325</v>
      </c>
      <c r="AC126" s="12">
        <f>IF(AND(ISNUMBER(RU_Clean!AC126),ISNUMBER(RU_Clean!AC114)),(RU_Clean!AC126-RU_Clean!AC114)/RU_Clean!AC114*100,"")</f>
        <v>5.05860579888958</v>
      </c>
      <c r="AD126" s="12">
        <f>IF(AND(ISNUMBER(RU_Clean!AD126),ISNUMBER(RU_Clean!AD114)),(RU_Clean!AD126-RU_Clean!AD114)/RU_Clean!AD114*100,"")</f>
        <v>5.80411124546553</v>
      </c>
      <c r="AE126" s="12">
        <f>IF(AND(ISNUMBER(RU_Clean!AE126),ISNUMBER(RU_Clean!AE114)),(RU_Clean!AE126-RU_Clean!AE114)/RU_Clean!AE114*100,"")</f>
        <v>10.0973236009732</v>
      </c>
      <c r="AF126" s="12">
        <f>IF(AND(ISNUMBER(RU_Clean!AF126),ISNUMBER(RU_Clean!AF114)),(RU_Clean!AF126-RU_Clean!AF114)/RU_Clean!AF114*100,"")</f>
        <v>6.48318042813455</v>
      </c>
      <c r="AG126" s="12">
        <f>IF(AND(ISNUMBER(RU_Clean!AG126),ISNUMBER(RU_Clean!AG114)),(RU_Clean!AG126-RU_Clean!AG114)/RU_Clean!AG114*100,"")</f>
        <v>6.68272125225767</v>
      </c>
      <c r="AH126" s="12">
        <f>IF(AND(ISNUMBER(RU_Clean!AH126),ISNUMBER(RU_Clean!AH114)),(RU_Clean!AH126-RU_Clean!AH114)/RU_Clean!AH114*100,"")</f>
        <v>5.36842105263156</v>
      </c>
    </row>
    <row r="127" spans="1:34">
      <c r="A127" s="6">
        <f>RU_Clean!A127</f>
        <v>2023</v>
      </c>
      <c r="B127" s="6">
        <f>RU_Clean!B127</f>
        <v>3</v>
      </c>
      <c r="C127" s="6" t="str">
        <f>RU_Clean!C127</f>
        <v>March</v>
      </c>
      <c r="D127" s="9">
        <f>RU_Clean!D127</f>
        <v>44986</v>
      </c>
      <c r="E127" s="6"/>
      <c r="F127" s="6"/>
      <c r="G127" s="12">
        <f>IF(AND(ISNUMBER(RU_Clean!G127),ISNUMBER(RU_Clean!G115)),(RU_Clean!G127-RU_Clean!G115)/RU_Clean!G115*100,"")</f>
        <v>15.2676801057502</v>
      </c>
      <c r="H127" s="12">
        <f>IF(AND(ISNUMBER(RU_Clean!H127),ISNUMBER(RU_Clean!H115)),(RU_Clean!H127-RU_Clean!H115)/RU_Clean!H115*100,"")</f>
        <v>-1.42382534409113</v>
      </c>
      <c r="I127" s="12">
        <f>IF(AND(ISNUMBER(RU_Clean!I127),ISNUMBER(RU_Clean!I115)),(RU_Clean!I127-RU_Clean!I115)/RU_Clean!I115*100,"")</f>
        <v>4.41001191895112</v>
      </c>
      <c r="J127" s="12">
        <f>IF(AND(ISNUMBER(RU_Clean!J127),ISNUMBER(RU_Clean!J115)),(RU_Clean!J127-RU_Clean!J115)/RU_Clean!J115*100,"")</f>
        <v>9.30949445129471</v>
      </c>
      <c r="K127" s="12">
        <f>IF(AND(ISNUMBER(RU_Clean!K127),ISNUMBER(RU_Clean!K115)),(RU_Clean!K127-RU_Clean!K115)/RU_Clean!K115*100,"")</f>
        <v>-7.9136690647482</v>
      </c>
      <c r="L127" s="12">
        <f>IF(AND(ISNUMBER(RU_Clean!L127),ISNUMBER(RU_Clean!L115)),(RU_Clean!L127-RU_Clean!L115)/RU_Clean!L115*100,"")</f>
        <v>7.5507614213198</v>
      </c>
      <c r="M127" s="12">
        <f>IF(AND(ISNUMBER(RU_Clean!M127),ISNUMBER(RU_Clean!M115)),(RU_Clean!M127-RU_Clean!M115)/RU_Clean!M115*100,"")</f>
        <v>-8.44817255841821</v>
      </c>
      <c r="N127" s="12">
        <f>IF(AND(ISNUMBER(RU_Clean!N127),ISNUMBER(RU_Clean!N115)),(RU_Clean!N127-RU_Clean!N115)/RU_Clean!N115*100,"")</f>
        <v>4.39292251372788</v>
      </c>
      <c r="O127" s="12">
        <f>IF(AND(ISNUMBER(RU_Clean!O127),ISNUMBER(RU_Clean!O115)),(RU_Clean!O127-RU_Clean!O115)/RU_Clean!O115*100,"")</f>
        <v>1.01010101010101</v>
      </c>
      <c r="P127" s="12">
        <f>IF(AND(ISNUMBER(RU_Clean!P127),ISNUMBER(RU_Clean!P115)),(RU_Clean!P127-RU_Clean!P115)/RU_Clean!P115*100,"")</f>
        <v>18.2074408117249</v>
      </c>
      <c r="Q127" s="12">
        <f>IF(AND(ISNUMBER(RU_Clean!Q127),ISNUMBER(RU_Clean!Q115)),(RU_Clean!Q127-RU_Clean!Q115)/RU_Clean!Q115*100,"")</f>
        <v>4.23472474289171</v>
      </c>
      <c r="R127" s="12">
        <f>IF(AND(ISNUMBER(RU_Clean!R127),ISNUMBER(RU_Clean!R115)),(RU_Clean!R127-RU_Clean!R115)/RU_Clean!R115*100,"")</f>
        <v>7.64082543223647</v>
      </c>
      <c r="S127" s="12">
        <f>IF(AND(ISNUMBER(RU_Clean!S127),ISNUMBER(RU_Clean!S115)),(RU_Clean!S127-RU_Clean!S115)/RU_Clean!S115*100,"")</f>
        <v>5.10688836104513</v>
      </c>
      <c r="T127" s="12">
        <f>IF(AND(ISNUMBER(RU_Clean!T127),ISNUMBER(RU_Clean!T115)),(RU_Clean!T127-RU_Clean!T115)/RU_Clean!T115*100,"")</f>
        <v>2.99432111512649</v>
      </c>
      <c r="U127" s="12">
        <f>IF(AND(ISNUMBER(RU_Clean!U127),ISNUMBER(RU_Clean!U115)),(RU_Clean!U127-RU_Clean!U115)/RU_Clean!U115*100,"")</f>
        <v>8.13480534572923</v>
      </c>
      <c r="V127" s="12">
        <f>IF(AND(ISNUMBER(RU_Clean!V127),ISNUMBER(RU_Clean!V115)),(RU_Clean!V127-RU_Clean!V115)/RU_Clean!V115*100,"")</f>
        <v>8.56622114216282</v>
      </c>
      <c r="W127" s="12">
        <f>IF(AND(ISNUMBER(RU_Clean!W127),ISNUMBER(RU_Clean!W115)),(RU_Clean!W127-RU_Clean!W115)/RU_Clean!W115*100,"")</f>
        <v>8.18234950321449</v>
      </c>
      <c r="X127" s="12">
        <f>IF(AND(ISNUMBER(RU_Clean!X127),ISNUMBER(RU_Clean!X115)),(RU_Clean!X127-RU_Clean!X115)/RU_Clean!X115*100,"")</f>
        <v>4.96067755595886</v>
      </c>
      <c r="Y127" s="12">
        <f>IF(AND(ISNUMBER(RU_Clean!Y127),ISNUMBER(RU_Clean!Y115)),(RU_Clean!Y127-RU_Clean!Y115)/RU_Clean!Y115*100,"")</f>
        <v>8.79186602870815</v>
      </c>
      <c r="Z127" s="12">
        <f>IF(AND(ISNUMBER(RU_Clean!Z127),ISNUMBER(RU_Clean!Z115)),(RU_Clean!Z127-RU_Clean!Z115)/RU_Clean!Z115*100,"")</f>
        <v>7.00245700245699</v>
      </c>
      <c r="AA127" s="12">
        <f>IF(AND(ISNUMBER(RU_Clean!AA127),ISNUMBER(RU_Clean!AA115)),(RU_Clean!AA127-RU_Clean!AA115)/RU_Clean!AA115*100,"")</f>
        <v>6.58959537572255</v>
      </c>
      <c r="AB127" s="12">
        <f>IF(AND(ISNUMBER(RU_Clean!AB127),ISNUMBER(RU_Clean!AB115)),(RU_Clean!AB127-RU_Clean!AB115)/RU_Clean!AB115*100,"")</f>
        <v>3.98986700443317</v>
      </c>
      <c r="AC127" s="12">
        <f>IF(AND(ISNUMBER(RU_Clean!AC127),ISNUMBER(RU_Clean!AC115)),(RU_Clean!AC127-RU_Clean!AC115)/RU_Clean!AC115*100,"")</f>
        <v>4.28658909981629</v>
      </c>
      <c r="AD127" s="12">
        <f>IF(AND(ISNUMBER(RU_Clean!AD127),ISNUMBER(RU_Clean!AD115)),(RU_Clean!AD127-RU_Clean!AD115)/RU_Clean!AD115*100,"")</f>
        <v>5.42168674698795</v>
      </c>
      <c r="AE127" s="12">
        <f>IF(AND(ISNUMBER(RU_Clean!AE127),ISNUMBER(RU_Clean!AE115)),(RU_Clean!AE127-RU_Clean!AE115)/RU_Clean!AE115*100,"")</f>
        <v>8.25358851674642</v>
      </c>
      <c r="AF127" s="12">
        <f>IF(AND(ISNUMBER(RU_Clean!AF127),ISNUMBER(RU_Clean!AF115)),(RU_Clean!AF127-RU_Clean!AF115)/RU_Clean!AF115*100,"")</f>
        <v>5.77156743620899</v>
      </c>
      <c r="AG127" s="12">
        <f>IF(AND(ISNUMBER(RU_Clean!AG127),ISNUMBER(RU_Clean!AG115)),(RU_Clean!AG127-RU_Clean!AG115)/RU_Clean!AG115*100,"")</f>
        <v>5.66487775790101</v>
      </c>
      <c r="AH127" s="12">
        <f>IF(AND(ISNUMBER(RU_Clean!AH127),ISNUMBER(RU_Clean!AH115)),(RU_Clean!AH127-RU_Clean!AH115)/RU_Clean!AH115*100,"")</f>
        <v>4.28613949796605</v>
      </c>
    </row>
    <row r="128" spans="1:34">
      <c r="A128" s="6">
        <f>RU_Clean!A128</f>
        <v>2023</v>
      </c>
      <c r="B128" s="6">
        <f>RU_Clean!B128</f>
        <v>4</v>
      </c>
      <c r="C128" s="6" t="str">
        <f>RU_Clean!C128</f>
        <v>April</v>
      </c>
      <c r="D128" s="9">
        <f>RU_Clean!D128</f>
        <v>45017</v>
      </c>
      <c r="E128" s="6"/>
      <c r="F128" s="6"/>
      <c r="G128" s="12">
        <f>IF(AND(ISNUMBER(RU_Clean!G128),ISNUMBER(RU_Clean!G116)),(RU_Clean!G128-RU_Clean!G116)/RU_Clean!G116*100,"")</f>
        <v>13.6690647482014</v>
      </c>
      <c r="H128" s="12">
        <f>IF(AND(ISNUMBER(RU_Clean!H128),ISNUMBER(RU_Clean!H116)),(RU_Clean!H128-RU_Clean!H116)/RU_Clean!H116*100,"")</f>
        <v>-1.18035882908404</v>
      </c>
      <c r="I128" s="12">
        <f>IF(AND(ISNUMBER(RU_Clean!I128),ISNUMBER(RU_Clean!I116)),(RU_Clean!I128-RU_Clean!I116)/RU_Clean!I116*100,"")</f>
        <v>3.10030395136778</v>
      </c>
      <c r="J128" s="12">
        <f>IF(AND(ISNUMBER(RU_Clean!J128),ISNUMBER(RU_Clean!J116)),(RU_Clean!J128-RU_Clean!J116)/RU_Clean!J116*100,"")</f>
        <v>8.84685784014643</v>
      </c>
      <c r="K128" s="12">
        <f>IF(AND(ISNUMBER(RU_Clean!K128),ISNUMBER(RU_Clean!K116)),(RU_Clean!K128-RU_Clean!K116)/RU_Clean!K116*100,"")</f>
        <v>-12.3308270676692</v>
      </c>
      <c r="L128" s="12">
        <f>IF(AND(ISNUMBER(RU_Clean!L128),ISNUMBER(RU_Clean!L116)),(RU_Clean!L128-RU_Clean!L116)/RU_Clean!L116*100,"")</f>
        <v>2.14368482039398</v>
      </c>
      <c r="M128" s="12">
        <f>IF(AND(ISNUMBER(RU_Clean!M128),ISNUMBER(RU_Clean!M116)),(RU_Clean!M128-RU_Clean!M116)/RU_Clean!M116*100,"")</f>
        <v>-6.49819494584836</v>
      </c>
      <c r="N128" s="12">
        <f>IF(AND(ISNUMBER(RU_Clean!N128),ISNUMBER(RU_Clean!N116)),(RU_Clean!N128-RU_Clean!N116)/RU_Clean!N116*100,"")</f>
        <v>5.28233151183972</v>
      </c>
      <c r="O128" s="12">
        <f>IF(AND(ISNUMBER(RU_Clean!O128),ISNUMBER(RU_Clean!O116)),(RU_Clean!O128-RU_Clean!O116)/RU_Clean!O116*100,"")</f>
        <v>1.9327731092437</v>
      </c>
      <c r="P128" s="12">
        <f>IF(AND(ISNUMBER(RU_Clean!P128),ISNUMBER(RU_Clean!P116)),(RU_Clean!P128-RU_Clean!P116)/RU_Clean!P116*100,"")</f>
        <v>17.4296745725317</v>
      </c>
      <c r="Q128" s="12">
        <f>IF(AND(ISNUMBER(RU_Clean!Q128),ISNUMBER(RU_Clean!Q116)),(RU_Clean!Q128-RU_Clean!Q116)/RU_Clean!Q116*100,"")</f>
        <v>4.03128760529484</v>
      </c>
      <c r="R128" s="12">
        <f>IF(AND(ISNUMBER(RU_Clean!R128),ISNUMBER(RU_Clean!R116)),(RU_Clean!R128-RU_Clean!R116)/RU_Clean!R116*100,"")</f>
        <v>6.96517412935323</v>
      </c>
      <c r="S128" s="12">
        <f>IF(AND(ISNUMBER(RU_Clean!S128),ISNUMBER(RU_Clean!S116)),(RU_Clean!S128-RU_Clean!S116)/RU_Clean!S116*100,"")</f>
        <v>4.15690866510538</v>
      </c>
      <c r="T128" s="12">
        <f>IF(AND(ISNUMBER(RU_Clean!T128),ISNUMBER(RU_Clean!T116)),(RU_Clean!T128-RU_Clean!T116)/RU_Clean!T116*100,"")</f>
        <v>3.45538937596699</v>
      </c>
      <c r="U128" s="12">
        <f>IF(AND(ISNUMBER(RU_Clean!U128),ISNUMBER(RU_Clean!U116)),(RU_Clean!U128-RU_Clean!U116)/RU_Clean!U116*100,"")</f>
        <v>7.47556066705003</v>
      </c>
      <c r="V128" s="12">
        <f>IF(AND(ISNUMBER(RU_Clean!V128),ISNUMBER(RU_Clean!V116)),(RU_Clean!V128-RU_Clean!V116)/RU_Clean!V116*100,"")</f>
        <v>7.62762762762762</v>
      </c>
      <c r="W128" s="12">
        <f>IF(AND(ISNUMBER(RU_Clean!W128),ISNUMBER(RU_Clean!W116)),(RU_Clean!W128-RU_Clean!W116)/RU_Clean!W116*100,"")</f>
        <v>7.46527777777776</v>
      </c>
      <c r="X128" s="12">
        <f>IF(AND(ISNUMBER(RU_Clean!X128),ISNUMBER(RU_Clean!X116)),(RU_Clean!X128-RU_Clean!X116)/RU_Clean!X116*100,"")</f>
        <v>4.91017964071856</v>
      </c>
      <c r="Y128" s="12">
        <f>IF(AND(ISNUMBER(RU_Clean!Y128),ISNUMBER(RU_Clean!Y116)),(RU_Clean!Y128-RU_Clean!Y116)/RU_Clean!Y116*100,"")</f>
        <v>5.51684088269454</v>
      </c>
      <c r="Z128" s="12">
        <f>IF(AND(ISNUMBER(RU_Clean!Z128),ISNUMBER(RU_Clean!Z116)),(RU_Clean!Z128-RU_Clean!Z116)/RU_Clean!Z116*100,"")</f>
        <v>6.46341463414634</v>
      </c>
      <c r="AA128" s="12">
        <f>IF(AND(ISNUMBER(RU_Clean!AA128),ISNUMBER(RU_Clean!AA116)),(RU_Clean!AA128-RU_Clean!AA116)/RU_Clean!AA116*100,"")</f>
        <v>6.32183908045977</v>
      </c>
      <c r="AB128" s="12">
        <f>IF(AND(ISNUMBER(RU_Clean!AB128),ISNUMBER(RU_Clean!AB116)),(RU_Clean!AB128-RU_Clean!AB116)/RU_Clean!AB116*100,"")</f>
        <v>1.16851168511685</v>
      </c>
      <c r="AC128" s="12">
        <f>IF(AND(ISNUMBER(RU_Clean!AC128),ISNUMBER(RU_Clean!AC116)),(RU_Clean!AC128-RU_Clean!AC116)/RU_Clean!AC116*100,"")</f>
        <v>3.83211678832116</v>
      </c>
      <c r="AD128" s="12">
        <f>IF(AND(ISNUMBER(RU_Clean!AD128),ISNUMBER(RU_Clean!AD116)),(RU_Clean!AD128-RU_Clean!AD116)/RU_Clean!AD116*100,"")</f>
        <v>5.69203115638107</v>
      </c>
      <c r="AE128" s="12">
        <f>IF(AND(ISNUMBER(RU_Clean!AE128),ISNUMBER(RU_Clean!AE116)),(RU_Clean!AE128-RU_Clean!AE116)/RU_Clean!AE116*100,"")</f>
        <v>9.00473933649288</v>
      </c>
      <c r="AF128" s="12">
        <f>IF(AND(ISNUMBER(RU_Clean!AF128),ISNUMBER(RU_Clean!AF116)),(RU_Clean!AF128-RU_Clean!AF116)/RU_Clean!AF116*100,"")</f>
        <v>4.91606714628297</v>
      </c>
      <c r="AG128" s="12">
        <f>IF(AND(ISNUMBER(RU_Clean!AG128),ISNUMBER(RU_Clean!AG116)),(RU_Clean!AG128-RU_Clean!AG116)/RU_Clean!AG116*100,"")</f>
        <v>4.70311581422693</v>
      </c>
      <c r="AH128" s="12">
        <f>IF(AND(ISNUMBER(RU_Clean!AH128),ISNUMBER(RU_Clean!AH116)),(RU_Clean!AH128-RU_Clean!AH116)/RU_Clean!AH116*100,"")</f>
        <v>3.33741130413506</v>
      </c>
    </row>
    <row r="129" spans="1:34">
      <c r="A129" s="6">
        <f>RU_Clean!A129</f>
        <v>2023</v>
      </c>
      <c r="B129" s="6">
        <f>RU_Clean!B129</f>
        <v>5</v>
      </c>
      <c r="C129" s="6" t="str">
        <f>RU_Clean!C129</f>
        <v>May</v>
      </c>
      <c r="D129" s="9">
        <f>RU_Clean!D129</f>
        <v>45047</v>
      </c>
      <c r="E129" s="6"/>
      <c r="F129" s="6"/>
      <c r="G129" s="12">
        <f>IF(AND(ISNUMBER(RU_Clean!G129),ISNUMBER(RU_Clean!G117)),(RU_Clean!G129-RU_Clean!G117)/RU_Clean!G117*100,"")</f>
        <v>12.7190136275146</v>
      </c>
      <c r="H129" s="12">
        <f>IF(AND(ISNUMBER(RU_Clean!H129),ISNUMBER(RU_Clean!H117)),(RU_Clean!H129-RU_Clean!H117)/RU_Clean!H117*100,"")</f>
        <v>-1.2442396313364</v>
      </c>
      <c r="I129" s="12">
        <f>IF(AND(ISNUMBER(RU_Clean!I129),ISNUMBER(RU_Clean!I117)),(RU_Clean!I129-RU_Clean!I117)/RU_Clean!I117*100,"")</f>
        <v>6.65024630541871</v>
      </c>
      <c r="J129" s="12">
        <f>IF(AND(ISNUMBER(RU_Clean!J129),ISNUMBER(RU_Clean!J117)),(RU_Clean!J129-RU_Clean!J117)/RU_Clean!J117*100,"")</f>
        <v>8.85385081867798</v>
      </c>
      <c r="K129" s="12">
        <f>IF(AND(ISNUMBER(RU_Clean!K129),ISNUMBER(RU_Clean!K117)),(RU_Clean!K129-RU_Clean!K117)/RU_Clean!K117*100,"")</f>
        <v>-16.0079051383399</v>
      </c>
      <c r="L129" s="12">
        <f>IF(AND(ISNUMBER(RU_Clean!L129),ISNUMBER(RU_Clean!L117)),(RU_Clean!L129-RU_Clean!L117)/RU_Clean!L117*100,"")</f>
        <v>0.701754385964906</v>
      </c>
      <c r="M129" s="12">
        <f>IF(AND(ISNUMBER(RU_Clean!M129),ISNUMBER(RU_Clean!M117)),(RU_Clean!M129-RU_Clean!M117)/RU_Clean!M117*100,"")</f>
        <v>-7.94739851343625</v>
      </c>
      <c r="N129" s="12">
        <f>IF(AND(ISNUMBER(RU_Clean!N129),ISNUMBER(RU_Clean!N117)),(RU_Clean!N129-RU_Clean!N117)/RU_Clean!N117*100,"")</f>
        <v>6.61809350333941</v>
      </c>
      <c r="O129" s="12">
        <f>IF(AND(ISNUMBER(RU_Clean!O129),ISNUMBER(RU_Clean!O117)),(RU_Clean!O129-RU_Clean!O117)/RU_Clean!O117*100,"")</f>
        <v>2.5062656641604</v>
      </c>
      <c r="P129" s="12">
        <f>IF(AND(ISNUMBER(RU_Clean!P129),ISNUMBER(RU_Clean!P117)),(RU_Clean!P129-RU_Clean!P117)/RU_Clean!P117*100,"")</f>
        <v>17.9015684153597</v>
      </c>
      <c r="Q129" s="12">
        <f>IF(AND(ISNUMBER(RU_Clean!Q129),ISNUMBER(RU_Clean!Q117)),(RU_Clean!Q129-RU_Clean!Q117)/RU_Clean!Q117*100,"")</f>
        <v>3.77019748653502</v>
      </c>
      <c r="R129" s="12">
        <f>IF(AND(ISNUMBER(RU_Clean!R129),ISNUMBER(RU_Clean!R117)),(RU_Clean!R129-RU_Clean!R117)/RU_Clean!R117*100,"")</f>
        <v>6.41095890410958</v>
      </c>
      <c r="S129" s="12">
        <f>IF(AND(ISNUMBER(RU_Clean!S129),ISNUMBER(RU_Clean!S117)),(RU_Clean!S129-RU_Clean!S117)/RU_Clean!S117*100,"")</f>
        <v>3.34679746105019</v>
      </c>
      <c r="T129" s="12">
        <f>IF(AND(ISNUMBER(RU_Clean!T129),ISNUMBER(RU_Clean!T117)),(RU_Clean!T129-RU_Clean!T117)/RU_Clean!T117*100,"")</f>
        <v>3.5548686244204</v>
      </c>
      <c r="U129" s="12">
        <f>IF(AND(ISNUMBER(RU_Clean!U129),ISNUMBER(RU_Clean!U117)),(RU_Clean!U129-RU_Clean!U117)/RU_Clean!U117*100,"")</f>
        <v>6.66287015945331</v>
      </c>
      <c r="V129" s="12">
        <f>IF(AND(ISNUMBER(RU_Clean!V129),ISNUMBER(RU_Clean!V117)),(RU_Clean!V129-RU_Clean!V117)/RU_Clean!V117*100,"")</f>
        <v>6.71021377672208</v>
      </c>
      <c r="W129" s="12">
        <f>IF(AND(ISNUMBER(RU_Clean!W129),ISNUMBER(RU_Clean!W117)),(RU_Clean!W129-RU_Clean!W117)/RU_Clean!W117*100,"")</f>
        <v>6.64375715922107</v>
      </c>
      <c r="X129" s="12">
        <f>IF(AND(ISNUMBER(RU_Clean!X129),ISNUMBER(RU_Clean!X117)),(RU_Clean!X129-RU_Clean!X117)/RU_Clean!X117*100,"")</f>
        <v>4.83582089552238</v>
      </c>
      <c r="Y129" s="12">
        <f>IF(AND(ISNUMBER(RU_Clean!Y129),ISNUMBER(RU_Clean!Y117)),(RU_Clean!Y129-RU_Clean!Y117)/RU_Clean!Y117*100,"")</f>
        <v>4.69644902634594</v>
      </c>
      <c r="Z129" s="12">
        <f>IF(AND(ISNUMBER(RU_Clean!Z129),ISNUMBER(RU_Clean!Z117)),(RU_Clean!Z129-RU_Clean!Z117)/RU_Clean!Z117*100,"")</f>
        <v>6.05326876513317</v>
      </c>
      <c r="AA129" s="12">
        <f>IF(AND(ISNUMBER(RU_Clean!AA129),ISNUMBER(RU_Clean!AA117)),(RU_Clean!AA129-RU_Clean!AA117)/RU_Clean!AA117*100,"")</f>
        <v>6.23569794050342</v>
      </c>
      <c r="AB129" s="12">
        <f>IF(AND(ISNUMBER(RU_Clean!AB129),ISNUMBER(RU_Clean!AB117)),(RU_Clean!AB129-RU_Clean!AB117)/RU_Clean!AB117*100,"")</f>
        <v>1.10429447852761</v>
      </c>
      <c r="AC129" s="12">
        <f>IF(AND(ISNUMBER(RU_Clean!AC129),ISNUMBER(RU_Clean!AC117)),(RU_Clean!AC129-RU_Clean!AC117)/RU_Clean!AC117*100,"")</f>
        <v>3.69473046638401</v>
      </c>
      <c r="AD129" s="12">
        <f>IF(AND(ISNUMBER(RU_Clean!AD129),ISNUMBER(RU_Clean!AD117)),(RU_Clean!AD129-RU_Clean!AD117)/RU_Clean!AD117*100,"")</f>
        <v>5.47945205479451</v>
      </c>
      <c r="AE129" s="12">
        <f>IF(AND(ISNUMBER(RU_Clean!AE129),ISNUMBER(RU_Clean!AE117)),(RU_Clean!AE129-RU_Clean!AE117)/RU_Clean!AE117*100,"")</f>
        <v>9.97624703087885</v>
      </c>
      <c r="AF129" s="12">
        <f>IF(AND(ISNUMBER(RU_Clean!AF129),ISNUMBER(RU_Clean!AF117)),(RU_Clean!AF129-RU_Clean!AF117)/RU_Clean!AF117*100,"")</f>
        <v>4.8955223880597</v>
      </c>
      <c r="AG129" s="12">
        <f>IF(AND(ISNUMBER(RU_Clean!AG129),ISNUMBER(RU_Clean!AG117)),(RU_Clean!AG129-RU_Clean!AG117)/RU_Clean!AG117*100,"")</f>
        <v>4.30984274898078</v>
      </c>
      <c r="AH129" s="12">
        <f>IF(AND(ISNUMBER(RU_Clean!AH129),ISNUMBER(RU_Clean!AH117)),(RU_Clean!AH129-RU_Clean!AH117)/RU_Clean!AH117*100,"")</f>
        <v>3.0112316034082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14" workbookViewId="0">
      <selection activeCell="E18" sqref="E18"/>
    </sheetView>
  </sheetViews>
  <sheetFormatPr defaultColWidth="8.67592592592593" defaultRowHeight="14.4" outlineLevelCol="7"/>
  <cols>
    <col min="1" max="1" width="30" customWidth="1"/>
    <col min="2" max="2" width="26" customWidth="1"/>
    <col min="3" max="3" width="18" customWidth="1"/>
    <col min="4" max="4" width="3" customWidth="1"/>
    <col min="5" max="5" width="37.7777777777778" customWidth="1"/>
    <col min="6" max="7" width="16" customWidth="1"/>
    <col min="8" max="8" width="8" customWidth="1"/>
  </cols>
  <sheetData>
    <row r="1" ht="17.4" spans="1:8">
      <c r="A1" s="1" t="s">
        <v>77</v>
      </c>
    </row>
    <row r="2" spans="1:8">
      <c r="A2" s="2" t="s">
        <v>78</v>
      </c>
    </row>
    <row r="3" spans="1:8">
      <c r="A3" s="5" t="s">
        <v>79</v>
      </c>
      <c r="B3" s="28">
        <f>MAX(RU_Clean!$D$5:$D$129)</f>
        <v>45047</v>
      </c>
    </row>
    <row r="4" spans="1:8">
      <c r="A4" s="5" t="s">
        <v>80</v>
      </c>
      <c r="B4" s="6">
        <f>MATCH(B3,RU_Clean!$D$5:$D$129,0)</f>
        <v>125</v>
      </c>
    </row>
    <row r="8" ht="26.4" spans="1:8">
      <c r="A8" s="8" t="s">
        <v>81</v>
      </c>
      <c r="B8" s="8" t="s">
        <v>82</v>
      </c>
      <c r="C8" s="8" t="s">
        <v>83</v>
      </c>
      <c r="E8" s="8" t="s">
        <v>84</v>
      </c>
      <c r="F8" s="8" t="s">
        <v>85</v>
      </c>
      <c r="G8" s="8" t="s">
        <v>86</v>
      </c>
      <c r="H8" s="8" t="s">
        <v>87</v>
      </c>
    </row>
    <row r="9" spans="1:8">
      <c r="A9" s="6" t="s">
        <v>21</v>
      </c>
      <c r="B9" s="14" t="s">
        <v>88</v>
      </c>
      <c r="C9" s="16">
        <f>INDEX(RU_Clean!$G$5:$AH$129,$B$4,MATCH($A9,RU_Clean!$G$4:$AH$4,0))</f>
        <v>173.7</v>
      </c>
      <c r="E9" s="6" t="s">
        <v>88</v>
      </c>
      <c r="F9" s="19">
        <f t="shared" ref="F9:F16" si="0">SUMIF($B$9:$B$32,E9,$C$9:$C$32)</f>
        <v>2127.8</v>
      </c>
      <c r="G9" s="20">
        <f t="shared" ref="G9:G16" si="1">F9/$F$17</f>
        <v>0.496094751812735</v>
      </c>
      <c r="H9" s="6">
        <f t="shared" ref="H9:H16" si="2">RANK(G9,$G$9:$G$16)</f>
        <v>1</v>
      </c>
    </row>
    <row r="10" spans="1:8">
      <c r="A10" s="6" t="s">
        <v>22</v>
      </c>
      <c r="B10" s="14" t="s">
        <v>88</v>
      </c>
      <c r="C10" s="16">
        <f>INDEX(RU_Clean!$G$5:$AH$129,$B$4,MATCH($A10,RU_Clean!$G$4:$AH$4,0))</f>
        <v>214.3</v>
      </c>
      <c r="E10" s="6" t="s">
        <v>89</v>
      </c>
      <c r="F10" s="19">
        <f t="shared" si="0"/>
        <v>367</v>
      </c>
      <c r="G10" s="20">
        <f t="shared" si="1"/>
        <v>0.0855657364015761</v>
      </c>
      <c r="H10" s="6">
        <f t="shared" si="2"/>
        <v>3</v>
      </c>
    </row>
    <row r="11" spans="1:8">
      <c r="A11" s="6" t="s">
        <v>23</v>
      </c>
      <c r="B11" s="14" t="s">
        <v>88</v>
      </c>
      <c r="C11" s="16">
        <f>INDEX(RU_Clean!$G$5:$AH$129,$B$4,MATCH($A11,RU_Clean!$G$4:$AH$4,0))</f>
        <v>173.2</v>
      </c>
      <c r="E11" s="6" t="s">
        <v>38</v>
      </c>
      <c r="F11" s="19">
        <f t="shared" si="0"/>
        <v>175.6</v>
      </c>
      <c r="G11" s="20">
        <f t="shared" si="1"/>
        <v>0.0409409899512718</v>
      </c>
      <c r="H11" s="6">
        <f t="shared" si="2"/>
        <v>7</v>
      </c>
    </row>
    <row r="12" spans="1:8">
      <c r="A12" s="6" t="s">
        <v>24</v>
      </c>
      <c r="B12" s="14" t="s">
        <v>88</v>
      </c>
      <c r="C12" s="16">
        <f>INDEX(RU_Clean!$G$5:$AH$129,$B$4,MATCH($A12,RU_Clean!$G$4:$AH$4,0))</f>
        <v>179.5</v>
      </c>
      <c r="E12" s="6" t="s">
        <v>90</v>
      </c>
      <c r="F12" s="19">
        <f t="shared" si="0"/>
        <v>182.8</v>
      </c>
      <c r="G12" s="20">
        <f t="shared" si="1"/>
        <v>0.0426196637989322</v>
      </c>
      <c r="H12" s="6">
        <f t="shared" si="2"/>
        <v>5</v>
      </c>
    </row>
    <row r="13" spans="1:8">
      <c r="A13" s="6" t="s">
        <v>25</v>
      </c>
      <c r="B13" s="14" t="s">
        <v>88</v>
      </c>
      <c r="C13" s="16">
        <f>INDEX(RU_Clean!$G$5:$AH$129,$B$4,MATCH($A13,RU_Clean!$G$4:$AH$4,0))</f>
        <v>170</v>
      </c>
      <c r="E13" s="6" t="s">
        <v>41</v>
      </c>
      <c r="F13" s="19">
        <f t="shared" si="0"/>
        <v>185.7</v>
      </c>
      <c r="G13" s="20">
        <f t="shared" si="1"/>
        <v>0.0432957963209065</v>
      </c>
      <c r="H13" s="6">
        <f t="shared" si="2"/>
        <v>4</v>
      </c>
    </row>
    <row r="14" spans="1:8">
      <c r="A14" s="6" t="s">
        <v>26</v>
      </c>
      <c r="B14" s="14" t="s">
        <v>88</v>
      </c>
      <c r="C14" s="16">
        <f>INDEX(RU_Clean!$G$5:$AH$129,$B$4,MATCH($A14,RU_Clean!$G$4:$AH$4,0))</f>
        <v>172.2</v>
      </c>
      <c r="E14" s="6" t="s">
        <v>44</v>
      </c>
      <c r="F14" s="19">
        <f t="shared" si="0"/>
        <v>177.1</v>
      </c>
      <c r="G14" s="20">
        <f t="shared" si="1"/>
        <v>0.0412907136695344</v>
      </c>
      <c r="H14" s="6">
        <f t="shared" si="2"/>
        <v>6</v>
      </c>
    </row>
    <row r="15" spans="1:8">
      <c r="A15" s="6" t="s">
        <v>27</v>
      </c>
      <c r="B15" s="14" t="s">
        <v>88</v>
      </c>
      <c r="C15" s="16">
        <f>INDEX(RU_Clean!$G$5:$AH$129,$B$4,MATCH($A15,RU_Clean!$G$4:$AH$4,0))</f>
        <v>161</v>
      </c>
      <c r="E15" s="6" t="s">
        <v>91</v>
      </c>
      <c r="F15" s="19">
        <f t="shared" si="0"/>
        <v>164.8</v>
      </c>
      <c r="G15" s="20">
        <f t="shared" si="1"/>
        <v>0.0384229791797813</v>
      </c>
      <c r="H15" s="6">
        <f t="shared" si="2"/>
        <v>8</v>
      </c>
    </row>
    <row r="16" spans="1:8">
      <c r="A16" s="6" t="s">
        <v>28</v>
      </c>
      <c r="B16" s="14" t="s">
        <v>88</v>
      </c>
      <c r="C16" s="16">
        <f>INDEX(RU_Clean!$G$5:$AH$129,$B$4,MATCH($A16,RU_Clean!$G$4:$AH$4,0))</f>
        <v>175.6</v>
      </c>
      <c r="E16" s="6" t="s">
        <v>92</v>
      </c>
      <c r="F16" s="19">
        <f t="shared" si="0"/>
        <v>908.3</v>
      </c>
      <c r="G16" s="20">
        <f t="shared" si="1"/>
        <v>0.211769368865263</v>
      </c>
      <c r="H16" s="6">
        <f t="shared" si="2"/>
        <v>2</v>
      </c>
    </row>
    <row r="17" spans="1:7">
      <c r="A17" s="6" t="s">
        <v>29</v>
      </c>
      <c r="B17" s="14" t="s">
        <v>88</v>
      </c>
      <c r="C17" s="16">
        <f>INDEX(RU_Clean!$G$5:$AH$129,$B$4,MATCH($A17,RU_Clean!$G$4:$AH$4,0))</f>
        <v>122.7</v>
      </c>
      <c r="E17" s="5" t="s">
        <v>93</v>
      </c>
      <c r="F17" s="21">
        <f>SUM(F9:F16)</f>
        <v>4289.1</v>
      </c>
      <c r="G17" s="22">
        <f>SUM(G9:G16)</f>
        <v>1</v>
      </c>
    </row>
    <row r="18" spans="1:7">
      <c r="A18" s="6" t="s">
        <v>30</v>
      </c>
      <c r="B18" s="14" t="s">
        <v>88</v>
      </c>
      <c r="C18" s="16">
        <f>INDEX(RU_Clean!$G$5:$AH$129,$B$4,MATCH($A18,RU_Clean!$G$4:$AH$4,0))</f>
        <v>218</v>
      </c>
    </row>
    <row r="19" spans="1:7">
      <c r="A19" s="6" t="s">
        <v>31</v>
      </c>
      <c r="B19" s="14" t="s">
        <v>88</v>
      </c>
      <c r="C19" s="16">
        <f>INDEX(RU_Clean!$G$5:$AH$129,$B$4,MATCH($A19,RU_Clean!$G$4:$AH$4,0))</f>
        <v>173.4</v>
      </c>
      <c r="E19" s="3" t="s">
        <v>94</v>
      </c>
      <c r="F19" s="3" t="str">
        <f>INDEX(E9:E16,MATCH(MAX(G9:G16),G9:G16,0))</f>
        <v>Food &amp; Beverages</v>
      </c>
      <c r="G19" s="29">
        <f>MAX(G9:G16)</f>
        <v>0.496094751812735</v>
      </c>
    </row>
    <row r="20" spans="1:7">
      <c r="A20" s="6" t="s">
        <v>32</v>
      </c>
      <c r="B20" s="14" t="s">
        <v>88</v>
      </c>
      <c r="C20" s="16">
        <f>INDEX(RU_Clean!$G$5:$AH$129,$B$4,MATCH($A20,RU_Clean!$G$4:$AH$4,0))</f>
        <v>194.2</v>
      </c>
      <c r="E20" s="6"/>
      <c r="F20" s="19">
        <f>SUM(C9:C32)-F17</f>
        <v>0</v>
      </c>
    </row>
    <row r="21" spans="1:7">
      <c r="A21" s="6" t="s">
        <v>34</v>
      </c>
      <c r="B21" s="14" t="s">
        <v>92</v>
      </c>
      <c r="C21" s="16">
        <f>INDEX(RU_Clean!$G$5:$AH$129,$B$4,MATCH($A21,RU_Clean!$G$4:$AH$4,0))</f>
        <v>201</v>
      </c>
      <c r="E21" s="6" t="s">
        <v>95</v>
      </c>
    </row>
    <row r="22" spans="1:7">
      <c r="A22" s="6" t="s">
        <v>35</v>
      </c>
      <c r="B22" s="14" t="s">
        <v>89</v>
      </c>
      <c r="C22" s="16">
        <f>INDEX(RU_Clean!$G$5:$AH$129,$B$4,MATCH($A22,RU_Clean!$G$4:$AH$4,0))</f>
        <v>187.3</v>
      </c>
    </row>
    <row r="23" spans="1:7">
      <c r="A23" s="6" t="s">
        <v>36</v>
      </c>
      <c r="B23" s="14" t="s">
        <v>89</v>
      </c>
      <c r="C23" s="16">
        <f>INDEX(RU_Clean!$G$5:$AH$129,$B$4,MATCH($A23,RU_Clean!$G$4:$AH$4,0))</f>
        <v>179.7</v>
      </c>
    </row>
    <row r="24" spans="1:7">
      <c r="A24" s="6" t="s">
        <v>38</v>
      </c>
      <c r="B24" s="14" t="s">
        <v>38</v>
      </c>
      <c r="C24" s="16">
        <f>INDEX(RU_Clean!$G$5:$AH$129,$B$4,MATCH($A24,RU_Clean!$G$4:$AH$4,0))</f>
        <v>175.6</v>
      </c>
    </row>
    <row r="25" spans="1:7">
      <c r="A25" s="6" t="s">
        <v>39</v>
      </c>
      <c r="B25" s="14" t="s">
        <v>90</v>
      </c>
      <c r="C25" s="16">
        <f>INDEX(RU_Clean!$G$5:$AH$129,$B$4,MATCH($A25,RU_Clean!$G$4:$AH$4,0))</f>
        <v>182.8</v>
      </c>
    </row>
    <row r="26" spans="1:7">
      <c r="A26" s="6" t="s">
        <v>40</v>
      </c>
      <c r="B26" s="14" t="s">
        <v>92</v>
      </c>
      <c r="C26" s="16">
        <f>INDEX(RU_Clean!$G$5:$AH$129,$B$4,MATCH($A26,RU_Clean!$G$4:$AH$4,0))</f>
        <v>175.2</v>
      </c>
    </row>
    <row r="27" spans="1:7">
      <c r="A27" s="6" t="s">
        <v>41</v>
      </c>
      <c r="B27" s="14" t="s">
        <v>41</v>
      </c>
      <c r="C27" s="16">
        <f>INDEX(RU_Clean!$G$5:$AH$129,$B$4,MATCH($A27,RU_Clean!$G$4:$AH$4,0))</f>
        <v>185.7</v>
      </c>
    </row>
    <row r="28" spans="1:7">
      <c r="A28" s="6" t="s">
        <v>42</v>
      </c>
      <c r="B28" s="14" t="s">
        <v>91</v>
      </c>
      <c r="C28" s="16">
        <f>INDEX(RU_Clean!$G$5:$AH$129,$B$4,MATCH($A28,RU_Clean!$G$4:$AH$4,0))</f>
        <v>164.8</v>
      </c>
    </row>
    <row r="29" spans="1:7">
      <c r="A29" s="6" t="s">
        <v>43</v>
      </c>
      <c r="B29" s="14" t="s">
        <v>92</v>
      </c>
      <c r="C29" s="16">
        <f>INDEX(RU_Clean!$G$5:$AH$129,$B$4,MATCH($A29,RU_Clean!$G$4:$AH$4,0))</f>
        <v>171.2</v>
      </c>
    </row>
    <row r="30" spans="1:7">
      <c r="A30" s="6" t="s">
        <v>44</v>
      </c>
      <c r="B30" s="14" t="s">
        <v>44</v>
      </c>
      <c r="C30" s="16">
        <f>INDEX(RU_Clean!$G$5:$AH$129,$B$4,MATCH($A30,RU_Clean!$G$4:$AH$4,0))</f>
        <v>177.1</v>
      </c>
    </row>
    <row r="31" spans="1:7">
      <c r="A31" s="6" t="s">
        <v>45</v>
      </c>
      <c r="B31" s="14" t="s">
        <v>92</v>
      </c>
      <c r="C31" s="16">
        <f>INDEX(RU_Clean!$G$5:$AH$129,$B$4,MATCH($A31,RU_Clean!$G$4:$AH$4,0))</f>
        <v>185.2</v>
      </c>
    </row>
    <row r="32" spans="1:7">
      <c r="A32" s="6" t="s">
        <v>46</v>
      </c>
      <c r="B32" s="14" t="s">
        <v>92</v>
      </c>
      <c r="C32" s="16">
        <f>INDEX(RU_Clean!$G$5:$AH$129,$B$4,MATCH($A32,RU_Clean!$G$4:$AH$4,0))</f>
        <v>175.7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I12" sqref="I12"/>
    </sheetView>
  </sheetViews>
  <sheetFormatPr defaultColWidth="8.67592592592593" defaultRowHeight="14.4" outlineLevelCol="7"/>
  <cols>
    <col min="1" max="1" width="34" customWidth="1"/>
    <col min="2" max="2" width="22" customWidth="1"/>
    <col min="3" max="3" width="12" customWidth="1"/>
    <col min="4" max="6" width="14" customWidth="1"/>
    <col min="7" max="8" width="12" customWidth="1"/>
  </cols>
  <sheetData>
    <row r="1" ht="17.4" spans="1:6">
      <c r="A1" s="1" t="s">
        <v>96</v>
      </c>
    </row>
    <row r="2" spans="1:6">
      <c r="A2" s="2" t="s">
        <v>97</v>
      </c>
    </row>
    <row r="3" spans="1:6">
      <c r="A3" s="5" t="s">
        <v>98</v>
      </c>
      <c r="B3" s="14">
        <v>1</v>
      </c>
      <c r="C3" s="6" t="s">
        <v>99</v>
      </c>
    </row>
    <row r="7" spans="1:6">
      <c r="A7" s="8" t="s">
        <v>100</v>
      </c>
      <c r="B7" s="8" t="s">
        <v>101</v>
      </c>
      <c r="C7" s="8" t="s">
        <v>102</v>
      </c>
      <c r="D7" s="8" t="s">
        <v>103</v>
      </c>
      <c r="E7" s="8" t="s">
        <v>104</v>
      </c>
      <c r="F7" s="8" t="s">
        <v>105</v>
      </c>
    </row>
    <row r="8" spans="1:6">
      <c r="A8" s="24">
        <v>2017</v>
      </c>
      <c r="B8" s="9">
        <f t="shared" ref="B8:B13" si="0">DATE(A8,$B$3,1)</f>
        <v>42736</v>
      </c>
      <c r="C8" s="9">
        <f t="shared" ref="C8:C13" si="1">DATE(A8+1,$B$3,1)</f>
        <v>43101</v>
      </c>
      <c r="D8" s="16">
        <f>IFERROR(INDEX(RU_Clean!$G$5:$AH$129,MATCH(B8,RU_Clean!$D$5:$D$129,0),MATCH("General index",RU_Clean!$G$4:$AH$4,0)),"")</f>
        <v>130.3</v>
      </c>
      <c r="E8" s="16">
        <f>IFERROR(INDEX(RU_Clean!$G$5:$AH$129,MATCH(C8,RU_Clean!$D$5:$D$129,0),MATCH("General index",RU_Clean!$G$4:$AH$4,0)),"")</f>
        <v>136.9</v>
      </c>
      <c r="F8" s="12">
        <f t="shared" ref="F8:F13" si="2">IF(AND(ISNUMBER(D8),ISNUMBER(E8)),(E8-D8)/D8*100,"")</f>
        <v>5.06523407521105</v>
      </c>
    </row>
    <row r="9" spans="1:6">
      <c r="A9" s="25">
        <f>A8+1</f>
        <v>2018</v>
      </c>
      <c r="B9" s="9">
        <f t="shared" si="0"/>
        <v>43101</v>
      </c>
      <c r="C9" s="9">
        <f t="shared" si="1"/>
        <v>43466</v>
      </c>
      <c r="D9" s="16">
        <f>IFERROR(INDEX(RU_Clean!$G$5:$AH$129,MATCH(B9,RU_Clean!$D$5:$D$129,0),MATCH("General index",RU_Clean!$G$4:$AH$4,0)),"")</f>
        <v>136.9</v>
      </c>
      <c r="E9" s="16">
        <f>IFERROR(INDEX(RU_Clean!$G$5:$AH$129,MATCH(C9,RU_Clean!$D$5:$D$129,0),MATCH("General index",RU_Clean!$G$4:$AH$4,0)),"")</f>
        <v>139.6</v>
      </c>
      <c r="F9" s="12">
        <f t="shared" si="2"/>
        <v>1.97224251278304</v>
      </c>
    </row>
    <row r="10" spans="1:6">
      <c r="A10" s="25">
        <f>A9+1</f>
        <v>2019</v>
      </c>
      <c r="B10" s="9">
        <f t="shared" si="0"/>
        <v>43466</v>
      </c>
      <c r="C10" s="9">
        <f t="shared" si="1"/>
        <v>43831</v>
      </c>
      <c r="D10" s="16">
        <f>IFERROR(INDEX(RU_Clean!$G$5:$AH$129,MATCH(B10,RU_Clean!$D$5:$D$129,0),MATCH("General index",RU_Clean!$G$4:$AH$4,0)),"")</f>
        <v>139.6</v>
      </c>
      <c r="E10" s="16">
        <f>IFERROR(INDEX(RU_Clean!$G$5:$AH$129,MATCH(C10,RU_Clean!$D$5:$D$129,0),MATCH("General index",RU_Clean!$G$4:$AH$4,0)),"")</f>
        <v>150.2</v>
      </c>
      <c r="F10" s="12">
        <f t="shared" si="2"/>
        <v>7.59312320916905</v>
      </c>
    </row>
    <row r="11" spans="1:6">
      <c r="A11" s="25">
        <f>A10+1</f>
        <v>2020</v>
      </c>
      <c r="B11" s="9">
        <f t="shared" si="0"/>
        <v>43831</v>
      </c>
      <c r="C11" s="9">
        <f t="shared" si="1"/>
        <v>44197</v>
      </c>
      <c r="D11" s="16">
        <f>IFERROR(INDEX(RU_Clean!$G$5:$AH$129,MATCH(B11,RU_Clean!$D$5:$D$129,0),MATCH("General index",RU_Clean!$G$4:$AH$4,0)),"")</f>
        <v>150.2</v>
      </c>
      <c r="E11" s="16">
        <f>IFERROR(INDEX(RU_Clean!$G$5:$AH$129,MATCH(C11,RU_Clean!$D$5:$D$129,0),MATCH("General index",RU_Clean!$G$4:$AH$4,0)),"")</f>
        <v>157.3</v>
      </c>
      <c r="F11" s="12">
        <f t="shared" si="2"/>
        <v>4.72703062583224</v>
      </c>
    </row>
    <row r="12" spans="1:6">
      <c r="A12" s="25">
        <f>A11+1</f>
        <v>2021</v>
      </c>
      <c r="B12" s="9">
        <f t="shared" si="0"/>
        <v>44197</v>
      </c>
      <c r="C12" s="9">
        <f t="shared" si="1"/>
        <v>44562</v>
      </c>
      <c r="D12" s="16">
        <f>IFERROR(INDEX(RU_Clean!$G$5:$AH$129,MATCH(B12,RU_Clean!$D$5:$D$129,0),MATCH("General index",RU_Clean!$G$4:$AH$4,0)),"")</f>
        <v>157.3</v>
      </c>
      <c r="E12" s="16">
        <f>IFERROR(INDEX(RU_Clean!$G$5:$AH$129,MATCH(C12,RU_Clean!$D$5:$D$129,0),MATCH("General index",RU_Clean!$G$4:$AH$4,0)),"")</f>
        <v>165.7</v>
      </c>
      <c r="F12" s="12">
        <f t="shared" si="2"/>
        <v>5.34011443102351</v>
      </c>
    </row>
    <row r="13" spans="1:6">
      <c r="A13" s="25">
        <f>A12+1</f>
        <v>2022</v>
      </c>
      <c r="B13" s="9">
        <f t="shared" si="0"/>
        <v>44562</v>
      </c>
      <c r="C13" s="9">
        <f t="shared" si="1"/>
        <v>44927</v>
      </c>
      <c r="D13" s="16">
        <f>IFERROR(INDEX(RU_Clean!$G$5:$AH$129,MATCH(B13,RU_Clean!$D$5:$D$129,0),MATCH("General index",RU_Clean!$G$4:$AH$4,0)),"")</f>
        <v>165.7</v>
      </c>
      <c r="E13" s="16">
        <f>IFERROR(INDEX(RU_Clean!$G$5:$AH$129,MATCH(C13,RU_Clean!$D$5:$D$129,0),MATCH("General index",RU_Clean!$G$4:$AH$4,0)),"")</f>
        <v>176.5</v>
      </c>
      <c r="F13" s="12">
        <f t="shared" si="2"/>
        <v>6.51780325890164</v>
      </c>
    </row>
    <row r="16" spans="1:6">
      <c r="A16" s="3" t="s">
        <v>106</v>
      </c>
      <c r="B16" s="26">
        <f>INDEX(A8:A13,MATCH(MAX(F8:F13),F8:F13,0))</f>
        <v>2019</v>
      </c>
    </row>
    <row r="17" spans="1:8">
      <c r="A17" s="3" t="s">
        <v>107</v>
      </c>
      <c r="B17" s="4">
        <f>MAX(F8:F13)</f>
        <v>7.59312320916905</v>
      </c>
    </row>
    <row r="18" spans="1:8">
      <c r="A18" s="3" t="s">
        <v>108</v>
      </c>
      <c r="B18" s="3" t="str">
        <f>TEXT(INDEX(B8:B13,MATCH(MAX(F8:F13),F8:F13,0)),"mmm-yyyy")&amp;" to "&amp;TEXT(INDEX(C8:C13,MATCH(MAX(F8:F13),F8:F13,0)),"mmm-yyyy")</f>
        <v>Jan-2019 to Jan-2020</v>
      </c>
    </row>
    <row r="20" ht="15" customHeight="1" spans="1:8">
      <c r="A20" s="27" t="s">
        <v>109</v>
      </c>
      <c r="B20" s="27"/>
      <c r="C20" s="27"/>
      <c r="D20" s="27"/>
      <c r="E20" s="27"/>
      <c r="F20" s="27"/>
      <c r="G20" s="27"/>
      <c r="H20" s="27"/>
    </row>
    <row r="21" spans="1:8">
      <c r="A21" s="27"/>
      <c r="B21" s="27"/>
      <c r="C21" s="27"/>
      <c r="D21" s="27"/>
      <c r="E21" s="27"/>
      <c r="F21" s="27"/>
      <c r="G21" s="27"/>
      <c r="H21" s="27"/>
    </row>
    <row r="22" spans="1:8">
      <c r="A22" s="27"/>
      <c r="B22" s="27"/>
      <c r="C22" s="27"/>
      <c r="D22" s="27"/>
      <c r="E22" s="27"/>
      <c r="F22" s="27"/>
      <c r="G22" s="27"/>
      <c r="H22" s="27"/>
    </row>
    <row r="23" spans="1:8">
      <c r="A23" s="27"/>
      <c r="B23" s="27"/>
      <c r="C23" s="27"/>
      <c r="D23" s="27"/>
      <c r="E23" s="27"/>
      <c r="F23" s="27"/>
      <c r="G23" s="27"/>
      <c r="H23" s="27"/>
    </row>
    <row r="24" spans="1:8">
      <c r="A24" s="27"/>
      <c r="B24" s="27"/>
      <c r="C24" s="27"/>
      <c r="D24" s="27"/>
      <c r="E24" s="27"/>
      <c r="F24" s="27"/>
      <c r="G24" s="27"/>
      <c r="H24" s="27"/>
    </row>
    <row r="25" spans="1:8">
      <c r="A25" s="27"/>
      <c r="B25" s="27"/>
      <c r="C25" s="27"/>
      <c r="D25" s="27"/>
      <c r="E25" s="27"/>
      <c r="F25" s="27"/>
      <c r="G25" s="27"/>
      <c r="H25" s="27"/>
    </row>
  </sheetData>
  <mergeCells count="1">
    <mergeCell ref="A20:H25"/>
  </mergeCells>
  <dataValidations count="1">
    <dataValidation type="whole" operator="between" sqref="B3">
      <formula1>1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A23" sqref="A23"/>
    </sheetView>
  </sheetViews>
  <sheetFormatPr defaultColWidth="8.67592592592593" defaultRowHeight="14.4"/>
  <cols>
    <col min="1" max="1" width="44" customWidth="1"/>
    <col min="2" max="2" width="16" customWidth="1"/>
    <col min="3" max="3" width="18" customWidth="1"/>
    <col min="4" max="4" width="24" customWidth="1"/>
    <col min="5" max="5" width="14" customWidth="1"/>
    <col min="6" max="6" width="22" customWidth="1"/>
    <col min="7" max="7" width="30" customWidth="1"/>
    <col min="8" max="8" width="12" customWidth="1"/>
    <col min="9" max="9" width="10" customWidth="1"/>
  </cols>
  <sheetData>
    <row r="1" ht="17.4" spans="1:9">
      <c r="A1" s="1" t="s">
        <v>110</v>
      </c>
    </row>
    <row r="2" spans="1:9">
      <c r="A2" s="2" t="s">
        <v>111</v>
      </c>
    </row>
    <row r="3" spans="1:9">
      <c r="A3" s="5" t="s">
        <v>112</v>
      </c>
      <c r="B3" s="13">
        <v>45047</v>
      </c>
    </row>
    <row r="6" ht="45" customHeight="1" spans="1:9">
      <c r="A6" s="8" t="s">
        <v>20</v>
      </c>
      <c r="B6" s="8" t="s">
        <v>113</v>
      </c>
      <c r="C6" s="8" t="s">
        <v>114</v>
      </c>
      <c r="D6" s="8" t="s">
        <v>115</v>
      </c>
      <c r="E6" s="8" t="s">
        <v>116</v>
      </c>
      <c r="G6" s="5" t="s">
        <v>117</v>
      </c>
    </row>
    <row r="7" spans="1:9">
      <c r="A7" s="9">
        <f>DATE(YEAR($B$3),MONTH($B$3)-12,1)</f>
        <v>44682</v>
      </c>
      <c r="B7" s="16">
        <f>INDEX(RU_Clean!$G$5:$AH$129,MATCH($A7,RU_Clean!$D$5:$D$129,0),MATCH("Food bucket (sum of 12 food items)",RU_Clean!$G$4:$AH$4,0))</f>
        <v>2065.6</v>
      </c>
      <c r="D7" s="16">
        <f>INDEX(RU_Clean!$G$5:$AH$129,MATCH($A7,RU_Clean!$D$5:$D$129,0),MATCH("Food and beverages",RU_Clean!$G$4:$AH$4,0))</f>
        <v>173.3</v>
      </c>
      <c r="G7" s="3" t="s">
        <v>118</v>
      </c>
      <c r="H7" s="17" t="str">
        <f>TEXT(INDEX(A8:A19,MATCH(MAX(C8:C19),C8:C19,0)),"mmm-yyyy")</f>
        <v>Jun-2022</v>
      </c>
      <c r="I7" s="18">
        <f>MAX(C8:C19)</f>
        <v>1.03601859024011</v>
      </c>
    </row>
    <row r="8" spans="1:9">
      <c r="A8" s="9">
        <f t="shared" ref="A8:A19" si="0">DATE(YEAR(A7),MONTH(A7)+1,1)</f>
        <v>44713</v>
      </c>
      <c r="B8" s="16">
        <f>INDEX(RU_Clean!$G$5:$AH$129,MATCH($A8,RU_Clean!$D$5:$D$129,0),MATCH("Food bucket (sum of 12 food items)",RU_Clean!$G$4:$AH$4,0))</f>
        <v>2087</v>
      </c>
      <c r="C8" s="12">
        <f t="shared" ref="C8:C19" si="1">(B8-B7)/B7*100</f>
        <v>1.03601859024011</v>
      </c>
      <c r="D8" s="16">
        <f>INDEX(RU_Clean!$G$5:$AH$129,MATCH($A8,RU_Clean!$D$5:$D$129,0),MATCH("Food and beverages",RU_Clean!$G$4:$AH$4,0))</f>
        <v>174.9</v>
      </c>
      <c r="E8" s="12">
        <f t="shared" ref="E8:E19" si="2">(D8-D7)/D7*100</f>
        <v>0.923254472013845</v>
      </c>
      <c r="G8" s="3" t="s">
        <v>119</v>
      </c>
      <c r="H8" s="17" t="str">
        <f>TEXT(INDEX(A8:A19,MATCH(MIN(C8:C19),C8:C19,0)),"mmm-yyyy")</f>
        <v>Feb-2023</v>
      </c>
      <c r="I8" s="18">
        <f>MIN(C8:C19)</f>
        <v>-0.656899810964087</v>
      </c>
    </row>
    <row r="9" spans="1:9">
      <c r="A9" s="9">
        <f t="shared" si="0"/>
        <v>44743</v>
      </c>
      <c r="B9" s="16">
        <f>INDEX(RU_Clean!$G$5:$AH$129,MATCH($A9,RU_Clean!$D$5:$D$129,0),MATCH("Food bucket (sum of 12 food items)",RU_Clean!$G$4:$AH$4,0))</f>
        <v>2091.3</v>
      </c>
      <c r="C9" s="12">
        <f t="shared" si="1"/>
        <v>0.206037374221379</v>
      </c>
      <c r="D9" s="16">
        <f>INDEX(RU_Clean!$G$5:$AH$129,MATCH($A9,RU_Clean!$D$5:$D$129,0),MATCH("Food and beverages",RU_Clean!$G$4:$AH$4,0))</f>
        <v>175</v>
      </c>
      <c r="E9" s="12">
        <f t="shared" si="2"/>
        <v>0.0571755288736388</v>
      </c>
      <c r="G9" s="5" t="s">
        <v>120</v>
      </c>
      <c r="I9" s="12">
        <f>(B19-B7)/B7*100</f>
        <v>3.0112316034082</v>
      </c>
    </row>
    <row r="10" spans="1:9">
      <c r="A10" s="9">
        <f t="shared" si="0"/>
        <v>44774</v>
      </c>
      <c r="B10" s="16">
        <f>INDEX(RU_Clean!$G$5:$AH$129,MATCH($A10,RU_Clean!$D$5:$D$129,0),MATCH("Food bucket (sum of 12 food items)",RU_Clean!$G$4:$AH$4,0))</f>
        <v>2092.9</v>
      </c>
      <c r="C10" s="12">
        <f t="shared" si="1"/>
        <v>0.0765074355663898</v>
      </c>
      <c r="D10" s="16">
        <f>INDEX(RU_Clean!$G$5:$AH$129,MATCH($A10,RU_Clean!$D$5:$D$129,0),MATCH("Food and beverages",RU_Clean!$G$4:$AH$4,0))</f>
        <v>176.3</v>
      </c>
      <c r="E10" s="12">
        <f t="shared" si="2"/>
        <v>0.742857142857149</v>
      </c>
    </row>
    <row r="11" spans="1:9">
      <c r="A11" s="9">
        <f t="shared" si="0"/>
        <v>44805</v>
      </c>
      <c r="B11" s="16">
        <f>INDEX(RU_Clean!$G$5:$AH$129,MATCH($A11,RU_Clean!$D$5:$D$129,0),MATCH("Food bucket (sum of 12 food items)",RU_Clean!$G$4:$AH$4,0))</f>
        <v>2103.1</v>
      </c>
      <c r="C11" s="12">
        <f t="shared" si="1"/>
        <v>0.487362033541967</v>
      </c>
      <c r="D11" s="16">
        <f>INDEX(RU_Clean!$G$5:$AH$129,MATCH($A11,RU_Clean!$D$5:$D$129,0),MATCH("Food and beverages",RU_Clean!$G$4:$AH$4,0))</f>
        <v>177.8</v>
      </c>
      <c r="E11" s="12">
        <f t="shared" si="2"/>
        <v>0.850822461712989</v>
      </c>
    </row>
    <row r="12" spans="1:9">
      <c r="A12" s="9">
        <f t="shared" si="0"/>
        <v>44835</v>
      </c>
      <c r="B12" s="16">
        <f>INDEX(RU_Clean!$G$5:$AH$129,MATCH($A12,RU_Clean!$D$5:$D$129,0),MATCH("Food bucket (sum of 12 food items)",RU_Clean!$G$4:$AH$4,0))</f>
        <v>2117.7</v>
      </c>
      <c r="C12" s="12">
        <f t="shared" si="1"/>
        <v>0.694213304170052</v>
      </c>
      <c r="D12" s="16">
        <f>INDEX(RU_Clean!$G$5:$AH$129,MATCH($A12,RU_Clean!$D$5:$D$129,0),MATCH("Food and beverages",RU_Clean!$G$4:$AH$4,0))</f>
        <v>179.6</v>
      </c>
      <c r="E12" s="12">
        <f t="shared" si="2"/>
        <v>1.01237345331833</v>
      </c>
    </row>
    <row r="13" spans="1:9">
      <c r="A13" s="9">
        <f t="shared" si="0"/>
        <v>44866</v>
      </c>
      <c r="B13" s="16">
        <f>INDEX(RU_Clean!$G$5:$AH$129,MATCH($A13,RU_Clean!$D$5:$D$129,0),MATCH("Food bucket (sum of 12 food items)",RU_Clean!$G$4:$AH$4,0))</f>
        <v>2118.5</v>
      </c>
      <c r="C13" s="12">
        <f t="shared" si="1"/>
        <v>0.037776833356931</v>
      </c>
      <c r="D13" s="16">
        <f>INDEX(RU_Clean!$G$5:$AH$129,MATCH($A13,RU_Clean!$D$5:$D$129,0),MATCH("Food and beverages",RU_Clean!$G$4:$AH$4,0))</f>
        <v>178.3</v>
      </c>
      <c r="E13" s="12">
        <f t="shared" si="2"/>
        <v>-0.723830734966583</v>
      </c>
    </row>
    <row r="14" spans="1:9">
      <c r="A14" s="9">
        <f t="shared" si="0"/>
        <v>44896</v>
      </c>
      <c r="B14" s="16">
        <f>INDEX(RU_Clean!$G$5:$AH$129,MATCH($A14,RU_Clean!$D$5:$D$129,0),MATCH("Food bucket (sum of 12 food items)",RU_Clean!$G$4:$AH$4,0))</f>
        <v>2107.5</v>
      </c>
      <c r="C14" s="12">
        <f t="shared" si="1"/>
        <v>-0.519235308000944</v>
      </c>
      <c r="D14" s="16">
        <f>INDEX(RU_Clean!$G$5:$AH$129,MATCH($A14,RU_Clean!$D$5:$D$129,0),MATCH("Food and beverages",RU_Clean!$G$4:$AH$4,0))</f>
        <v>175.9</v>
      </c>
      <c r="E14" s="12">
        <f t="shared" si="2"/>
        <v>-1.34604598990466</v>
      </c>
    </row>
    <row r="15" spans="1:9">
      <c r="A15" s="9">
        <f t="shared" si="0"/>
        <v>44927</v>
      </c>
      <c r="B15" s="16">
        <f>INDEX(RU_Clean!$G$5:$AH$129,MATCH($A15,RU_Clean!$D$5:$D$129,0),MATCH("Food bucket (sum of 12 food items)",RU_Clean!$G$4:$AH$4,0))</f>
        <v>2116</v>
      </c>
      <c r="C15" s="12">
        <f t="shared" si="1"/>
        <v>0.403321470937129</v>
      </c>
      <c r="D15" s="16">
        <f>INDEX(RU_Clean!$G$5:$AH$129,MATCH($A15,RU_Clean!$D$5:$D$129,0),MATCH("Food and beverages",RU_Clean!$G$4:$AH$4,0))</f>
        <v>176.7</v>
      </c>
      <c r="E15" s="12">
        <f t="shared" si="2"/>
        <v>0.45480386583285</v>
      </c>
    </row>
    <row r="16" spans="1:9">
      <c r="A16" s="9">
        <f t="shared" si="0"/>
        <v>44958</v>
      </c>
      <c r="B16" s="16">
        <f>INDEX(RU_Clean!$G$5:$AH$129,MATCH($A16,RU_Clean!$D$5:$D$129,0),MATCH("Food bucket (sum of 12 food items)",RU_Clean!$G$4:$AH$4,0))</f>
        <v>2102.1</v>
      </c>
      <c r="C16" s="12">
        <f t="shared" si="1"/>
        <v>-0.656899810964087</v>
      </c>
      <c r="D16" s="16">
        <f>INDEX(RU_Clean!$G$5:$AH$129,MATCH($A16,RU_Clean!$D$5:$D$129,0),MATCH("Food and beverages",RU_Clean!$G$4:$AH$4,0))</f>
        <v>177</v>
      </c>
      <c r="E16" s="12">
        <f t="shared" si="2"/>
        <v>0.169779286927001</v>
      </c>
    </row>
    <row r="17" spans="1:6">
      <c r="A17" s="9">
        <f t="shared" si="0"/>
        <v>44986</v>
      </c>
      <c r="B17" s="16">
        <f>INDEX(RU_Clean!$G$5:$AH$129,MATCH($A17,RU_Clean!$D$5:$D$129,0),MATCH("Food bucket (sum of 12 food items)",RU_Clean!$G$4:$AH$4,0))</f>
        <v>2102.2</v>
      </c>
      <c r="C17" s="12">
        <f t="shared" si="1"/>
        <v>0.00475714761428615</v>
      </c>
      <c r="D17" s="16">
        <f>INDEX(RU_Clean!$G$5:$AH$129,MATCH($A17,RU_Clean!$D$5:$D$129,0),MATCH("Food and beverages",RU_Clean!$G$4:$AH$4,0))</f>
        <v>177</v>
      </c>
      <c r="E17" s="12">
        <f t="shared" si="2"/>
        <v>0</v>
      </c>
    </row>
    <row r="18" spans="1:6">
      <c r="A18" s="9">
        <f t="shared" si="0"/>
        <v>45017</v>
      </c>
      <c r="B18" s="16">
        <f>INDEX(RU_Clean!$G$5:$AH$129,MATCH($A18,RU_Clean!$D$5:$D$129,0),MATCH("Food bucket (sum of 12 food items)",RU_Clean!$G$4:$AH$4,0))</f>
        <v>2111.7</v>
      </c>
      <c r="C18" s="12">
        <f t="shared" si="1"/>
        <v>0.451907525449551</v>
      </c>
      <c r="D18" s="16">
        <f>INDEX(RU_Clean!$G$5:$AH$129,MATCH($A18,RU_Clean!$D$5:$D$129,0),MATCH("Food and beverages",RU_Clean!$G$4:$AH$4,0))</f>
        <v>177.9</v>
      </c>
      <c r="E18" s="12">
        <f t="shared" si="2"/>
        <v>0.50847457627119</v>
      </c>
    </row>
    <row r="19" spans="1:6">
      <c r="A19" s="9">
        <f t="shared" si="0"/>
        <v>45047</v>
      </c>
      <c r="B19" s="16">
        <f>INDEX(RU_Clean!$G$5:$AH$129,MATCH($A19,RU_Clean!$D$5:$D$129,0),MATCH("Food bucket (sum of 12 food items)",RU_Clean!$G$4:$AH$4,0))</f>
        <v>2127.8</v>
      </c>
      <c r="C19" s="12">
        <f t="shared" si="1"/>
        <v>0.762418904200403</v>
      </c>
      <c r="D19" s="16">
        <f>INDEX(RU_Clean!$G$5:$AH$129,MATCH($A19,RU_Clean!$D$5:$D$129,0),MATCH("Food and beverages",RU_Clean!$G$4:$AH$4,0))</f>
        <v>179.1</v>
      </c>
      <c r="E19" s="12">
        <f t="shared" si="2"/>
        <v>0.674536256323771</v>
      </c>
    </row>
    <row r="23" spans="1:6">
      <c r="A23" s="5" t="s">
        <v>121</v>
      </c>
    </row>
    <row r="24" ht="45" customHeight="1" spans="1:6">
      <c r="A24" s="8" t="s">
        <v>122</v>
      </c>
      <c r="B24" s="8" t="s">
        <v>123</v>
      </c>
      <c r="C24" s="8" t="s">
        <v>124</v>
      </c>
      <c r="D24" s="8" t="s">
        <v>125</v>
      </c>
      <c r="E24" s="8" t="s">
        <v>126</v>
      </c>
      <c r="F24" s="8" t="s">
        <v>127</v>
      </c>
    </row>
    <row r="25" spans="1:6">
      <c r="A25" s="6" t="s">
        <v>21</v>
      </c>
      <c r="B25" s="16">
        <f>INDEX(RU_Clean!$G$5:$AH$129,MATCH($A$7,RU_Clean!$D$5:$D$129,0),MATCH($A25,RU_Clean!$G$4:$AH$4,0))</f>
        <v>154.1</v>
      </c>
      <c r="C25" s="16">
        <f>INDEX(RU_Clean!$G$5:$AH$129,MATCH($A$19,RU_Clean!$D$5:$D$129,0),MATCH($A25,RU_Clean!$G$4:$AH$4,0))</f>
        <v>173.7</v>
      </c>
      <c r="D25" s="19">
        <f t="shared" ref="D25:D36" si="3">C25-B25</f>
        <v>19.6</v>
      </c>
      <c r="E25" s="19">
        <f t="shared" ref="E25:E37" si="4">(C25-B25)/B25*100</f>
        <v>12.7190136275146</v>
      </c>
      <c r="F25" s="20">
        <f t="shared" ref="F25:F36" si="5">D25/$D$37</f>
        <v>0.315112540192926</v>
      </c>
    </row>
    <row r="26" spans="1:6">
      <c r="A26" s="6" t="s">
        <v>22</v>
      </c>
      <c r="B26" s="16">
        <f>INDEX(RU_Clean!$G$5:$AH$129,MATCH($A$7,RU_Clean!$D$5:$D$129,0),MATCH($A26,RU_Clean!$G$4:$AH$4,0))</f>
        <v>217</v>
      </c>
      <c r="C26" s="16">
        <f>INDEX(RU_Clean!$G$5:$AH$129,MATCH($A$19,RU_Clean!$D$5:$D$129,0),MATCH($A26,RU_Clean!$G$4:$AH$4,0))</f>
        <v>214.3</v>
      </c>
      <c r="D26" s="19">
        <f t="shared" si="3"/>
        <v>-2.69999999999999</v>
      </c>
      <c r="E26" s="19">
        <f t="shared" si="4"/>
        <v>-1.2442396313364</v>
      </c>
      <c r="F26" s="20">
        <f t="shared" si="5"/>
        <v>-0.0434083601286172</v>
      </c>
    </row>
    <row r="27" spans="1:6">
      <c r="A27" s="6" t="s">
        <v>23</v>
      </c>
      <c r="B27" s="16">
        <f>INDEX(RU_Clean!$G$5:$AH$129,MATCH($A$7,RU_Clean!$D$5:$D$129,0),MATCH($A27,RU_Clean!$G$4:$AH$4,0))</f>
        <v>162.4</v>
      </c>
      <c r="C27" s="16">
        <f>INDEX(RU_Clean!$G$5:$AH$129,MATCH($A$19,RU_Clean!$D$5:$D$129,0),MATCH($A27,RU_Clean!$G$4:$AH$4,0))</f>
        <v>173.2</v>
      </c>
      <c r="D27" s="19">
        <f t="shared" si="3"/>
        <v>10.8</v>
      </c>
      <c r="E27" s="19">
        <f t="shared" si="4"/>
        <v>6.65024630541871</v>
      </c>
      <c r="F27" s="20">
        <f t="shared" si="5"/>
        <v>0.173633440514469</v>
      </c>
    </row>
    <row r="28" spans="1:6">
      <c r="A28" s="6" t="s">
        <v>24</v>
      </c>
      <c r="B28" s="16">
        <f>INDEX(RU_Clean!$G$5:$AH$129,MATCH($A$7,RU_Clean!$D$5:$D$129,0),MATCH($A28,RU_Clean!$G$4:$AH$4,0))</f>
        <v>164.9</v>
      </c>
      <c r="C28" s="16">
        <f>INDEX(RU_Clean!$G$5:$AH$129,MATCH($A$19,RU_Clean!$D$5:$D$129,0),MATCH($A28,RU_Clean!$G$4:$AH$4,0))</f>
        <v>179.5</v>
      </c>
      <c r="D28" s="19">
        <f t="shared" si="3"/>
        <v>14.6</v>
      </c>
      <c r="E28" s="19">
        <f t="shared" si="4"/>
        <v>8.85385081867798</v>
      </c>
      <c r="F28" s="20">
        <f t="shared" si="5"/>
        <v>0.234726688102894</v>
      </c>
    </row>
    <row r="29" spans="1:6">
      <c r="A29" s="6" t="s">
        <v>25</v>
      </c>
      <c r="B29" s="16">
        <f>INDEX(RU_Clean!$G$5:$AH$129,MATCH($A$7,RU_Clean!$D$5:$D$129,0),MATCH($A29,RU_Clean!$G$4:$AH$4,0))</f>
        <v>202.4</v>
      </c>
      <c r="C29" s="16">
        <f>INDEX(RU_Clean!$G$5:$AH$129,MATCH($A$19,RU_Clean!$D$5:$D$129,0),MATCH($A29,RU_Clean!$G$4:$AH$4,0))</f>
        <v>170</v>
      </c>
      <c r="D29" s="19">
        <f t="shared" si="3"/>
        <v>-32.4</v>
      </c>
      <c r="E29" s="19">
        <f t="shared" si="4"/>
        <v>-16.0079051383399</v>
      </c>
      <c r="F29" s="20">
        <f t="shared" si="5"/>
        <v>-0.520900321543409</v>
      </c>
    </row>
    <row r="30" spans="1:6">
      <c r="A30" s="6" t="s">
        <v>26</v>
      </c>
      <c r="B30" s="16">
        <f>INDEX(RU_Clean!$G$5:$AH$129,MATCH($A$7,RU_Clean!$D$5:$D$129,0),MATCH($A30,RU_Clean!$G$4:$AH$4,0))</f>
        <v>171</v>
      </c>
      <c r="C30" s="16">
        <f>INDEX(RU_Clean!$G$5:$AH$129,MATCH($A$19,RU_Clean!$D$5:$D$129,0),MATCH($A30,RU_Clean!$G$4:$AH$4,0))</f>
        <v>172.2</v>
      </c>
      <c r="D30" s="19">
        <f t="shared" si="3"/>
        <v>1.19999999999999</v>
      </c>
      <c r="E30" s="19">
        <f t="shared" si="4"/>
        <v>0.701754385964906</v>
      </c>
      <c r="F30" s="20">
        <f t="shared" si="5"/>
        <v>0.0192926045016075</v>
      </c>
    </row>
    <row r="31" spans="1:6">
      <c r="A31" s="6" t="s">
        <v>27</v>
      </c>
      <c r="B31" s="16">
        <f>INDEX(RU_Clean!$G$5:$AH$129,MATCH($A$7,RU_Clean!$D$5:$D$129,0),MATCH($A31,RU_Clean!$G$4:$AH$4,0))</f>
        <v>174.9</v>
      </c>
      <c r="C31" s="16">
        <f>INDEX(RU_Clean!$G$5:$AH$129,MATCH($A$19,RU_Clean!$D$5:$D$129,0),MATCH($A31,RU_Clean!$G$4:$AH$4,0))</f>
        <v>161</v>
      </c>
      <c r="D31" s="19">
        <f t="shared" si="3"/>
        <v>-13.9</v>
      </c>
      <c r="E31" s="19">
        <f t="shared" si="4"/>
        <v>-7.94739851343625</v>
      </c>
      <c r="F31" s="20">
        <f t="shared" si="5"/>
        <v>-0.22347266881029</v>
      </c>
    </row>
    <row r="32" spans="1:6">
      <c r="A32" s="6" t="s">
        <v>28</v>
      </c>
      <c r="B32" s="16">
        <f>INDEX(RU_Clean!$G$5:$AH$129,MATCH($A$7,RU_Clean!$D$5:$D$129,0),MATCH($A32,RU_Clean!$G$4:$AH$4,0))</f>
        <v>164.7</v>
      </c>
      <c r="C32" s="16">
        <f>INDEX(RU_Clean!$G$5:$AH$129,MATCH($A$19,RU_Clean!$D$5:$D$129,0),MATCH($A32,RU_Clean!$G$4:$AH$4,0))</f>
        <v>175.6</v>
      </c>
      <c r="D32" s="19">
        <f t="shared" si="3"/>
        <v>10.9</v>
      </c>
      <c r="E32" s="19">
        <f t="shared" si="4"/>
        <v>6.61809350333941</v>
      </c>
      <c r="F32" s="20">
        <f t="shared" si="5"/>
        <v>0.17524115755627</v>
      </c>
    </row>
    <row r="33" spans="1:6">
      <c r="A33" s="6" t="s">
        <v>29</v>
      </c>
      <c r="B33" s="16">
        <f>INDEX(RU_Clean!$G$5:$AH$129,MATCH($A$7,RU_Clean!$D$5:$D$129,0),MATCH($A33,RU_Clean!$G$4:$AH$4,0))</f>
        <v>119.7</v>
      </c>
      <c r="C33" s="16">
        <f>INDEX(RU_Clean!$G$5:$AH$129,MATCH($A$19,RU_Clean!$D$5:$D$129,0),MATCH($A33,RU_Clean!$G$4:$AH$4,0))</f>
        <v>122.7</v>
      </c>
      <c r="D33" s="19">
        <f t="shared" si="3"/>
        <v>3</v>
      </c>
      <c r="E33" s="19">
        <f t="shared" si="4"/>
        <v>2.5062656641604</v>
      </c>
      <c r="F33" s="20">
        <f t="shared" si="5"/>
        <v>0.0482315112540193</v>
      </c>
    </row>
    <row r="34" spans="1:6">
      <c r="A34" s="6" t="s">
        <v>30</v>
      </c>
      <c r="B34" s="16">
        <f>INDEX(RU_Clean!$G$5:$AH$129,MATCH($A$7,RU_Clean!$D$5:$D$129,0),MATCH($A34,RU_Clean!$G$4:$AH$4,0))</f>
        <v>184.9</v>
      </c>
      <c r="C34" s="16">
        <f>INDEX(RU_Clean!$G$5:$AH$129,MATCH($A$19,RU_Clean!$D$5:$D$129,0),MATCH($A34,RU_Clean!$G$4:$AH$4,0))</f>
        <v>218</v>
      </c>
      <c r="D34" s="19">
        <f t="shared" si="3"/>
        <v>33.1</v>
      </c>
      <c r="E34" s="19">
        <f t="shared" si="4"/>
        <v>17.9015684153597</v>
      </c>
      <c r="F34" s="20">
        <f t="shared" si="5"/>
        <v>0.532154340836013</v>
      </c>
    </row>
    <row r="35" spans="1:6">
      <c r="A35" s="6" t="s">
        <v>31</v>
      </c>
      <c r="B35" s="16">
        <f>INDEX(RU_Clean!$G$5:$AH$129,MATCH($A$7,RU_Clean!$D$5:$D$129,0),MATCH($A35,RU_Clean!$G$4:$AH$4,0))</f>
        <v>167.1</v>
      </c>
      <c r="C35" s="16">
        <f>INDEX(RU_Clean!$G$5:$AH$129,MATCH($A$19,RU_Clean!$D$5:$D$129,0),MATCH($A35,RU_Clean!$G$4:$AH$4,0))</f>
        <v>173.4</v>
      </c>
      <c r="D35" s="19">
        <f t="shared" si="3"/>
        <v>6.30000000000001</v>
      </c>
      <c r="E35" s="19">
        <f t="shared" si="4"/>
        <v>3.77019748653502</v>
      </c>
      <c r="F35" s="20">
        <f t="shared" si="5"/>
        <v>0.101286173633441</v>
      </c>
    </row>
    <row r="36" spans="1:6">
      <c r="A36" s="6" t="s">
        <v>32</v>
      </c>
      <c r="B36" s="16">
        <f>INDEX(RU_Clean!$G$5:$AH$129,MATCH($A$7,RU_Clean!$D$5:$D$129,0),MATCH($A36,RU_Clean!$G$4:$AH$4,0))</f>
        <v>182.5</v>
      </c>
      <c r="C36" s="16">
        <f>INDEX(RU_Clean!$G$5:$AH$129,MATCH($A$19,RU_Clean!$D$5:$D$129,0),MATCH($A36,RU_Clean!$G$4:$AH$4,0))</f>
        <v>194.2</v>
      </c>
      <c r="D36" s="19">
        <f t="shared" si="3"/>
        <v>11.7</v>
      </c>
      <c r="E36" s="19">
        <f t="shared" si="4"/>
        <v>6.41095890410958</v>
      </c>
      <c r="F36" s="20">
        <f t="shared" si="5"/>
        <v>0.188102893890675</v>
      </c>
    </row>
    <row r="37" spans="1:6">
      <c r="A37" s="5" t="s">
        <v>128</v>
      </c>
      <c r="B37" s="21">
        <f>SUM(B25:B36)</f>
        <v>2065.6</v>
      </c>
      <c r="C37" s="21">
        <f>SUM(C25:C36)</f>
        <v>2127.8</v>
      </c>
      <c r="D37" s="21">
        <f>SUM(D25:D36)</f>
        <v>62.2</v>
      </c>
      <c r="E37" s="21">
        <f t="shared" si="4"/>
        <v>3.0112316034082</v>
      </c>
      <c r="F37" s="22">
        <f>SUM(F25:F36)</f>
        <v>1</v>
      </c>
    </row>
    <row r="39" spans="1:6">
      <c r="A39" s="3" t="s">
        <v>129</v>
      </c>
      <c r="B39" s="3" t="str">
        <f>INDEX(A25:A36,MATCH(MAX(D25:D36),D25:D36,0))</f>
        <v>Spices</v>
      </c>
      <c r="D39" s="23">
        <f>MAX(D25:D36)</f>
        <v>33.1</v>
      </c>
    </row>
    <row r="40" spans="1:6">
      <c r="A40" s="5" t="s">
        <v>130</v>
      </c>
      <c r="B40" s="6" t="str">
        <f>INDEX(A25:A36,MATCH(MAX(E25:E36),E25:E36,0))</f>
        <v>Spices</v>
      </c>
      <c r="E40" s="19">
        <f>MAX(E25:E36)</f>
        <v>17.9015684153597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opLeftCell="A6" workbookViewId="0">
      <selection activeCell="A30" sqref="A30"/>
    </sheetView>
  </sheetViews>
  <sheetFormatPr defaultColWidth="8.67592592592593" defaultRowHeight="14.4" outlineLevelCol="6"/>
  <cols>
    <col min="1" max="1" width="44" customWidth="1"/>
    <col min="2" max="3" width="16" customWidth="1"/>
    <col min="4" max="4" width="18" customWidth="1"/>
    <col min="5" max="6" width="16" customWidth="1"/>
    <col min="7" max="7" width="18" customWidth="1"/>
  </cols>
  <sheetData>
    <row r="1" ht="17.4" spans="1:7">
      <c r="A1" s="1" t="s">
        <v>131</v>
      </c>
    </row>
    <row r="2" spans="1:7">
      <c r="A2" s="2" t="s">
        <v>132</v>
      </c>
    </row>
    <row r="3" spans="1:7">
      <c r="A3" s="5" t="s">
        <v>133</v>
      </c>
      <c r="B3" s="13">
        <v>43891</v>
      </c>
    </row>
    <row r="4" spans="1:7">
      <c r="A4" s="5" t="s">
        <v>134</v>
      </c>
      <c r="B4" s="14">
        <v>12</v>
      </c>
    </row>
    <row r="5" spans="1:7">
      <c r="A5" s="5" t="s">
        <v>135</v>
      </c>
      <c r="B5" s="9">
        <f>DATE(YEAR(B3),MONTH(B3)-B4,1)</f>
        <v>43525</v>
      </c>
      <c r="C5" s="6" t="s">
        <v>136</v>
      </c>
    </row>
    <row r="6" spans="1:7">
      <c r="A6" s="5" t="s">
        <v>137</v>
      </c>
      <c r="B6" s="9">
        <f>DATE(YEAR(B3),MONTH(B3)-1,1)</f>
        <v>43862</v>
      </c>
    </row>
    <row r="7" spans="1:7">
      <c r="A7" s="5" t="s">
        <v>138</v>
      </c>
      <c r="B7" s="9">
        <f>B3</f>
        <v>43891</v>
      </c>
    </row>
    <row r="8" spans="1:7">
      <c r="A8" s="5" t="s">
        <v>139</v>
      </c>
      <c r="B8" s="9">
        <f>DATE(YEAR(B3),MONTH(B3)+B4-1,1)</f>
        <v>44228</v>
      </c>
    </row>
    <row r="10" ht="45" customHeight="1" spans="1:7">
      <c r="A10" s="8" t="s">
        <v>140</v>
      </c>
      <c r="B10" s="8" t="s">
        <v>141</v>
      </c>
      <c r="C10" s="8" t="s">
        <v>142</v>
      </c>
      <c r="D10" s="8" t="s">
        <v>143</v>
      </c>
      <c r="E10" s="8" t="s">
        <v>144</v>
      </c>
      <c r="F10" s="8" t="s">
        <v>145</v>
      </c>
      <c r="G10" s="8" t="s">
        <v>146</v>
      </c>
    </row>
    <row r="11" spans="1:7">
      <c r="A11" s="6" t="s">
        <v>47</v>
      </c>
      <c r="B11" s="12">
        <f>AVERAGEIFS(INDEX(MoM!$G$5:$AH$129,0,MATCH($A11,MoM!$G$4:$AH$4,0)),MoM!$D$5:$D$129,"&gt;="&amp;$B$5,MoM!$D$5:$D$129,"&lt;="&amp;$B$6)</f>
        <v>0.533423864942054</v>
      </c>
      <c r="C11" s="12">
        <f>AVERAGEIFS(INDEX(MoM!$G$5:$AH$129,0,MATCH($A11,MoM!$G$4:$AH$4,0)),MoM!$D$5:$D$129,"&gt;="&amp;$B$7,MoM!$D$5:$D$129,"&lt;="&amp;$B$8)</f>
        <v>0.412285568192551</v>
      </c>
      <c r="D11" s="12">
        <f t="shared" ref="D11:D22" si="0">C11-B11</f>
        <v>-0.121138296749503</v>
      </c>
      <c r="E11" s="12">
        <f>AVERAGEIFS(INDEX(YoY!$G$5:$AH$129,0,MATCH($A11,YoY!$G$4:$AH$4,0)),YoY!$D$5:$D$129,"&gt;="&amp;$B$5,YoY!$D$5:$D$129,"&lt;="&amp;$B$6)</f>
        <v>4.50806831926746</v>
      </c>
      <c r="F11" s="12">
        <f>AVERAGEIFS(INDEX(YoY!$G$5:$AH$129,0,MATCH($A11,YoY!$G$4:$AH$4,0)),YoY!$D$5:$D$129,"&gt;="&amp;$B$7,YoY!$D$5:$D$129,"&lt;="&amp;$B$8)</f>
        <v>5.83178159859565</v>
      </c>
      <c r="G11" s="12">
        <f t="shared" ref="G11:G22" si="1">F11-E11</f>
        <v>1.32371327932819</v>
      </c>
    </row>
    <row r="12" spans="1:7">
      <c r="A12" s="6" t="s">
        <v>73</v>
      </c>
      <c r="B12" s="12">
        <f>AVERAGEIFS(INDEX(MoM!$G$5:$AH$129,0,MATCH($A12,MoM!$G$4:$AH$4,0)),MoM!$D$5:$D$129,"&gt;="&amp;$B$5,MoM!$D$5:$D$129,"&lt;="&amp;$B$6)</f>
        <v>0.704013688420633</v>
      </c>
      <c r="C12" s="12">
        <f>AVERAGEIFS(INDEX(MoM!$G$5:$AH$129,0,MATCH($A12,MoM!$G$4:$AH$4,0)),MoM!$D$5:$D$129,"&gt;="&amp;$B$7,MoM!$D$5:$D$129,"&lt;="&amp;$B$8)</f>
        <v>0.567536750182616</v>
      </c>
      <c r="D12" s="12">
        <f t="shared" si="0"/>
        <v>-0.136476938238017</v>
      </c>
      <c r="E12" s="12">
        <f>AVERAGEIFS(INDEX(YoY!$G$5:$AH$129,0,MATCH($A12,YoY!$G$4:$AH$4,0)),YoY!$D$5:$D$129,"&gt;="&amp;$B$5,YoY!$D$5:$D$129,"&lt;="&amp;$B$6)</f>
        <v>4.83859762440051</v>
      </c>
      <c r="F12" s="12">
        <f>AVERAGEIFS(INDEX(YoY!$G$5:$AH$129,0,MATCH($A12,YoY!$G$4:$AH$4,0)),YoY!$D$5:$D$129,"&gt;="&amp;$B$7,YoY!$D$5:$D$129,"&lt;="&amp;$B$8)</f>
        <v>8.35569330823703</v>
      </c>
      <c r="G12" s="12">
        <f t="shared" si="1"/>
        <v>3.51709568383652</v>
      </c>
    </row>
    <row r="13" spans="1:7">
      <c r="A13" s="6" t="s">
        <v>21</v>
      </c>
      <c r="B13" s="12">
        <f>AVERAGEIFS(INDEX(MoM!$G$5:$AH$129,0,MATCH($A13,MoM!$G$4:$AH$4,0)),MoM!$D$5:$D$129,"&gt;="&amp;$B$5,MoM!$D$5:$D$129,"&lt;="&amp;$B$6)</f>
        <v>0.426095862274253</v>
      </c>
      <c r="C13" s="12">
        <f>AVERAGEIFS(INDEX(MoM!$G$5:$AH$129,0,MATCH($A13,MoM!$G$4:$AH$4,0)),MoM!$D$5:$D$129,"&gt;="&amp;$B$7,MoM!$D$5:$D$129,"&lt;="&amp;$B$8)</f>
        <v>-0.0253879763873144</v>
      </c>
      <c r="D13" s="12">
        <f t="shared" si="0"/>
        <v>-0.451483838661568</v>
      </c>
      <c r="E13" s="12">
        <f>AVERAGEIFS(INDEX(YoY!$G$5:$AH$129,0,MATCH($A13,YoY!$G$4:$AH$4,0)),YoY!$D$5:$D$129,"&gt;="&amp;$B$5,YoY!$D$5:$D$129,"&lt;="&amp;$B$6)</f>
        <v>2.58131452585771</v>
      </c>
      <c r="F13" s="12">
        <f>AVERAGEIFS(INDEX(YoY!$G$5:$AH$129,0,MATCH($A13,YoY!$G$4:$AH$4,0)),YoY!$D$5:$D$129,"&gt;="&amp;$B$7,YoY!$D$5:$D$129,"&lt;="&amp;$B$8)</f>
        <v>4.71369104481287</v>
      </c>
      <c r="G13" s="12">
        <f t="shared" si="1"/>
        <v>2.13237651895516</v>
      </c>
    </row>
    <row r="14" spans="1:7">
      <c r="A14" s="6" t="s">
        <v>27</v>
      </c>
      <c r="B14" s="12">
        <f>AVERAGEIFS(INDEX(MoM!$G$5:$AH$129,0,MATCH($A14,MoM!$G$4:$AH$4,0)),MoM!$D$5:$D$129,"&gt;="&amp;$B$5,MoM!$D$5:$D$129,"&lt;="&amp;$B$6)</f>
        <v>2.53773225959054</v>
      </c>
      <c r="C14" s="12">
        <f>AVERAGEIFS(INDEX(MoM!$G$5:$AH$129,0,MATCH($A14,MoM!$G$4:$AH$4,0)),MoM!$D$5:$D$129,"&gt;="&amp;$B$7,MoM!$D$5:$D$129,"&lt;="&amp;$B$8)</f>
        <v>-0.0411316713170521</v>
      </c>
      <c r="D14" s="12">
        <f t="shared" si="0"/>
        <v>-2.57886393090759</v>
      </c>
      <c r="E14" s="12">
        <f>AVERAGEIFS(INDEX(YoY!$G$5:$AH$129,0,MATCH($A14,YoY!$G$4:$AH$4,0)),YoY!$D$5:$D$129,"&gt;="&amp;$B$5,YoY!$D$5:$D$129,"&lt;="&amp;$B$6)</f>
        <v>20.3706939400159</v>
      </c>
      <c r="F14" s="12">
        <f>AVERAGEIFS(INDEX(YoY!$G$5:$AH$129,0,MATCH($A14,YoY!$G$4:$AH$4,0)),YoY!$D$5:$D$129,"&gt;="&amp;$B$7,YoY!$D$5:$D$129,"&lt;="&amp;$B$8)</f>
        <v>7.93790617606327</v>
      </c>
      <c r="G14" s="12">
        <f t="shared" si="1"/>
        <v>-12.4327877639526</v>
      </c>
    </row>
    <row r="15" spans="1:7">
      <c r="A15" s="6" t="s">
        <v>28</v>
      </c>
      <c r="B15" s="12">
        <f>AVERAGEIFS(INDEX(MoM!$G$5:$AH$129,0,MATCH($A15,MoM!$G$4:$AH$4,0)),MoM!$D$5:$D$129,"&gt;="&amp;$B$5,MoM!$D$5:$D$129,"&lt;="&amp;$B$6)</f>
        <v>1.29138133317782</v>
      </c>
      <c r="C15" s="12">
        <f>AVERAGEIFS(INDEX(MoM!$G$5:$AH$129,0,MATCH($A15,MoM!$G$4:$AH$4,0)),MoM!$D$5:$D$129,"&gt;="&amp;$B$7,MoM!$D$5:$D$129,"&lt;="&amp;$B$8)</f>
        <v>1.01107093823375</v>
      </c>
      <c r="D15" s="12">
        <f t="shared" si="0"/>
        <v>-0.280310394944062</v>
      </c>
      <c r="E15" s="12">
        <f>AVERAGEIFS(INDEX(YoY!$G$5:$AH$129,0,MATCH($A15,YoY!$G$4:$AH$4,0)),YoY!$D$5:$D$129,"&gt;="&amp;$B$5,YoY!$D$5:$D$129,"&lt;="&amp;$B$6)</f>
        <v>8.46321274062506</v>
      </c>
      <c r="F15" s="12">
        <f>AVERAGEIFS(INDEX(YoY!$G$5:$AH$129,0,MATCH($A15,YoY!$G$4:$AH$4,0)),YoY!$D$5:$D$129,"&gt;="&amp;$B$7,YoY!$D$5:$D$129,"&lt;="&amp;$B$8)</f>
        <v>16.0725334620787</v>
      </c>
      <c r="G15" s="12">
        <f t="shared" si="1"/>
        <v>7.6093207214536</v>
      </c>
    </row>
    <row r="16" spans="1:7">
      <c r="A16" s="6" t="s">
        <v>24</v>
      </c>
      <c r="B16" s="12">
        <f>AVERAGEIFS(INDEX(MoM!$G$5:$AH$129,0,MATCH($A16,MoM!$G$4:$AH$4,0)),MoM!$D$5:$D$129,"&gt;="&amp;$B$5,MoM!$D$5:$D$129,"&lt;="&amp;$B$6)</f>
        <v>0.491129880037202</v>
      </c>
      <c r="C16" s="12">
        <f>AVERAGEIFS(INDEX(MoM!$G$5:$AH$129,0,MATCH($A16,MoM!$G$4:$AH$4,0)),MoM!$D$5:$D$129,"&gt;="&amp;$B$7,MoM!$D$5:$D$129,"&lt;="&amp;$B$8)</f>
        <v>0.216427387695123</v>
      </c>
      <c r="D16" s="12">
        <f t="shared" si="0"/>
        <v>-0.274702492342079</v>
      </c>
      <c r="E16" s="12">
        <f>AVERAGEIFS(INDEX(YoY!$G$5:$AH$129,0,MATCH($A16,YoY!$G$4:$AH$4,0)),YoY!$D$5:$D$129,"&gt;="&amp;$B$5,YoY!$D$5:$D$129,"&lt;="&amp;$B$6)</f>
        <v>2.4274713011472</v>
      </c>
      <c r="F16" s="12">
        <f>AVERAGEIFS(INDEX(YoY!$G$5:$AH$129,0,MATCH($A16,YoY!$G$4:$AH$4,0)),YoY!$D$5:$D$129,"&gt;="&amp;$B$7,YoY!$D$5:$D$129,"&lt;="&amp;$B$8)</f>
        <v>5.68366210799169</v>
      </c>
      <c r="G16" s="12">
        <f t="shared" si="1"/>
        <v>3.25619080684449</v>
      </c>
    </row>
    <row r="17" spans="1:7">
      <c r="A17" s="6" t="s">
        <v>41</v>
      </c>
      <c r="B17" s="12">
        <f>AVERAGEIFS(INDEX(MoM!$G$5:$AH$129,0,MATCH($A17,MoM!$G$4:$AH$4,0)),MoM!$D$5:$D$129,"&gt;="&amp;$B$5,MoM!$D$5:$D$129,"&lt;="&amp;$B$6)</f>
        <v>0.342629969505986</v>
      </c>
      <c r="C17" s="12">
        <f>AVERAGEIFS(INDEX(MoM!$G$5:$AH$129,0,MATCH($A17,MoM!$G$4:$AH$4,0)),MoM!$D$5:$D$129,"&gt;="&amp;$B$7,MoM!$D$5:$D$129,"&lt;="&amp;$B$8)</f>
        <v>0.514468024663136</v>
      </c>
      <c r="D17" s="12">
        <f t="shared" si="0"/>
        <v>0.17183805515715</v>
      </c>
      <c r="E17" s="12">
        <f>AVERAGEIFS(INDEX(YoY!$G$5:$AH$129,0,MATCH($A17,YoY!$G$4:$AH$4,0)),YoY!$D$5:$D$129,"&gt;="&amp;$B$5,YoY!$D$5:$D$129,"&lt;="&amp;$B$6)</f>
        <v>6.64729470834878</v>
      </c>
      <c r="F17" s="12">
        <f>AVERAGEIFS(INDEX(YoY!$G$5:$AH$129,0,MATCH($A17,YoY!$G$4:$AH$4,0)),YoY!$D$5:$D$129,"&gt;="&amp;$B$7,YoY!$D$5:$D$129,"&lt;="&amp;$B$8)</f>
        <v>4.60227216019149</v>
      </c>
      <c r="G17" s="12">
        <f t="shared" si="1"/>
        <v>-2.04502254815729</v>
      </c>
    </row>
    <row r="18" spans="1:7">
      <c r="A18" s="6" t="s">
        <v>39</v>
      </c>
      <c r="B18" s="12">
        <f>AVERAGEIFS(INDEX(MoM!$G$5:$AH$129,0,MATCH($A18,MoM!$G$4:$AH$4,0)),MoM!$D$5:$D$129,"&gt;="&amp;$B$5,MoM!$D$5:$D$129,"&lt;="&amp;$B$6)</f>
        <v>0.518198573031292</v>
      </c>
      <c r="C18" s="12">
        <f>AVERAGEIFS(INDEX(MoM!$G$5:$AH$129,0,MATCH($A18,MoM!$G$4:$AH$4,0)),MoM!$D$5:$D$129,"&gt;="&amp;$B$7,MoM!$D$5:$D$129,"&lt;="&amp;$B$8)</f>
        <v>0.301201861320256</v>
      </c>
      <c r="D18" s="12">
        <f t="shared" si="0"/>
        <v>-0.216996711711036</v>
      </c>
      <c r="E18" s="12">
        <f>AVERAGEIFS(INDEX(YoY!$G$5:$AH$129,0,MATCH($A18,YoY!$G$4:$AH$4,0)),YoY!$D$5:$D$129,"&gt;="&amp;$B$5,YoY!$D$5:$D$129,"&lt;="&amp;$B$6)</f>
        <v>0.91827132313953</v>
      </c>
      <c r="F18" s="12">
        <f>AVERAGEIFS(INDEX(YoY!$G$5:$AH$129,0,MATCH($A18,YoY!$G$4:$AH$4,0)),YoY!$D$5:$D$129,"&gt;="&amp;$B$7,YoY!$D$5:$D$129,"&lt;="&amp;$B$8)</f>
        <v>2.40338806903492</v>
      </c>
      <c r="G18" s="12">
        <f t="shared" si="1"/>
        <v>1.48511674589539</v>
      </c>
    </row>
    <row r="19" spans="1:7">
      <c r="A19" s="6" t="s">
        <v>42</v>
      </c>
      <c r="B19" s="12">
        <f>AVERAGEIFS(INDEX(MoM!$G$5:$AH$129,0,MATCH($A19,MoM!$G$4:$AH$4,0)),MoM!$D$5:$D$129,"&gt;="&amp;$B$5,MoM!$D$5:$D$129,"&lt;="&amp;$B$6)</f>
        <v>0.423212961025839</v>
      </c>
      <c r="C19" s="12">
        <f>AVERAGEIFS(INDEX(MoM!$G$5:$AH$129,0,MATCH($A19,MoM!$G$4:$AH$4,0)),MoM!$D$5:$D$129,"&gt;="&amp;$B$7,MoM!$D$5:$D$129,"&lt;="&amp;$B$8)</f>
        <v>0.904282621322591</v>
      </c>
      <c r="D19" s="12">
        <f t="shared" si="0"/>
        <v>0.481069660296752</v>
      </c>
      <c r="E19" s="12">
        <f>AVERAGEIFS(INDEX(YoY!$G$5:$AH$129,0,MATCH($A19,YoY!$G$4:$AH$4,0)),YoY!$D$5:$D$129,"&gt;="&amp;$B$5,YoY!$D$5:$D$129,"&lt;="&amp;$B$6)</f>
        <v>2.36931249882652</v>
      </c>
      <c r="F19" s="12">
        <f>AVERAGEIFS(INDEX(YoY!$G$5:$AH$129,0,MATCH($A19,YoY!$G$4:$AH$4,0)),YoY!$D$5:$D$129,"&gt;="&amp;$B$7,YoY!$D$5:$D$129,"&lt;="&amp;$B$8)</f>
        <v>8.62366337809694</v>
      </c>
      <c r="G19" s="12">
        <f t="shared" si="1"/>
        <v>6.25435087927042</v>
      </c>
    </row>
    <row r="20" spans="1:7">
      <c r="A20" s="6" t="s">
        <v>44</v>
      </c>
      <c r="B20" s="12">
        <f>AVERAGEIFS(INDEX(MoM!$G$5:$AH$129,0,MATCH($A20,MoM!$G$4:$AH$4,0)),MoM!$D$5:$D$129,"&gt;="&amp;$B$5,MoM!$D$5:$D$129,"&lt;="&amp;$B$6)</f>
        <v>0.321769732698864</v>
      </c>
      <c r="C20" s="12">
        <f>AVERAGEIFS(INDEX(MoM!$G$5:$AH$129,0,MATCH($A20,MoM!$G$4:$AH$4,0)),MoM!$D$5:$D$129,"&gt;="&amp;$B$7,MoM!$D$5:$D$129,"&lt;="&amp;$B$8)</f>
        <v>0.175436219158249</v>
      </c>
      <c r="D20" s="12">
        <f t="shared" si="0"/>
        <v>-0.146333513540616</v>
      </c>
      <c r="E20" s="12">
        <f>AVERAGEIFS(INDEX(YoY!$G$5:$AH$129,0,MATCH($A20,YoY!$G$4:$AH$4,0)),YoY!$D$5:$D$129,"&gt;="&amp;$B$5,YoY!$D$5:$D$129,"&lt;="&amp;$B$6)</f>
        <v>5.69649600007285</v>
      </c>
      <c r="F20" s="12">
        <f>AVERAGEIFS(INDEX(YoY!$G$5:$AH$129,0,MATCH($A20,YoY!$G$4:$AH$4,0)),YoY!$D$5:$D$129,"&gt;="&amp;$B$7,YoY!$D$5:$D$129,"&lt;="&amp;$B$8)</f>
        <v>2.40186761162991</v>
      </c>
      <c r="G20" s="12">
        <f t="shared" si="1"/>
        <v>-3.29462838844294</v>
      </c>
    </row>
    <row r="21" spans="1:7">
      <c r="A21" s="6" t="s">
        <v>38</v>
      </c>
      <c r="B21" s="12">
        <f>AVERAGEIFS(INDEX(MoM!$G$5:$AH$129,0,MATCH($A21,MoM!$G$4:$AH$4,0)),MoM!$D$5:$D$129,"&gt;="&amp;$B$5,MoM!$D$5:$D$129,"&lt;="&amp;$B$6)</f>
        <v>0.347610835186583</v>
      </c>
      <c r="C21" s="12">
        <f>AVERAGEIFS(INDEX(MoM!$G$5:$AH$129,0,MATCH($A21,MoM!$G$4:$AH$4,0)),MoM!$D$5:$D$129,"&gt;="&amp;$B$7,MoM!$D$5:$D$129,"&lt;="&amp;$B$8)</f>
        <v>0.2666536078039</v>
      </c>
      <c r="D21" s="12">
        <f t="shared" si="0"/>
        <v>-0.0809572273826835</v>
      </c>
      <c r="E21" s="12">
        <f>AVERAGEIFS(INDEX(YoY!$G$5:$AH$129,0,MATCH($A21,YoY!$G$4:$AH$4,0)),YoY!$D$5:$D$129,"&gt;="&amp;$B$5,YoY!$D$5:$D$129,"&lt;="&amp;$B$6)</f>
        <v>4.59115923935733</v>
      </c>
      <c r="F21" s="12">
        <f>AVERAGEIFS(INDEX(YoY!$G$5:$AH$129,0,MATCH($A21,YoY!$G$4:$AH$4,0)),YoY!$D$5:$D$129,"&gt;="&amp;$B$7,YoY!$D$5:$D$129,"&lt;="&amp;$B$8)</f>
        <v>3.10172734298809</v>
      </c>
      <c r="G21" s="12">
        <f t="shared" si="1"/>
        <v>-1.48943189636924</v>
      </c>
    </row>
    <row r="22" spans="1:7">
      <c r="A22" s="6" t="s">
        <v>40</v>
      </c>
      <c r="B22" s="12">
        <f>AVERAGEIFS(INDEX(MoM!$G$5:$AH$129,0,MATCH($A22,MoM!$G$4:$AH$4,0)),MoM!$D$5:$D$129,"&gt;="&amp;$B$5,MoM!$D$5:$D$129,"&lt;="&amp;$B$6)</f>
        <v>0.155318587413794</v>
      </c>
      <c r="C22" s="12">
        <f>AVERAGEIFS(INDEX(MoM!$G$5:$AH$129,0,MATCH($A22,MoM!$G$4:$AH$4,0)),MoM!$D$5:$D$129,"&gt;="&amp;$B$7,MoM!$D$5:$D$129,"&lt;="&amp;$B$8)</f>
        <v>0.25333712299915</v>
      </c>
      <c r="D22" s="12">
        <f t="shared" si="0"/>
        <v>0.0980185355853553</v>
      </c>
      <c r="E22" s="12">
        <f>AVERAGEIFS(INDEX(YoY!$G$5:$AH$129,0,MATCH($A22,YoY!$G$4:$AH$4,0)),YoY!$D$5:$D$129,"&gt;="&amp;$B$5,YoY!$D$5:$D$129,"&lt;="&amp;$B$6)</f>
        <v>3.41714650793935</v>
      </c>
      <c r="F22" s="12">
        <f>AVERAGEIFS(INDEX(YoY!$G$5:$AH$129,0,MATCH($A22,YoY!$G$4:$AH$4,0)),YoY!$D$5:$D$129,"&gt;="&amp;$B$7,YoY!$D$5:$D$129,"&lt;="&amp;$B$8)</f>
        <v>2.33185231379843</v>
      </c>
      <c r="G22" s="12">
        <f t="shared" si="1"/>
        <v>-1.08529419414092</v>
      </c>
    </row>
    <row r="24" spans="1:7">
      <c r="A24" s="3" t="s">
        <v>147</v>
      </c>
      <c r="B24" s="3" t="str">
        <f>INDEX(A11:A22,MATCH(MAX(D11:D22),D11:D22,0))</f>
        <v>Transport and communication</v>
      </c>
      <c r="D24" s="4">
        <f>MAX(D11:D22)</f>
        <v>0.481069660296752</v>
      </c>
    </row>
    <row r="25" spans="1:7">
      <c r="A25" s="5" t="s">
        <v>148</v>
      </c>
      <c r="B25" s="6" t="str">
        <f>INDEX(A11:A22,MATCH(MIN(D11:D22),D11:D22,0))</f>
        <v>Vegetables</v>
      </c>
      <c r="D25" s="12">
        <f>MIN(D11:D22)</f>
        <v>-2.57886393090759</v>
      </c>
    </row>
    <row r="27" spans="1:7">
      <c r="A27" s="5" t="s">
        <v>149</v>
      </c>
    </row>
    <row r="28" ht="26.4" spans="1:7">
      <c r="A28" s="8" t="s">
        <v>20</v>
      </c>
      <c r="B28" s="8" t="s">
        <v>150</v>
      </c>
      <c r="C28" s="8" t="s">
        <v>151</v>
      </c>
      <c r="D28" s="8" t="s">
        <v>152</v>
      </c>
    </row>
    <row r="29" spans="1:7">
      <c r="A29" s="15">
        <v>43466</v>
      </c>
      <c r="B29" s="11">
        <f>INDEX(YoY!$G$5:$AH$129,MATCH($A29,YoY!$D$5:$D$129,0),MATCH("General index",YoY!$G$4:$AH$4,0))</f>
        <v>1.97224251278304</v>
      </c>
      <c r="C29" s="11">
        <f>INDEX(YoY!$G$5:$AH$129,MATCH($A29,YoY!$D$5:$D$129,0),MATCH("Food bucket (sum of 12 food items)",YoY!$G$4:$AH$4,0))</f>
        <v>-1.50545498872434</v>
      </c>
      <c r="D29" s="11">
        <f>INDEX(YoY!$G$5:$AH$129,MATCH($A29,YoY!$D$5:$D$129,0),MATCH("Health",YoY!$G$4:$AH$4,0))</f>
        <v>8.8522130532633</v>
      </c>
    </row>
    <row r="30" spans="1:7">
      <c r="A30" s="9">
        <f t="shared" ref="A30:A64" si="2">DATE(YEAR(A29),MONTH(A29)+1,1)</f>
        <v>43497</v>
      </c>
      <c r="B30" s="11">
        <f>INDEX(YoY!$G$5:$AH$129,MATCH($A30,YoY!$D$5:$D$129,0),MATCH("General index",YoY!$G$4:$AH$4,0))</f>
        <v>2.56598240469208</v>
      </c>
      <c r="C30" s="11">
        <f>INDEX(YoY!$G$5:$AH$129,MATCH($A30,YoY!$D$5:$D$129,0),MATCH("Food bucket (sum of 12 food items)",YoY!$G$4:$AH$4,0))</f>
        <v>-0.197190041902873</v>
      </c>
      <c r="D30" s="11">
        <f>INDEX(YoY!$G$5:$AH$129,MATCH($A30,YoY!$D$5:$D$129,0),MATCH("Health",YoY!$G$4:$AH$4,0))</f>
        <v>8.81913303437966</v>
      </c>
    </row>
    <row r="31" spans="1:7">
      <c r="A31" s="9">
        <f t="shared" si="2"/>
        <v>43525</v>
      </c>
      <c r="B31" s="11">
        <f>INDEX(YoY!$G$5:$AH$129,MATCH($A31,YoY!$D$5:$D$129,0),MATCH("General index",YoY!$G$4:$AH$4,0))</f>
        <v>2.85714285714286</v>
      </c>
      <c r="C31" s="11">
        <f>INDEX(YoY!$G$5:$AH$129,MATCH($A31,YoY!$D$5:$D$129,0),MATCH("Food bucket (sum of 12 food items)",YoY!$G$4:$AH$4,0))</f>
        <v>0.37064492216458</v>
      </c>
      <c r="D31" s="11">
        <f>INDEX(YoY!$G$5:$AH$129,MATCH($A31,YoY!$D$5:$D$129,0),MATCH("Health",YoY!$G$4:$AH$4,0))</f>
        <v>8.86075949367087</v>
      </c>
    </row>
    <row r="32" spans="1:7">
      <c r="A32" s="9">
        <f t="shared" si="2"/>
        <v>43556</v>
      </c>
      <c r="B32" s="11">
        <f>INDEX(YoY!$G$5:$AH$129,MATCH($A32,YoY!$D$5:$D$129,0),MATCH("General index",YoY!$G$4:$AH$4,0))</f>
        <v>2.99051787016776</v>
      </c>
      <c r="C32" s="11">
        <f>INDEX(YoY!$G$5:$AH$129,MATCH($A32,YoY!$D$5:$D$129,0),MATCH("Food bucket (sum of 12 food items)",YoY!$G$4:$AH$4,0))</f>
        <v>1.12990861941218</v>
      </c>
      <c r="D32" s="11">
        <f>INDEX(YoY!$G$5:$AH$129,MATCH($A32,YoY!$D$5:$D$129,0),MATCH("Health",YoY!$G$4:$AH$4,0))</f>
        <v>8.3949704142012</v>
      </c>
    </row>
    <row r="33" spans="1:4">
      <c r="A33" s="9">
        <f t="shared" si="2"/>
        <v>43586</v>
      </c>
      <c r="B33" s="11">
        <f>INDEX(YoY!$G$5:$AH$129,MATCH($A33,YoY!$D$5:$D$129,0),MATCH("General index",YoY!$G$4:$AH$4,0))</f>
        <v>3.04789550072568</v>
      </c>
      <c r="C33" s="11">
        <f>INDEX(YoY!$G$5:$AH$129,MATCH($A33,YoY!$D$5:$D$129,0),MATCH("Food bucket (sum of 12 food items)",YoY!$G$4:$AH$4,0))</f>
        <v>1.80674600727633</v>
      </c>
      <c r="D33" s="11">
        <f>INDEX(YoY!$G$5:$AH$129,MATCH($A33,YoY!$D$5:$D$129,0),MATCH("Health",YoY!$G$4:$AH$4,0))</f>
        <v>8.01470588235295</v>
      </c>
    </row>
    <row r="34" spans="1:4">
      <c r="A34" s="9">
        <f t="shared" si="2"/>
        <v>43617</v>
      </c>
      <c r="B34" s="11">
        <f>INDEX(YoY!$G$5:$AH$129,MATCH($A34,YoY!$D$5:$D$129,0),MATCH("General index",YoY!$G$4:$AH$4,0))</f>
        <v>3.17689530685921</v>
      </c>
      <c r="C34" s="11">
        <f>INDEX(YoY!$G$5:$AH$129,MATCH($A34,YoY!$D$5:$D$129,0),MATCH("Food bucket (sum of 12 food items)",YoY!$G$4:$AH$4,0))</f>
        <v>2.24506025570441</v>
      </c>
      <c r="D34" s="11">
        <f>INDEX(YoY!$G$5:$AH$129,MATCH($A34,YoY!$D$5:$D$129,0),MATCH("Health",YoY!$G$4:$AH$4,0))</f>
        <v>8.22320117474304</v>
      </c>
    </row>
    <row r="35" spans="1:4">
      <c r="A35" s="9">
        <f t="shared" si="2"/>
        <v>43647</v>
      </c>
      <c r="B35" s="11">
        <f>INDEX(YoY!$G$5:$AH$129,MATCH($A35,YoY!$D$5:$D$129,0),MATCH("General index",YoY!$G$4:$AH$4,0))</f>
        <v>3.14735336194562</v>
      </c>
      <c r="C35" s="11">
        <f>INDEX(YoY!$G$5:$AH$129,MATCH($A35,YoY!$D$5:$D$129,0),MATCH("Food bucket (sum of 12 food items)",YoY!$G$4:$AH$4,0))</f>
        <v>2.35201644597618</v>
      </c>
      <c r="D35" s="11">
        <f>INDEX(YoY!$G$5:$AH$129,MATCH($A35,YoY!$D$5:$D$129,0),MATCH("Health",YoY!$G$4:$AH$4,0))</f>
        <v>7.95620437956205</v>
      </c>
    </row>
    <row r="36" spans="1:4">
      <c r="A36" s="9">
        <f t="shared" si="2"/>
        <v>43678</v>
      </c>
      <c r="B36" s="11">
        <f>INDEX(YoY!$G$5:$AH$129,MATCH($A36,YoY!$D$5:$D$129,0),MATCH("General index",YoY!$G$4:$AH$4,0))</f>
        <v>3.27635327635327</v>
      </c>
      <c r="C36" s="11">
        <f>INDEX(YoY!$G$5:$AH$129,MATCH($A36,YoY!$D$5:$D$129,0),MATCH("Food bucket (sum of 12 food items)",YoY!$G$4:$AH$4,0))</f>
        <v>2.63126131563064</v>
      </c>
      <c r="D36" s="11">
        <f>INDEX(YoY!$G$5:$AH$129,MATCH($A36,YoY!$D$5:$D$129,0),MATCH("Health",YoY!$G$4:$AH$4,0))</f>
        <v>7.84313725490197</v>
      </c>
    </row>
    <row r="37" spans="1:4">
      <c r="A37" s="9">
        <f t="shared" si="2"/>
        <v>43709</v>
      </c>
      <c r="B37" s="11">
        <f>INDEX(YoY!$G$5:$AH$129,MATCH($A37,YoY!$D$5:$D$129,0),MATCH("General index",YoY!$G$4:$AH$4,0))</f>
        <v>3.99429386590586</v>
      </c>
      <c r="C37" s="11">
        <f>INDEX(YoY!$G$5:$AH$129,MATCH($A37,YoY!$D$5:$D$129,0),MATCH("Food bucket (sum of 12 food items)",YoY!$G$4:$AH$4,0))</f>
        <v>4.36825086937953</v>
      </c>
      <c r="D37" s="11">
        <f>INDEX(YoY!$G$5:$AH$129,MATCH($A37,YoY!$D$5:$D$129,0),MATCH("Health",YoY!$G$4:$AH$4,0))</f>
        <v>7.65895953757225</v>
      </c>
    </row>
    <row r="38" spans="1:4">
      <c r="A38" s="9">
        <f t="shared" si="2"/>
        <v>43739</v>
      </c>
      <c r="B38" s="11">
        <f>INDEX(YoY!$G$5:$AH$129,MATCH($A38,YoY!$D$5:$D$129,0),MATCH("General index",YoY!$G$4:$AH$4,0))</f>
        <v>4.54545454545453</v>
      </c>
      <c r="C38" s="11">
        <f>INDEX(YoY!$G$5:$AH$129,MATCH($A38,YoY!$D$5:$D$129,0),MATCH("Food bucket (sum of 12 food items)",YoY!$G$4:$AH$4,0))</f>
        <v>6.08004888481514</v>
      </c>
      <c r="D38" s="11">
        <f>INDEX(YoY!$G$5:$AH$129,MATCH($A38,YoY!$D$5:$D$129,0),MATCH("Health",YoY!$G$4:$AH$4,0))</f>
        <v>5.137227304715</v>
      </c>
    </row>
    <row r="39" spans="1:4">
      <c r="A39" s="9">
        <f t="shared" si="2"/>
        <v>43770</v>
      </c>
      <c r="B39" s="11">
        <f>INDEX(YoY!$G$5:$AH$129,MATCH($A39,YoY!$D$5:$D$129,0),MATCH("General index",YoY!$G$4:$AH$4,0))</f>
        <v>5.53977272727272</v>
      </c>
      <c r="C39" s="11">
        <f>INDEX(YoY!$G$5:$AH$129,MATCH($A39,YoY!$D$5:$D$129,0),MATCH("Food bucket (sum of 12 food items)",YoY!$G$4:$AH$4,0))</f>
        <v>7.51833740831294</v>
      </c>
      <c r="D39" s="11">
        <f>INDEX(YoY!$G$5:$AH$129,MATCH($A39,YoY!$D$5:$D$129,0),MATCH("Health",YoY!$G$4:$AH$4,0))</f>
        <v>5.48909218859959</v>
      </c>
    </row>
    <row r="40" spans="1:4">
      <c r="A40" s="9">
        <f t="shared" si="2"/>
        <v>43800</v>
      </c>
      <c r="B40" s="11">
        <f>INDEX(YoY!$G$5:$AH$129,MATCH($A40,YoY!$D$5:$D$129,0),MATCH("General index",YoY!$G$4:$AH$4,0))</f>
        <v>7.3518915060671</v>
      </c>
      <c r="C40" s="11">
        <f>INDEX(YoY!$G$5:$AH$129,MATCH($A40,YoY!$D$5:$D$129,0),MATCH("Food bucket (sum of 12 food items)",YoY!$G$4:$AH$4,0))</f>
        <v>10.2486765973163</v>
      </c>
      <c r="D40" s="11">
        <f>INDEX(YoY!$G$5:$AH$129,MATCH($A40,YoY!$D$5:$D$129,0),MATCH("Health",YoY!$G$4:$AH$4,0))</f>
        <v>3.79572118702553</v>
      </c>
    </row>
    <row r="41" spans="1:4">
      <c r="A41" s="9">
        <f t="shared" si="2"/>
        <v>43831</v>
      </c>
      <c r="B41" s="11">
        <f>INDEX(YoY!$G$5:$AH$129,MATCH($A41,YoY!$D$5:$D$129,0),MATCH("General index",YoY!$G$4:$AH$4,0))</f>
        <v>7.59312320916905</v>
      </c>
      <c r="C41" s="11">
        <f>INDEX(YoY!$G$5:$AH$129,MATCH($A41,YoY!$D$5:$D$129,0),MATCH("Food bucket (sum of 12 food items)",YoY!$G$4:$AH$4,0))</f>
        <v>10.575495049505</v>
      </c>
      <c r="D41" s="11">
        <f>INDEX(YoY!$G$5:$AH$129,MATCH($A41,YoY!$D$5:$D$129,0),MATCH("Health",YoY!$G$4:$AH$4,0))</f>
        <v>4.20399724328049</v>
      </c>
    </row>
    <row r="42" spans="1:4">
      <c r="A42" s="9">
        <f t="shared" si="2"/>
        <v>43862</v>
      </c>
      <c r="B42" s="11">
        <f>INDEX(YoY!$G$5:$AH$129,MATCH($A42,YoY!$D$5:$D$129,0),MATCH("General index",YoY!$G$4:$AH$4,0))</f>
        <v>6.57612580414581</v>
      </c>
      <c r="C42" s="11">
        <f>INDEX(YoY!$G$5:$AH$129,MATCH($A42,YoY!$D$5:$D$129,0),MATCH("Food bucket (sum of 12 food items)",YoY!$G$4:$AH$4,0))</f>
        <v>8.73672511731292</v>
      </c>
      <c r="D42" s="11">
        <f>INDEX(YoY!$G$5:$AH$129,MATCH($A42,YoY!$D$5:$D$129,0),MATCH("Health",YoY!$G$4:$AH$4,0))</f>
        <v>4.18956043956044</v>
      </c>
    </row>
    <row r="43" spans="1:4">
      <c r="A43" s="9">
        <f t="shared" si="2"/>
        <v>43891</v>
      </c>
      <c r="B43" s="11">
        <f>INDEX(YoY!$G$5:$AH$129,MATCH($A43,YoY!$D$5:$D$129,0),MATCH("General index",YoY!$G$4:$AH$4,0))</f>
        <v>5.84045584045583</v>
      </c>
      <c r="C43" s="11">
        <f>INDEX(YoY!$G$5:$AH$129,MATCH($A43,YoY!$D$5:$D$129,0),MATCH("Food bucket (sum of 12 food items)",YoY!$G$4:$AH$4,0))</f>
        <v>7.49015263417035</v>
      </c>
      <c r="D43" s="11">
        <f>INDEX(YoY!$G$5:$AH$129,MATCH($A43,YoY!$D$5:$D$129,0),MATCH("Health",YoY!$G$4:$AH$4,0))</f>
        <v>4.17236662106705</v>
      </c>
    </row>
    <row r="44" spans="1:4">
      <c r="A44" s="9">
        <f t="shared" si="2"/>
        <v>43922</v>
      </c>
      <c r="B44" s="11">
        <f>INDEX(YoY!$G$5:$AH$129,MATCH($A44,YoY!$D$5:$D$129,0),MATCH("General index",YoY!$G$4:$AH$4,0))</f>
        <v>5.99622285174693</v>
      </c>
      <c r="C44" s="11">
        <f>INDEX(YoY!$G$5:$AH$129,MATCH($A44,YoY!$D$5:$D$129,0),MATCH("Food bucket (sum of 12 food items)",YoY!$G$4:$AH$4,0))</f>
        <v>10.3364063740155</v>
      </c>
      <c r="D44" s="11">
        <f>INDEX(YoY!$G$5:$AH$129,MATCH($A44,YoY!$D$5:$D$129,0),MATCH("Health",YoY!$G$4:$AH$4,0))</f>
        <v>2.83179802115317</v>
      </c>
    </row>
    <row r="45" spans="1:4">
      <c r="A45" s="9">
        <f t="shared" si="2"/>
        <v>43952</v>
      </c>
      <c r="B45" s="11">
        <f>INDEX(YoY!$G$5:$AH$129,MATCH($A45,YoY!$D$5:$D$129,0),MATCH("General index",YoY!$G$4:$AH$4,0))</f>
        <v>6.15023474178405</v>
      </c>
      <c r="C45" s="11">
        <f>INDEX(YoY!$G$5:$AH$129,MATCH($A45,YoY!$D$5:$D$129,0),MATCH("Food bucket (sum of 12 food items)",YoY!$G$4:$AH$4,0))</f>
        <v>9.63052695336158</v>
      </c>
      <c r="D45" s="11">
        <f>INDEX(YoY!$G$5:$AH$129,MATCH($A45,YoY!$D$5:$D$129,0),MATCH("Health",YoY!$G$4:$AH$4,0))</f>
        <v>3.84615384615385</v>
      </c>
    </row>
    <row r="46" spans="1:4">
      <c r="A46" s="9">
        <f t="shared" si="2"/>
        <v>43983</v>
      </c>
      <c r="B46" s="11">
        <f>INDEX(YoY!$G$5:$AH$129,MATCH($A46,YoY!$D$5:$D$129,0),MATCH("General index",YoY!$G$4:$AH$4,0))</f>
        <v>6.22813156053184</v>
      </c>
      <c r="C46" s="11">
        <f>INDEX(YoY!$G$5:$AH$129,MATCH($A46,YoY!$D$5:$D$129,0),MATCH("Food bucket (sum of 12 food items)",YoY!$G$4:$AH$4,0))</f>
        <v>8.45997367476368</v>
      </c>
      <c r="D46" s="11">
        <f>INDEX(YoY!$G$5:$AH$129,MATCH($A46,YoY!$D$5:$D$129,0),MATCH("Health",YoY!$G$4:$AH$4,0))</f>
        <v>4.74898236092266</v>
      </c>
    </row>
    <row r="47" spans="1:4">
      <c r="A47" s="9">
        <f t="shared" si="2"/>
        <v>44013</v>
      </c>
      <c r="B47" s="11">
        <f>INDEX(YoY!$G$5:$AH$129,MATCH($A47,YoY!$D$5:$D$129,0),MATCH("General index",YoY!$G$4:$AH$4,0))</f>
        <v>5.27045769764218</v>
      </c>
      <c r="C47" s="11">
        <f>INDEX(YoY!$G$5:$AH$129,MATCH($A47,YoY!$D$5:$D$129,0),MATCH("Food bucket (sum of 12 food items)",YoY!$G$4:$AH$4,0))</f>
        <v>7.08884688090739</v>
      </c>
      <c r="D47" s="11">
        <f>INDEX(YoY!$G$5:$AH$129,MATCH($A47,YoY!$D$5:$D$129,0),MATCH("Health",YoY!$G$4:$AH$4,0))</f>
        <v>4.394861392833</v>
      </c>
    </row>
    <row r="48" spans="1:4">
      <c r="A48" s="9">
        <f t="shared" si="2"/>
        <v>44044</v>
      </c>
      <c r="B48" s="11">
        <f>INDEX(YoY!$G$5:$AH$129,MATCH($A48,YoY!$D$5:$D$129,0),MATCH("General index",YoY!$G$4:$AH$4,0))</f>
        <v>6.13793103448276</v>
      </c>
      <c r="C48" s="11">
        <f>INDEX(YoY!$G$5:$AH$129,MATCH($A48,YoY!$D$5:$D$129,0),MATCH("Food bucket (sum of 12 food items)",YoY!$G$4:$AH$4,0))</f>
        <v>8.09126190756203</v>
      </c>
      <c r="D48" s="11">
        <f>INDEX(YoY!$G$5:$AH$129,MATCH($A48,YoY!$D$5:$D$129,0),MATCH("Health",YoY!$G$4:$AH$4,0))</f>
        <v>4.37710437710438</v>
      </c>
    </row>
    <row r="49" spans="1:4">
      <c r="A49" s="9">
        <f t="shared" si="2"/>
        <v>44075</v>
      </c>
      <c r="B49" s="11">
        <f>INDEX(YoY!$G$5:$AH$129,MATCH($A49,YoY!$D$5:$D$129,0),MATCH("General index",YoY!$G$4:$AH$4,0))</f>
        <v>6.10425240054868</v>
      </c>
      <c r="C49" s="11">
        <f>INDEX(YoY!$G$5:$AH$129,MATCH($A49,YoY!$D$5:$D$129,0),MATCH("Food bucket (sum of 12 food items)",YoY!$G$4:$AH$4,0))</f>
        <v>8.08440989068803</v>
      </c>
      <c r="D49" s="11">
        <f>INDEX(YoY!$G$5:$AH$129,MATCH($A49,YoY!$D$5:$D$129,0),MATCH("Health",YoY!$G$4:$AH$4,0))</f>
        <v>4.42953020134228</v>
      </c>
    </row>
    <row r="50" spans="1:4">
      <c r="A50" s="9">
        <f t="shared" si="2"/>
        <v>44105</v>
      </c>
      <c r="B50" s="11">
        <f>INDEX(YoY!$G$5:$AH$129,MATCH($A50,YoY!$D$5:$D$129,0),MATCH("General index",YoY!$G$4:$AH$4,0))</f>
        <v>6.25000000000001</v>
      </c>
      <c r="C50" s="11">
        <f>INDEX(YoY!$G$5:$AH$129,MATCH($A50,YoY!$D$5:$D$129,0),MATCH("Food bucket (sum of 12 food items)",YoY!$G$4:$AH$4,0))</f>
        <v>8.70967741935487</v>
      </c>
      <c r="D50" s="11">
        <f>INDEX(YoY!$G$5:$AH$129,MATCH($A50,YoY!$D$5:$D$129,0),MATCH("Health",YoY!$G$4:$AH$4,0))</f>
        <v>4.61847389558233</v>
      </c>
    </row>
    <row r="51" spans="1:4">
      <c r="A51" s="9">
        <f t="shared" si="2"/>
        <v>44136</v>
      </c>
      <c r="B51" s="11">
        <f>INDEX(YoY!$G$5:$AH$129,MATCH($A51,YoY!$D$5:$D$129,0),MATCH("General index",YoY!$G$4:$AH$4,0))</f>
        <v>6.59488559892329</v>
      </c>
      <c r="C51" s="11">
        <f>INDEX(YoY!$G$5:$AH$129,MATCH($A51,YoY!$D$5:$D$129,0),MATCH("Food bucket (sum of 12 food items)",YoY!$G$4:$AH$4,0))</f>
        <v>9.77259806708357</v>
      </c>
      <c r="D51" s="11">
        <f>INDEX(YoY!$G$5:$AH$129,MATCH($A51,YoY!$D$5:$D$129,0),MATCH("Health",YoY!$G$4:$AH$4,0))</f>
        <v>4.869913275517</v>
      </c>
    </row>
    <row r="52" spans="1:4">
      <c r="A52" s="9">
        <f t="shared" si="2"/>
        <v>44166</v>
      </c>
      <c r="B52" s="11">
        <f>INDEX(YoY!$G$5:$AH$129,MATCH($A52,YoY!$D$5:$D$129,0),MATCH("General index",YoY!$G$4:$AH$4,0))</f>
        <v>5.65159574468085</v>
      </c>
      <c r="C52" s="11">
        <f>INDEX(YoY!$G$5:$AH$129,MATCH($A52,YoY!$D$5:$D$129,0),MATCH("Food bucket (sum of 12 food items)",YoY!$G$4:$AH$4,0))</f>
        <v>8.5199039696276</v>
      </c>
      <c r="D52" s="11">
        <f>INDEX(YoY!$G$5:$AH$129,MATCH($A52,YoY!$D$5:$D$129,0),MATCH("Health",YoY!$G$4:$AH$4,0))</f>
        <v>5.25265957446809</v>
      </c>
    </row>
    <row r="53" spans="1:4">
      <c r="A53" s="9">
        <f t="shared" si="2"/>
        <v>44197</v>
      </c>
      <c r="B53" s="11">
        <f>INDEX(YoY!$G$5:$AH$129,MATCH($A53,YoY!$D$5:$D$129,0),MATCH("General index",YoY!$G$4:$AH$4,0))</f>
        <v>4.72703062583224</v>
      </c>
      <c r="C53" s="11">
        <f>INDEX(YoY!$G$5:$AH$129,MATCH($A53,YoY!$D$5:$D$129,0),MATCH("Food bucket (sum of 12 food items)",YoY!$G$4:$AH$4,0))</f>
        <v>7.19682131064972</v>
      </c>
      <c r="D53" s="11">
        <f>INDEX(YoY!$G$5:$AH$129,MATCH($A53,YoY!$D$5:$D$129,0),MATCH("Health",YoY!$G$4:$AH$4,0))</f>
        <v>5.35714285714287</v>
      </c>
    </row>
    <row r="54" spans="1:4">
      <c r="A54" s="9">
        <f t="shared" si="2"/>
        <v>44228</v>
      </c>
      <c r="B54" s="11">
        <f>INDEX(YoY!$G$5:$AH$129,MATCH($A54,YoY!$D$5:$D$129,0),MATCH("General index",YoY!$G$4:$AH$4,0))</f>
        <v>5.03018108651912</v>
      </c>
      <c r="C54" s="11">
        <f>INDEX(YoY!$G$5:$AH$129,MATCH($A54,YoY!$D$5:$D$129,0),MATCH("Food bucket (sum of 12 food items)",YoY!$G$4:$AH$4,0))</f>
        <v>6.88774061666005</v>
      </c>
      <c r="D54" s="11">
        <f>INDEX(YoY!$G$5:$AH$129,MATCH($A54,YoY!$D$5:$D$129,0),MATCH("Health",YoY!$G$4:$AH$4,0))</f>
        <v>6.32827949901122</v>
      </c>
    </row>
    <row r="55" spans="1:4">
      <c r="A55" s="9">
        <f t="shared" si="2"/>
        <v>44256</v>
      </c>
      <c r="B55" s="11">
        <f>INDEX(YoY!$G$5:$AH$129,MATCH($A55,YoY!$D$5:$D$129,0),MATCH("General index",YoY!$G$4:$AH$4,0))</f>
        <v>5.51816958277256</v>
      </c>
      <c r="C55" s="11">
        <f>INDEX(YoY!$G$5:$AH$129,MATCH($A55,YoY!$D$5:$D$129,0),MATCH("Food bucket (sum of 12 food items)",YoY!$G$4:$AH$4,0))</f>
        <v>7.79845405095905</v>
      </c>
      <c r="D55" s="11">
        <f>INDEX(YoY!$G$5:$AH$129,MATCH($A55,YoY!$D$5:$D$129,0),MATCH("Health",YoY!$G$4:$AH$4,0))</f>
        <v>6.17202889034798</v>
      </c>
    </row>
    <row r="56" spans="1:4">
      <c r="A56" s="9">
        <f t="shared" si="2"/>
        <v>44287</v>
      </c>
      <c r="B56" s="11">
        <f>INDEX(YoY!$G$5:$AH$129,MATCH($A56,YoY!$D$5:$D$129,0),MATCH("General index",YoY!$G$4:$AH$4,0))</f>
        <v>5.43429844097997</v>
      </c>
      <c r="C56" s="11">
        <f>INDEX(YoY!$G$5:$AH$129,MATCH($A56,YoY!$D$5:$D$129,0),MATCH("Food bucket (sum of 12 food items)",YoY!$G$4:$AH$4,0))</f>
        <v>5.47255422753431</v>
      </c>
      <c r="D56" s="11">
        <f>INDEX(YoY!$G$5:$AH$129,MATCH($A56,YoY!$D$5:$D$129,0),MATCH("Health",YoY!$G$4:$AH$4,0))</f>
        <v>7.69741207697414</v>
      </c>
    </row>
    <row r="57" spans="1:4">
      <c r="A57" s="9">
        <f t="shared" si="2"/>
        <v>44317</v>
      </c>
      <c r="B57" s="11">
        <f>INDEX(YoY!$G$5:$AH$129,MATCH($A57,YoY!$D$5:$D$129,0),MATCH("General index",YoY!$G$4:$AH$4,0))</f>
        <v>6.41309155241043</v>
      </c>
      <c r="C57" s="11">
        <f>INDEX(YoY!$G$5:$AH$129,MATCH($A57,YoY!$D$5:$D$129,0),MATCH("Food bucket (sum of 12 food items)",YoY!$G$4:$AH$4,0))</f>
        <v>7.45856353591162</v>
      </c>
      <c r="D57" s="11">
        <f>INDEX(YoY!$G$5:$AH$129,MATCH($A57,YoY!$D$5:$D$129,0),MATCH("Health",YoY!$G$4:$AH$4,0))</f>
        <v>8.68567682726975</v>
      </c>
    </row>
    <row r="58" spans="1:4">
      <c r="A58" s="9">
        <f t="shared" si="2"/>
        <v>44348</v>
      </c>
      <c r="B58" s="11">
        <f>INDEX(YoY!$G$5:$AH$129,MATCH($A58,YoY!$D$5:$D$129,0),MATCH("General index",YoY!$G$4:$AH$4,0))</f>
        <v>6.25823451910408</v>
      </c>
      <c r="C58" s="11">
        <f>INDEX(YoY!$G$5:$AH$129,MATCH($A58,YoY!$D$5:$D$129,0),MATCH("Food bucket (sum of 12 food items)",YoY!$G$4:$AH$4,0))</f>
        <v>8.74338040600175</v>
      </c>
      <c r="D58" s="11">
        <f>INDEX(YoY!$G$5:$AH$129,MATCH($A58,YoY!$D$5:$D$129,0),MATCH("Health",YoY!$G$4:$AH$4,0))</f>
        <v>7.70725388601037</v>
      </c>
    </row>
    <row r="59" spans="1:4">
      <c r="A59" s="9">
        <f t="shared" si="2"/>
        <v>44378</v>
      </c>
      <c r="B59" s="11">
        <f>INDEX(YoY!$G$5:$AH$129,MATCH($A59,YoY!$D$5:$D$129,0),MATCH("General index",YoY!$G$4:$AH$4,0))</f>
        <v>7.04874835309617</v>
      </c>
      <c r="C59" s="11">
        <f>INDEX(YoY!$G$5:$AH$129,MATCH($A59,YoY!$D$5:$D$129,0),MATCH("Food bucket (sum of 12 food items)",YoY!$G$4:$AH$4,0))</f>
        <v>9.38879082082966</v>
      </c>
      <c r="D59" s="11">
        <f>INDEX(YoY!$G$5:$AH$129,MATCH($A59,YoY!$D$5:$D$129,0),MATCH("Health",YoY!$G$4:$AH$4,0))</f>
        <v>8.16062176165803</v>
      </c>
    </row>
    <row r="60" spans="1:4">
      <c r="A60" s="9">
        <f t="shared" si="2"/>
        <v>44409</v>
      </c>
      <c r="B60" s="11">
        <f>INDEX(YoY!$G$5:$AH$129,MATCH($A60,YoY!$D$5:$D$129,0),MATCH("General index",YoY!$G$4:$AH$4,0))</f>
        <v>6.0428849902534</v>
      </c>
      <c r="C60" s="11">
        <f>INDEX(YoY!$G$5:$AH$129,MATCH($A60,YoY!$D$5:$D$129,0),MATCH("Food bucket (sum of 12 food items)",YoY!$G$4:$AH$4,0))</f>
        <v>7.60526602110763</v>
      </c>
      <c r="D60" s="11">
        <f>INDEX(YoY!$G$5:$AH$129,MATCH($A60,YoY!$D$5:$D$129,0),MATCH("Health",YoY!$G$4:$AH$4,0))</f>
        <v>8.64516129032258</v>
      </c>
    </row>
    <row r="61" spans="1:4">
      <c r="A61" s="9">
        <f t="shared" si="2"/>
        <v>44440</v>
      </c>
      <c r="B61" s="11">
        <f>INDEX(YoY!$G$5:$AH$129,MATCH($A61,YoY!$D$5:$D$129,0),MATCH("General index",YoY!$G$4:$AH$4,0))</f>
        <v>5.4945054945055</v>
      </c>
      <c r="C61" s="11">
        <f>INDEX(YoY!$G$5:$AH$129,MATCH($A61,YoY!$D$5:$D$129,0),MATCH("Food bucket (sum of 12 food items)",YoY!$G$4:$AH$4,0))</f>
        <v>6.97674418604651</v>
      </c>
      <c r="D61" s="11">
        <f>INDEX(YoY!$G$5:$AH$129,MATCH($A61,YoY!$D$5:$D$129,0),MATCH("Health",YoY!$G$4:$AH$4,0))</f>
        <v>8.22622107969153</v>
      </c>
    </row>
    <row r="62" spans="1:4">
      <c r="A62" s="9">
        <f t="shared" si="2"/>
        <v>44470</v>
      </c>
      <c r="B62" s="11">
        <f>INDEX(YoY!$G$5:$AH$129,MATCH($A62,YoY!$D$5:$D$129,0),MATCH("General index",YoY!$G$4:$AH$4,0))</f>
        <v>5.81841432225064</v>
      </c>
      <c r="C62" s="11">
        <f>INDEX(YoY!$G$5:$AH$129,MATCH($A62,YoY!$D$5:$D$129,0),MATCH("Food bucket (sum of 12 food items)",YoY!$G$4:$AH$4,0))</f>
        <v>6.39041966935141</v>
      </c>
      <c r="D62" s="11">
        <f>INDEX(YoY!$G$5:$AH$129,MATCH($A62,YoY!$D$5:$D$129,0),MATCH("Health",YoY!$G$4:$AH$4,0))</f>
        <v>8.18937939859244</v>
      </c>
    </row>
    <row r="63" spans="1:4">
      <c r="A63" s="9">
        <f t="shared" si="2"/>
        <v>44501</v>
      </c>
      <c r="B63" s="11">
        <f>INDEX(YoY!$G$5:$AH$129,MATCH($A63,YoY!$D$5:$D$129,0),MATCH("General index",YoY!$G$4:$AH$4,0))</f>
        <v>5.23989898989898</v>
      </c>
      <c r="C63" s="11">
        <f>INDEX(YoY!$G$5:$AH$129,MATCH($A63,YoY!$D$5:$D$129,0),MATCH("Food bucket (sum of 12 food items)",YoY!$G$4:$AH$4,0))</f>
        <v>4.84230151742709</v>
      </c>
      <c r="D63" s="11">
        <f>INDEX(YoY!$G$5:$AH$129,MATCH($A63,YoY!$D$5:$D$129,0),MATCH("Health",YoY!$G$4:$AH$4,0))</f>
        <v>8.07888040712469</v>
      </c>
    </row>
    <row r="64" spans="1:4">
      <c r="A64" s="9">
        <f t="shared" si="2"/>
        <v>44531</v>
      </c>
      <c r="B64" s="11">
        <f>INDEX(YoY!$G$5:$AH$129,MATCH($A64,YoY!$D$5:$D$129,0),MATCH("General index",YoY!$G$4:$AH$4,0))</f>
        <v>4.59408432976714</v>
      </c>
      <c r="C64" s="11">
        <f>INDEX(YoY!$G$5:$AH$129,MATCH($A64,YoY!$D$5:$D$129,0),MATCH("Food bucket (sum of 12 food items)",YoY!$G$4:$AH$4,0))</f>
        <v>3.54993054483717</v>
      </c>
      <c r="D64" s="11">
        <f>INDEX(YoY!$G$5:$AH$129,MATCH($A64,YoY!$D$5:$D$129,0),MATCH("Health",YoY!$G$4:$AH$4,0))</f>
        <v>7.77005685407453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8"/>
  <sheetViews>
    <sheetView tabSelected="1" workbookViewId="0">
      <pane xSplit="4" ySplit="6" topLeftCell="AB7" activePane="bottomRight" state="frozen"/>
      <selection/>
      <selection pane="topRight"/>
      <selection pane="bottomLeft"/>
      <selection pane="bottomRight" activeCell="AC9" sqref="AC9"/>
    </sheetView>
  </sheetViews>
  <sheetFormatPr defaultColWidth="8.67592592592593" defaultRowHeight="14.4"/>
  <cols>
    <col min="1" max="1" width="40" customWidth="1"/>
    <col min="2" max="2" width="28" customWidth="1"/>
    <col min="3" max="3" width="44" customWidth="1"/>
    <col min="4" max="4" width="12" customWidth="1"/>
    <col min="5" max="32" width="13" customWidth="1"/>
  </cols>
  <sheetData>
    <row r="1" ht="17.4" spans="1:32">
      <c r="A1" s="1" t="s">
        <v>153</v>
      </c>
    </row>
    <row r="2" spans="1:32">
      <c r="A2" s="2" t="s">
        <v>154</v>
      </c>
    </row>
    <row r="3" spans="1:32">
      <c r="A3" s="3" t="s">
        <v>155</v>
      </c>
      <c r="B3" s="3" t="str">
        <f>IF(COUNT(D41:D68)=0,"Add oil prices in column B first",INDEX(B41:B68,MATCH(MAX(D41:D68),D41:D68,0)))</f>
        <v>Add oil prices in column B first</v>
      </c>
      <c r="C3" s="4" t="str">
        <f>IF(COUNT(D41:D68)=0,"",INDEX(C41:C68,MATCH(MAX(D41:D68),D41:D68,0)))</f>
        <v/>
      </c>
    </row>
    <row r="4" spans="1:32">
      <c r="A4" s="5" t="s">
        <v>156</v>
      </c>
      <c r="B4" s="6">
        <f>COUNT(D8:D36)</f>
        <v>3</v>
      </c>
    </row>
    <row r="5" spans="1:32">
      <c r="A5" s="5" t="s">
        <v>157</v>
      </c>
      <c r="E5" s="7" t="str">
        <f t="shared" ref="E5:AF5" si="0">IF($B$4&lt;12,"fill oil data",IFERROR(CORREL($D$8:$D$36,E8:E36),"n/a"))</f>
        <v>fill oil data</v>
      </c>
      <c r="F5" s="7" t="str">
        <f t="shared" si="0"/>
        <v>fill oil data</v>
      </c>
      <c r="G5" s="7" t="str">
        <f t="shared" si="0"/>
        <v>fill oil data</v>
      </c>
      <c r="H5" s="7" t="str">
        <f t="shared" si="0"/>
        <v>fill oil data</v>
      </c>
      <c r="I5" s="7" t="str">
        <f t="shared" si="0"/>
        <v>fill oil data</v>
      </c>
      <c r="J5" s="7" t="str">
        <f t="shared" si="0"/>
        <v>fill oil data</v>
      </c>
      <c r="K5" s="7" t="str">
        <f t="shared" si="0"/>
        <v>fill oil data</v>
      </c>
      <c r="L5" s="7" t="str">
        <f t="shared" si="0"/>
        <v>fill oil data</v>
      </c>
      <c r="M5" s="7" t="str">
        <f t="shared" si="0"/>
        <v>fill oil data</v>
      </c>
      <c r="N5" s="7" t="str">
        <f t="shared" si="0"/>
        <v>fill oil data</v>
      </c>
      <c r="O5" s="7" t="str">
        <f t="shared" si="0"/>
        <v>fill oil data</v>
      </c>
      <c r="P5" s="7" t="str">
        <f t="shared" si="0"/>
        <v>fill oil data</v>
      </c>
      <c r="Q5" s="7" t="str">
        <f t="shared" si="0"/>
        <v>fill oil data</v>
      </c>
      <c r="R5" s="7" t="str">
        <f t="shared" si="0"/>
        <v>fill oil data</v>
      </c>
      <c r="S5" s="7" t="str">
        <f t="shared" si="0"/>
        <v>fill oil data</v>
      </c>
      <c r="T5" s="7" t="str">
        <f t="shared" si="0"/>
        <v>fill oil data</v>
      </c>
      <c r="U5" s="7" t="str">
        <f t="shared" si="0"/>
        <v>fill oil data</v>
      </c>
      <c r="V5" s="7" t="str">
        <f t="shared" si="0"/>
        <v>fill oil data</v>
      </c>
      <c r="W5" s="7" t="str">
        <f t="shared" si="0"/>
        <v>fill oil data</v>
      </c>
      <c r="X5" s="7" t="str">
        <f t="shared" si="0"/>
        <v>fill oil data</v>
      </c>
      <c r="Y5" s="7" t="str">
        <f t="shared" si="0"/>
        <v>fill oil data</v>
      </c>
      <c r="Z5" s="7" t="str">
        <f t="shared" si="0"/>
        <v>fill oil data</v>
      </c>
      <c r="AA5" s="7" t="str">
        <f t="shared" si="0"/>
        <v>fill oil data</v>
      </c>
      <c r="AB5" s="7" t="str">
        <f t="shared" si="0"/>
        <v>fill oil data</v>
      </c>
      <c r="AC5" s="7" t="str">
        <f t="shared" si="0"/>
        <v>fill oil data</v>
      </c>
      <c r="AD5" s="7" t="str">
        <f t="shared" si="0"/>
        <v>fill oil data</v>
      </c>
      <c r="AE5" s="7" t="str">
        <f t="shared" si="0"/>
        <v>fill oil data</v>
      </c>
      <c r="AF5" s="7" t="str">
        <f t="shared" si="0"/>
        <v>fill oil data</v>
      </c>
    </row>
    <row r="6" ht="54.75" customHeight="1" spans="1:32">
      <c r="A6" s="8" t="s">
        <v>20</v>
      </c>
      <c r="B6" s="8" t="s">
        <v>158</v>
      </c>
      <c r="C6" s="8" t="s">
        <v>159</v>
      </c>
      <c r="D6" s="8" t="s">
        <v>160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25</v>
      </c>
      <c r="J6" s="8" t="s">
        <v>26</v>
      </c>
      <c r="K6" s="8" t="s">
        <v>27</v>
      </c>
      <c r="L6" s="8" t="s">
        <v>28</v>
      </c>
      <c r="M6" s="8" t="s">
        <v>29</v>
      </c>
      <c r="N6" s="8" t="s">
        <v>30</v>
      </c>
      <c r="O6" s="8" t="s">
        <v>31</v>
      </c>
      <c r="P6" s="8" t="s">
        <v>32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  <c r="AA6" s="8" t="s">
        <v>43</v>
      </c>
      <c r="AB6" s="8" t="s">
        <v>44</v>
      </c>
      <c r="AC6" s="8" t="s">
        <v>45</v>
      </c>
      <c r="AD6" s="8" t="s">
        <v>46</v>
      </c>
      <c r="AE6" s="8" t="s">
        <v>47</v>
      </c>
      <c r="AF6" s="8" t="s">
        <v>73</v>
      </c>
    </row>
    <row r="7" spans="1:32">
      <c r="A7" s="9">
        <v>44166</v>
      </c>
      <c r="B7" s="10"/>
      <c r="E7" s="11">
        <f>INDEX(MoM!$G$5:$AH$129,MATCH($A7,MoM!$D$5:$D$129,0),MATCH(E$6,MoM!$G$4:$AH$4,0))</f>
        <v>-0.544959128065403</v>
      </c>
      <c r="F7" s="11">
        <f>INDEX(MoM!$G$5:$AH$129,MATCH($A7,MoM!$D$5:$D$129,0),MATCH(F$6,MoM!$G$4:$AH$4,0))</f>
        <v>0</v>
      </c>
      <c r="G7" s="11">
        <f>INDEX(MoM!$G$5:$AH$129,MATCH($A7,MoM!$D$5:$D$129,0),MATCH(G$6,MoM!$G$4:$AH$4,0))</f>
        <v>0.97926267281107</v>
      </c>
      <c r="H7" s="11">
        <f>INDEX(MoM!$G$5:$AH$129,MATCH($A7,MoM!$D$5:$D$129,0),MATCH(H$6,MoM!$G$4:$AH$4,0))</f>
        <v>0.195058517555255</v>
      </c>
      <c r="I7" s="11">
        <f>INDEX(MoM!$G$5:$AH$129,MATCH($A7,MoM!$D$5:$D$129,0),MATCH(I$6,MoM!$G$4:$AH$4,0))</f>
        <v>2.73300630693764</v>
      </c>
      <c r="J7" s="11">
        <f>INDEX(MoM!$G$5:$AH$129,MATCH($A7,MoM!$D$5:$D$129,0),MATCH(J$6,MoM!$G$4:$AH$4,0))</f>
        <v>-0.471698113207559</v>
      </c>
      <c r="K7" s="11">
        <f>INDEX(MoM!$G$5:$AH$129,MATCH($A7,MoM!$D$5:$D$129,0),MATCH(K$6,MoM!$G$4:$AH$4,0))</f>
        <v>0.217391304347826</v>
      </c>
      <c r="L7" s="11">
        <f>INDEX(MoM!$G$5:$AH$129,MATCH($A7,MoM!$D$5:$D$129,0),MATCH(L$6,MoM!$G$4:$AH$4,0))</f>
        <v>2.16836734693876</v>
      </c>
      <c r="M7" s="11">
        <f>INDEX(MoM!$G$5:$AH$129,MATCH($A7,MoM!$D$5:$D$129,0),MATCH(M$6,MoM!$G$4:$AH$4,0))</f>
        <v>-0.345721694036306</v>
      </c>
      <c r="N7" s="11">
        <f>INDEX(MoM!$G$5:$AH$129,MATCH($A7,MoM!$D$5:$D$129,0),MATCH(N$6,MoM!$G$4:$AH$4,0))</f>
        <v>0.7416563658838</v>
      </c>
      <c r="O7" s="11">
        <f>INDEX(MoM!$G$5:$AH$129,MATCH($A7,MoM!$D$5:$D$129,0),MATCH(O$6,MoM!$G$4:$AH$4,0))</f>
        <v>1.84300341296928</v>
      </c>
      <c r="P7" s="11">
        <f>INDEX(MoM!$G$5:$AH$129,MATCH($A7,MoM!$D$5:$D$129,0),MATCH(P$6,MoM!$G$4:$AH$4,0))</f>
        <v>0.610500610500611</v>
      </c>
      <c r="Q7" s="11">
        <f>INDEX(MoM!$G$5:$AH$129,MATCH($A7,MoM!$D$5:$D$129,0),MATCH(Q$6,MoM!$G$4:$AH$4,0))</f>
        <v>0.42501517911355</v>
      </c>
      <c r="R7" s="11">
        <f>INDEX(MoM!$G$5:$AH$129,MATCH($A7,MoM!$D$5:$D$129,0),MATCH(R$6,MoM!$G$4:$AH$4,0))</f>
        <v>0.324675324675322</v>
      </c>
      <c r="S7" s="11">
        <f>INDEX(MoM!$G$5:$AH$129,MATCH($A7,MoM!$D$5:$D$129,0),MATCH(S$6,MoM!$G$4:$AH$4,0))</f>
        <v>0.453661697990919</v>
      </c>
      <c r="T7" s="11">
        <f>INDEX(MoM!$G$5:$AH$129,MATCH($A7,MoM!$D$5:$D$129,0),MATCH(T$6,MoM!$G$4:$AH$4,0))</f>
        <v>0.345065562456867</v>
      </c>
      <c r="U7" s="11">
        <f>INDEX(MoM!$G$5:$AH$129,MATCH($A7,MoM!$D$5:$D$129,0),MATCH(U$6,MoM!$G$4:$AH$4,0))</f>
        <v>0.523560209424073</v>
      </c>
      <c r="V7" s="11">
        <f>INDEX(MoM!$G$5:$AH$129,MATCH($A7,MoM!$D$5:$D$129,0),MATCH(V$6,MoM!$G$4:$AH$4,0))</f>
        <v>0.253164556962029</v>
      </c>
      <c r="W7" s="11">
        <f>INDEX(MoM!$G$5:$AH$129,MATCH($A7,MoM!$D$5:$D$129,0),MATCH(W$6,MoM!$G$4:$AH$4,0))</f>
        <v>0.696378830083565</v>
      </c>
      <c r="X7" s="11">
        <f>INDEX(MoM!$G$5:$AH$129,MATCH($A7,MoM!$D$5:$D$129,0),MATCH(X$6,MoM!$G$4:$AH$4,0))</f>
        <v>0.335120643431635</v>
      </c>
      <c r="Y7" s="11">
        <f>INDEX(MoM!$G$5:$AH$129,MATCH($A7,MoM!$D$5:$D$129,0),MATCH(Y$6,MoM!$G$4:$AH$4,0))</f>
        <v>0.699745547073806</v>
      </c>
      <c r="Z7" s="11">
        <f>INDEX(MoM!$G$5:$AH$129,MATCH($A7,MoM!$D$5:$D$129,0),MATCH(Z$6,MoM!$G$4:$AH$4,0))</f>
        <v>0.213675213675202</v>
      </c>
      <c r="AA7" s="11">
        <f>INDEX(MoM!$G$5:$AH$129,MATCH($A7,MoM!$D$5:$D$129,0),MATCH(AA$6,MoM!$G$4:$AH$4,0))</f>
        <v>0.0673854447439315</v>
      </c>
      <c r="AB7" s="11">
        <f>INDEX(MoM!$G$5:$AH$129,MATCH($A7,MoM!$D$5:$D$129,0),MATCH(AB$6,MoM!$G$4:$AH$4,0))</f>
        <v>0.504413619167725</v>
      </c>
      <c r="AC7" s="11">
        <f>INDEX(MoM!$G$5:$AH$129,MATCH($A7,MoM!$D$5:$D$129,0),MATCH(AC$6,MoM!$G$4:$AH$4,0))</f>
        <v>0.127469725940082</v>
      </c>
      <c r="AD7" s="11">
        <f>INDEX(MoM!$G$5:$AH$129,MATCH($A7,MoM!$D$5:$D$129,0),MATCH(AD$6,MoM!$G$4:$AH$4,0))</f>
        <v>0.33178500331785</v>
      </c>
      <c r="AE7" s="11">
        <f>INDEX(MoM!$G$5:$AH$129,MATCH($A7,MoM!$D$5:$D$129,0),MATCH(AE$6,MoM!$G$4:$AH$4,0))</f>
        <v>0.315656565656566</v>
      </c>
      <c r="AF7" s="11">
        <f>INDEX(MoM!$G$5:$AH$129,MATCH($A7,MoM!$D$5:$D$129,0),MATCH(AF$6,MoM!$G$4:$AH$4,0))</f>
        <v>0.662903309337612</v>
      </c>
    </row>
    <row r="8" spans="1:32">
      <c r="A8" s="9">
        <v>44197</v>
      </c>
      <c r="B8" s="10"/>
      <c r="D8" s="12" t="str">
        <f t="shared" ref="D8:D36" si="1">IF(AND(ISNUMBER(B8),ISNUMBER(B7)),(B8-B7)/B7*100,"")</f>
        <v/>
      </c>
      <c r="E8" s="11">
        <f>INDEX(MoM!$G$5:$AH$129,MATCH($A8,MoM!$D$5:$D$129,0),MATCH(E$6,MoM!$G$4:$AH$4,0))</f>
        <v>-0.753424657534243</v>
      </c>
      <c r="F8" s="11">
        <f>INDEX(MoM!$G$5:$AH$129,MATCH($A8,MoM!$D$5:$D$129,0),MATCH(F$6,MoM!$G$4:$AH$4,0))</f>
        <v>-0.471204188481678</v>
      </c>
      <c r="G8" s="11">
        <f>INDEX(MoM!$G$5:$AH$129,MATCH($A8,MoM!$D$5:$D$129,0),MATCH(G$6,MoM!$G$4:$AH$4,0))</f>
        <v>0</v>
      </c>
      <c r="H8" s="11">
        <f>INDEX(MoM!$G$5:$AH$129,MATCH($A8,MoM!$D$5:$D$129,0),MATCH(H$6,MoM!$G$4:$AH$4,0))</f>
        <v>0</v>
      </c>
      <c r="I8" s="11">
        <f>INDEX(MoM!$G$5:$AH$129,MATCH($A8,MoM!$D$5:$D$129,0),MATCH(I$6,MoM!$G$4:$AH$4,0))</f>
        <v>2.93315143246931</v>
      </c>
      <c r="J8" s="11">
        <f>INDEX(MoM!$G$5:$AH$129,MATCH($A8,MoM!$D$5:$D$129,0),MATCH(J$6,MoM!$G$4:$AH$4,0))</f>
        <v>1.2863913337847</v>
      </c>
      <c r="K8" s="11">
        <f>INDEX(MoM!$G$5:$AH$129,MATCH($A8,MoM!$D$5:$D$129,0),MATCH(K$6,MoM!$G$4:$AH$4,0))</f>
        <v>-15.7483731019523</v>
      </c>
      <c r="L8" s="11">
        <f>INDEX(MoM!$G$5:$AH$129,MATCH($A8,MoM!$D$5:$D$129,0),MATCH(L$6,MoM!$G$4:$AH$4,0))</f>
        <v>0.124843945068675</v>
      </c>
      <c r="M8" s="11">
        <f>INDEX(MoM!$G$5:$AH$129,MATCH($A8,MoM!$D$5:$D$129,0),MATCH(M$6,MoM!$G$4:$AH$4,0))</f>
        <v>-0.607111882046837</v>
      </c>
      <c r="N8" s="11">
        <f>INDEX(MoM!$G$5:$AH$129,MATCH($A8,MoM!$D$5:$D$129,0),MATCH(N$6,MoM!$G$4:$AH$4,0))</f>
        <v>0.613496932515337</v>
      </c>
      <c r="O8" s="11">
        <f>INDEX(MoM!$G$5:$AH$129,MATCH($A8,MoM!$D$5:$D$129,0),MATCH(O$6,MoM!$G$4:$AH$4,0))</f>
        <v>1.74262734584452</v>
      </c>
      <c r="P8" s="11">
        <f>INDEX(MoM!$G$5:$AH$129,MATCH($A8,MoM!$D$5:$D$129,0),MATCH(P$6,MoM!$G$4:$AH$4,0))</f>
        <v>0.485436893203873</v>
      </c>
      <c r="Q8" s="11">
        <f>INDEX(MoM!$G$5:$AH$129,MATCH($A8,MoM!$D$5:$D$129,0),MATCH(Q$6,MoM!$G$4:$AH$4,0))</f>
        <v>-2.66021765417171</v>
      </c>
      <c r="R8" s="11">
        <f>INDEX(MoM!$G$5:$AH$129,MATCH($A8,MoM!$D$5:$D$129,0),MATCH(R$6,MoM!$G$4:$AH$4,0))</f>
        <v>0.593311758360299</v>
      </c>
      <c r="S8" s="11">
        <f>INDEX(MoM!$G$5:$AH$129,MATCH($A8,MoM!$D$5:$D$129,0),MATCH(S$6,MoM!$G$4:$AH$4,0))</f>
        <v>0.32258064516129</v>
      </c>
      <c r="T8" s="11">
        <f>INDEX(MoM!$G$5:$AH$129,MATCH($A8,MoM!$D$5:$D$129,0),MATCH(T$6,MoM!$G$4:$AH$4,0))</f>
        <v>0.481430536451161</v>
      </c>
      <c r="U8" s="11">
        <f>INDEX(MoM!$G$5:$AH$129,MATCH($A8,MoM!$D$5:$D$129,0),MATCH(U$6,MoM!$G$4:$AH$4,0))</f>
        <v>0.390624999999996</v>
      </c>
      <c r="V8" s="11">
        <f>INDEX(MoM!$G$5:$AH$129,MATCH($A8,MoM!$D$5:$D$129,0),MATCH(V$6,MoM!$G$4:$AH$4,0))</f>
        <v>-0.441919191919203</v>
      </c>
      <c r="W8" s="11">
        <f>INDEX(MoM!$G$5:$AH$129,MATCH($A8,MoM!$D$5:$D$129,0),MATCH(W$6,MoM!$G$4:$AH$4,0))</f>
        <v>2.28215767634856</v>
      </c>
      <c r="X8" s="11">
        <f>INDEX(MoM!$G$5:$AH$129,MATCH($A8,MoM!$D$5:$D$129,0),MATCH(X$6,MoM!$G$4:$AH$4,0))</f>
        <v>0.200400801603214</v>
      </c>
      <c r="Y8" s="11">
        <f>INDEX(MoM!$G$5:$AH$129,MATCH($A8,MoM!$D$5:$D$129,0),MATCH(Y$6,MoM!$G$4:$AH$4,0))</f>
        <v>0.631711939355654</v>
      </c>
      <c r="Z8" s="11">
        <f>INDEX(MoM!$G$5:$AH$129,MATCH($A8,MoM!$D$5:$D$129,0),MATCH(Z$6,MoM!$G$4:$AH$4,0))</f>
        <v>0.852878464818775</v>
      </c>
      <c r="AA8" s="11">
        <f>INDEX(MoM!$G$5:$AH$129,MATCH($A8,MoM!$D$5:$D$129,0),MATCH(AA$6,MoM!$G$4:$AH$4,0))</f>
        <v>0.740740740740737</v>
      </c>
      <c r="AB8" s="11">
        <f>INDEX(MoM!$G$5:$AH$129,MATCH($A8,MoM!$D$5:$D$129,0),MATCH(AB$6,MoM!$G$4:$AH$4,0))</f>
        <v>-0.12547051442912</v>
      </c>
      <c r="AC8" s="11">
        <f>INDEX(MoM!$G$5:$AH$129,MATCH($A8,MoM!$D$5:$D$129,0),MATCH(AC$6,MoM!$G$4:$AH$4,0))</f>
        <v>-0.190961171228506</v>
      </c>
      <c r="AD8" s="11">
        <f>INDEX(MoM!$G$5:$AH$129,MATCH($A8,MoM!$D$5:$D$129,0),MATCH(AD$6,MoM!$G$4:$AH$4,0))</f>
        <v>0.462962962962974</v>
      </c>
      <c r="AE8" s="11">
        <f>INDEX(MoM!$G$5:$AH$129,MATCH($A8,MoM!$D$5:$D$129,0),MATCH(AE$6,MoM!$G$4:$AH$4,0))</f>
        <v>-1.00692259282567</v>
      </c>
      <c r="AF8" s="11">
        <f>INDEX(MoM!$G$5:$AH$129,MATCH($A8,MoM!$D$5:$D$129,0),MATCH(AF$6,MoM!$G$4:$AH$4,0))</f>
        <v>-1.45084117919433</v>
      </c>
    </row>
    <row r="9" spans="1:32">
      <c r="A9" s="9">
        <v>44228</v>
      </c>
      <c r="B9" s="10"/>
      <c r="D9" s="12" t="str">
        <f t="shared" si="1"/>
        <v/>
      </c>
      <c r="E9" s="11">
        <f>INDEX(MoM!$G$5:$AH$129,MATCH($A9,MoM!$D$5:$D$129,0),MATCH(E$6,MoM!$G$4:$AH$4,0))</f>
        <v>-0.414078674948236</v>
      </c>
      <c r="F9" s="11">
        <f>INDEX(MoM!$G$5:$AH$129,MATCH($A9,MoM!$D$5:$D$129,0),MATCH(F$6,MoM!$G$4:$AH$4,0))</f>
        <v>-1.89374013677012</v>
      </c>
      <c r="G9" s="11">
        <f>INDEX(MoM!$G$5:$AH$129,MATCH($A9,MoM!$D$5:$D$129,0),MATCH(G$6,MoM!$G$4:$AH$4,0))</f>
        <v>-3.76497432972049</v>
      </c>
      <c r="H9" s="11">
        <f>INDEX(MoM!$G$5:$AH$129,MATCH($A9,MoM!$D$5:$D$129,0),MATCH(H$6,MoM!$G$4:$AH$4,0))</f>
        <v>0.389357560025954</v>
      </c>
      <c r="I9" s="11">
        <f>INDEX(MoM!$G$5:$AH$129,MATCH($A9,MoM!$D$5:$D$129,0),MATCH(I$6,MoM!$G$4:$AH$4,0))</f>
        <v>5.16898608349899</v>
      </c>
      <c r="J9" s="11">
        <f>INDEX(MoM!$G$5:$AH$129,MATCH($A9,MoM!$D$5:$D$129,0),MATCH(J$6,MoM!$G$4:$AH$4,0))</f>
        <v>0.735294117647055</v>
      </c>
      <c r="K9" s="11">
        <f>INDEX(MoM!$G$5:$AH$129,MATCH($A9,MoM!$D$5:$D$129,0),MATCH(K$6,MoM!$G$4:$AH$4,0))</f>
        <v>-17.610710607621</v>
      </c>
      <c r="L9" s="11">
        <f>INDEX(MoM!$G$5:$AH$129,MATCH($A9,MoM!$D$5:$D$129,0),MATCH(L$6,MoM!$G$4:$AH$4,0))</f>
        <v>-0.997506234413962</v>
      </c>
      <c r="M9" s="11">
        <f>INDEX(MoM!$G$5:$AH$129,MATCH($A9,MoM!$D$5:$D$129,0),MATCH(M$6,MoM!$G$4:$AH$4,0))</f>
        <v>-1.57068062827225</v>
      </c>
      <c r="N9" s="11">
        <f>INDEX(MoM!$G$5:$AH$129,MATCH($A9,MoM!$D$5:$D$129,0),MATCH(N$6,MoM!$G$4:$AH$4,0))</f>
        <v>0.121951219512188</v>
      </c>
      <c r="O9" s="11">
        <f>INDEX(MoM!$G$5:$AH$129,MATCH($A9,MoM!$D$5:$D$129,0),MATCH(O$6,MoM!$G$4:$AH$4,0))</f>
        <v>2.43741765480895</v>
      </c>
      <c r="P9" s="11">
        <f>INDEX(MoM!$G$5:$AH$129,MATCH($A9,MoM!$D$5:$D$129,0),MATCH(P$6,MoM!$G$4:$AH$4,0))</f>
        <v>1.14734299516909</v>
      </c>
      <c r="Q9" s="11">
        <f>INDEX(MoM!$G$5:$AH$129,MATCH($A9,MoM!$D$5:$D$129,0),MATCH(Q$6,MoM!$G$4:$AH$4,0))</f>
        <v>-2.54658385093167</v>
      </c>
      <c r="R9" s="11">
        <f>INDEX(MoM!$G$5:$AH$129,MATCH($A9,MoM!$D$5:$D$129,0),MATCH(R$6,MoM!$G$4:$AH$4,0))</f>
        <v>0.965147453083116</v>
      </c>
      <c r="S9" s="11">
        <f>INDEX(MoM!$G$5:$AH$129,MATCH($A9,MoM!$D$5:$D$129,0),MATCH(S$6,MoM!$G$4:$AH$4,0))</f>
        <v>1.09324758842443</v>
      </c>
      <c r="T9" s="11">
        <f>INDEX(MoM!$G$5:$AH$129,MATCH($A9,MoM!$D$5:$D$129,0),MATCH(T$6,MoM!$G$4:$AH$4,0))</f>
        <v>0.889801505817941</v>
      </c>
      <c r="U9" s="11">
        <f>INDEX(MoM!$G$5:$AH$129,MATCH($A9,MoM!$D$5:$D$129,0),MATCH(U$6,MoM!$G$4:$AH$4,0))</f>
        <v>1.03761348897537</v>
      </c>
      <c r="V9" s="11">
        <f>INDEX(MoM!$G$5:$AH$129,MATCH($A9,MoM!$D$5:$D$129,0),MATCH(V$6,MoM!$G$4:$AH$4,0))</f>
        <v>1.33164235890934</v>
      </c>
      <c r="W9" s="11">
        <f>INDEX(MoM!$G$5:$AH$129,MATCH($A9,MoM!$D$5:$D$129,0),MATCH(W$6,MoM!$G$4:$AH$4,0))</f>
        <v>3.04259634888438</v>
      </c>
      <c r="X9" s="11">
        <f>INDEX(MoM!$G$5:$AH$129,MATCH($A9,MoM!$D$5:$D$129,0),MATCH(X$6,MoM!$G$4:$AH$4,0))</f>
        <v>0.600000000000004</v>
      </c>
      <c r="Y9" s="11">
        <f>INDEX(MoM!$G$5:$AH$129,MATCH($A9,MoM!$D$5:$D$129,0),MATCH(Y$6,MoM!$G$4:$AH$4,0))</f>
        <v>1.25549278091651</v>
      </c>
      <c r="Z9" s="11">
        <f>INDEX(MoM!$G$5:$AH$129,MATCH($A9,MoM!$D$5:$D$129,0),MATCH(Z$6,MoM!$G$4:$AH$4,0))</f>
        <v>2.25510923185341</v>
      </c>
      <c r="AA9" s="11">
        <f>INDEX(MoM!$G$5:$AH$129,MATCH($A9,MoM!$D$5:$D$129,0),MATCH(AA$6,MoM!$G$4:$AH$4,0))</f>
        <v>1.27005347593583</v>
      </c>
      <c r="AB9" s="11">
        <f>INDEX(MoM!$G$5:$AH$129,MATCH($A9,MoM!$D$5:$D$129,0),MATCH(AB$6,MoM!$G$4:$AH$4,0))</f>
        <v>0.188442211055284</v>
      </c>
      <c r="AC9" s="11">
        <f>INDEX(MoM!$G$5:$AH$129,MATCH($A9,MoM!$D$5:$D$129,0),MATCH(AC$6,MoM!$G$4:$AH$4,0))</f>
        <v>-0.637755102040816</v>
      </c>
      <c r="AD9" s="11">
        <f>INDEX(MoM!$G$5:$AH$129,MATCH($A9,MoM!$D$5:$D$129,0),MATCH(AD$6,MoM!$G$4:$AH$4,0))</f>
        <v>0.987491770901909</v>
      </c>
      <c r="AE9" s="11">
        <f>INDEX(MoM!$G$5:$AH$129,MATCH($A9,MoM!$D$5:$D$129,0),MATCH(AE$6,MoM!$G$4:$AH$4,0))</f>
        <v>-0.445009535918638</v>
      </c>
      <c r="AF9" s="11">
        <f>INDEX(MoM!$G$5:$AH$129,MATCH($A9,MoM!$D$5:$D$129,0),MATCH(AF$6,MoM!$G$4:$AH$4,0))</f>
        <v>-1.72800835291045</v>
      </c>
    </row>
    <row r="10" spans="1:32">
      <c r="A10" s="9">
        <v>44256</v>
      </c>
      <c r="B10" s="10"/>
      <c r="D10" s="12" t="str">
        <f t="shared" si="1"/>
        <v/>
      </c>
      <c r="E10" s="11">
        <f>INDEX(MoM!$G$5:$AH$129,MATCH($A10,MoM!$D$5:$D$129,0),MATCH(E$6,MoM!$G$4:$AH$4,0))</f>
        <v>-0.13860013860015</v>
      </c>
      <c r="F10" s="11">
        <f>INDEX(MoM!$G$5:$AH$129,MATCH($A10,MoM!$D$5:$D$129,0),MATCH(F$6,MoM!$G$4:$AH$4,0))</f>
        <v>3.05630026809651</v>
      </c>
      <c r="G10" s="11">
        <f>INDEX(MoM!$G$5:$AH$129,MATCH($A10,MoM!$D$5:$D$129,0),MATCH(G$6,MoM!$G$4:$AH$4,0))</f>
        <v>-2.90456431535268</v>
      </c>
      <c r="H10" s="11">
        <f>INDEX(MoM!$G$5:$AH$129,MATCH($A10,MoM!$D$5:$D$129,0),MATCH(H$6,MoM!$G$4:$AH$4,0))</f>
        <v>0.12928248222367</v>
      </c>
      <c r="I10" s="11">
        <f>INDEX(MoM!$G$5:$AH$129,MATCH($A10,MoM!$D$5:$D$129,0),MATCH(I$6,MoM!$G$4:$AH$4,0))</f>
        <v>3.27662255828609</v>
      </c>
      <c r="J10" s="11">
        <f>INDEX(MoM!$G$5:$AH$129,MATCH($A10,MoM!$D$5:$D$129,0),MATCH(J$6,MoM!$G$4:$AH$4,0))</f>
        <v>1.9907100199071</v>
      </c>
      <c r="K10" s="11">
        <f>INDEX(MoM!$G$5:$AH$129,MATCH($A10,MoM!$D$5:$D$129,0),MATCH(K$6,MoM!$G$4:$AH$4,0))</f>
        <v>-6.5625</v>
      </c>
      <c r="L10" s="11">
        <f>INDEX(MoM!$G$5:$AH$129,MATCH($A10,MoM!$D$5:$D$129,0),MATCH(L$6,MoM!$G$4:$AH$4,0))</f>
        <v>0.629722921914358</v>
      </c>
      <c r="M10" s="11">
        <f>INDEX(MoM!$G$5:$AH$129,MATCH($A10,MoM!$D$5:$D$129,0),MATCH(M$6,MoM!$G$4:$AH$4,0))</f>
        <v>-0.17730496453901</v>
      </c>
      <c r="N10" s="11">
        <f>INDEX(MoM!$G$5:$AH$129,MATCH($A10,MoM!$D$5:$D$129,0),MATCH(N$6,MoM!$G$4:$AH$4,0))</f>
        <v>-0.426309378806327</v>
      </c>
      <c r="O10" s="11">
        <f>INDEX(MoM!$G$5:$AH$129,MATCH($A10,MoM!$D$5:$D$129,0),MATCH(O$6,MoM!$G$4:$AH$4,0))</f>
        <v>0.643086816720257</v>
      </c>
      <c r="P10" s="11">
        <f>INDEX(MoM!$G$5:$AH$129,MATCH($A10,MoM!$D$5:$D$129,0),MATCH(P$6,MoM!$G$4:$AH$4,0))</f>
        <v>0.417910447761187</v>
      </c>
      <c r="Q10" s="11">
        <f>INDEX(MoM!$G$5:$AH$129,MATCH($A10,MoM!$D$5:$D$129,0),MATCH(Q$6,MoM!$G$4:$AH$4,0))</f>
        <v>-0.1274697259401</v>
      </c>
      <c r="R10" s="11">
        <f>INDEX(MoM!$G$5:$AH$129,MATCH($A10,MoM!$D$5:$D$129,0),MATCH(R$6,MoM!$G$4:$AH$4,0))</f>
        <v>-0.106213489113126</v>
      </c>
      <c r="S10" s="11">
        <f>INDEX(MoM!$G$5:$AH$129,MATCH($A10,MoM!$D$5:$D$129,0),MATCH(S$6,MoM!$G$4:$AH$4,0))</f>
        <v>0.381679389312992</v>
      </c>
      <c r="T10" s="11">
        <f>INDEX(MoM!$G$5:$AH$129,MATCH($A10,MoM!$D$5:$D$129,0),MATCH(T$6,MoM!$G$4:$AH$4,0))</f>
        <v>0.33921302578019</v>
      </c>
      <c r="U10" s="11">
        <f>INDEX(MoM!$G$5:$AH$129,MATCH($A10,MoM!$D$5:$D$129,0),MATCH(U$6,MoM!$G$4:$AH$4,0))</f>
        <v>0.385109114249034</v>
      </c>
      <c r="V10" s="11">
        <f>INDEX(MoM!$G$5:$AH$129,MATCH($A10,MoM!$D$5:$D$129,0),MATCH(V$6,MoM!$G$4:$AH$4,0))</f>
        <v>0.0625782227784695</v>
      </c>
      <c r="W10" s="11">
        <f>INDEX(MoM!$G$5:$AH$129,MATCH($A10,MoM!$D$5:$D$129,0),MATCH(W$6,MoM!$G$4:$AH$4,0))</f>
        <v>2.03412073490813</v>
      </c>
      <c r="X10" s="11">
        <f>INDEX(MoM!$G$5:$AH$129,MATCH($A10,MoM!$D$5:$D$129,0),MATCH(X$6,MoM!$G$4:$AH$4,0))</f>
        <v>0.198807157057643</v>
      </c>
      <c r="Y10" s="11">
        <f>INDEX(MoM!$G$5:$AH$129,MATCH($A10,MoM!$D$5:$D$129,0),MATCH(Y$6,MoM!$G$4:$AH$4,0))</f>
        <v>0.247985120892732</v>
      </c>
      <c r="Z10" s="11">
        <f>INDEX(MoM!$G$5:$AH$129,MATCH($A10,MoM!$D$5:$D$129,0),MATCH(Z$6,MoM!$G$4:$AH$4,0))</f>
        <v>0.758097863542381</v>
      </c>
      <c r="AA10" s="11">
        <f>INDEX(MoM!$G$5:$AH$129,MATCH($A10,MoM!$D$5:$D$129,0),MATCH(AA$6,MoM!$G$4:$AH$4,0))</f>
        <v>0.726072607260722</v>
      </c>
      <c r="AB10" s="11">
        <f>INDEX(MoM!$G$5:$AH$129,MATCH($A10,MoM!$D$5:$D$129,0),MATCH(AB$6,MoM!$G$4:$AH$4,0))</f>
        <v>0.438871473354225</v>
      </c>
      <c r="AC10" s="11">
        <f>INDEX(MoM!$G$5:$AH$129,MATCH($A10,MoM!$D$5:$D$129,0),MATCH(AC$6,MoM!$G$4:$AH$4,0))</f>
        <v>-1.28369704749679</v>
      </c>
      <c r="AD10" s="11">
        <f>INDEX(MoM!$G$5:$AH$129,MATCH($A10,MoM!$D$5:$D$129,0),MATCH(AD$6,MoM!$G$4:$AH$4,0))</f>
        <v>0.260756192959586</v>
      </c>
      <c r="AE10" s="11">
        <f>INDEX(MoM!$G$5:$AH$129,MATCH($A10,MoM!$D$5:$D$129,0),MATCH(AE$6,MoM!$G$4:$AH$4,0))</f>
        <v>0.12771392081738</v>
      </c>
      <c r="AF10" s="11">
        <f>INDEX(MoM!$G$5:$AH$129,MATCH($A10,MoM!$D$5:$D$129,0),MATCH(AF$6,MoM!$G$4:$AH$4,0))</f>
        <v>0.0159371015724462</v>
      </c>
    </row>
    <row r="11" spans="1:32">
      <c r="A11" s="9">
        <v>44287</v>
      </c>
      <c r="B11" s="10">
        <v>63.4</v>
      </c>
      <c r="C11" s="6" t="s">
        <v>161</v>
      </c>
      <c r="D11" s="12" t="str">
        <f t="shared" si="1"/>
        <v/>
      </c>
      <c r="E11" s="11">
        <f>INDEX(MoM!$G$5:$AH$129,MATCH($A11,MoM!$D$5:$D$129,0),MATCH(E$6,MoM!$G$4:$AH$4,0))</f>
        <v>0.138792505204731</v>
      </c>
      <c r="F11" s="11">
        <f>INDEX(MoM!$G$5:$AH$129,MATCH($A11,MoM!$D$5:$D$129,0),MATCH(F$6,MoM!$G$4:$AH$4,0))</f>
        <v>3.01768990634756</v>
      </c>
      <c r="G11" s="11">
        <f>INDEX(MoM!$G$5:$AH$129,MATCH($A11,MoM!$D$5:$D$129,0),MATCH(G$6,MoM!$G$4:$AH$4,0))</f>
        <v>0.488400488400478</v>
      </c>
      <c r="H11" s="11">
        <f>INDEX(MoM!$G$5:$AH$129,MATCH($A11,MoM!$D$5:$D$129,0),MATCH(H$6,MoM!$G$4:$AH$4,0))</f>
        <v>0.322788896061975</v>
      </c>
      <c r="I11" s="11">
        <f>INDEX(MoM!$G$5:$AH$129,MATCH($A11,MoM!$D$5:$D$129,0),MATCH(I$6,MoM!$G$4:$AH$4,0))</f>
        <v>3.78279438682123</v>
      </c>
      <c r="J11" s="11">
        <f>INDEX(MoM!$G$5:$AH$129,MATCH($A11,MoM!$D$5:$D$129,0),MATCH(J$6,MoM!$G$4:$AH$4,0))</f>
        <v>6.96161353285623</v>
      </c>
      <c r="K11" s="11">
        <f>INDEX(MoM!$G$5:$AH$129,MATCH($A11,MoM!$D$5:$D$129,0),MATCH(K$6,MoM!$G$4:$AH$4,0))</f>
        <v>-3.61204013377927</v>
      </c>
      <c r="L11" s="11">
        <f>INDEX(MoM!$G$5:$AH$129,MATCH($A11,MoM!$D$5:$D$129,0),MATCH(L$6,MoM!$G$4:$AH$4,0))</f>
        <v>1.18898623279097</v>
      </c>
      <c r="M11" s="11">
        <f>INDEX(MoM!$G$5:$AH$129,MATCH($A11,MoM!$D$5:$D$129,0),MATCH(M$6,MoM!$G$4:$AH$4,0))</f>
        <v>0.44404973357016</v>
      </c>
      <c r="N11" s="11">
        <f>INDEX(MoM!$G$5:$AH$129,MATCH($A11,MoM!$D$5:$D$129,0),MATCH(N$6,MoM!$G$4:$AH$4,0))</f>
        <v>0.244648318042817</v>
      </c>
      <c r="O11" s="11">
        <f>INDEX(MoM!$G$5:$AH$129,MATCH($A11,MoM!$D$5:$D$129,0),MATCH(O$6,MoM!$G$4:$AH$4,0))</f>
        <v>0.702875399361019</v>
      </c>
      <c r="P11" s="11">
        <f>INDEX(MoM!$G$5:$AH$129,MATCH($A11,MoM!$D$5:$D$129,0),MATCH(P$6,MoM!$G$4:$AH$4,0))</f>
        <v>0.416171224732472</v>
      </c>
      <c r="Q11" s="11">
        <f>INDEX(MoM!$G$5:$AH$129,MATCH($A11,MoM!$D$5:$D$129,0),MATCH(Q$6,MoM!$G$4:$AH$4,0))</f>
        <v>0.829610721123173</v>
      </c>
      <c r="R11" s="11">
        <f>INDEX(MoM!$G$5:$AH$129,MATCH($A11,MoM!$D$5:$D$129,0),MATCH(R$6,MoM!$G$4:$AH$4,0))</f>
        <v>0.372142477405644</v>
      </c>
      <c r="S11" s="11">
        <f>INDEX(MoM!$G$5:$AH$129,MATCH($A11,MoM!$D$5:$D$129,0),MATCH(S$6,MoM!$G$4:$AH$4,0))</f>
        <v>0.633713561470215</v>
      </c>
      <c r="T11" s="11">
        <f>INDEX(MoM!$G$5:$AH$129,MATCH($A11,MoM!$D$5:$D$129,0),MATCH(T$6,MoM!$G$4:$AH$4,0))</f>
        <v>0.40567951318458</v>
      </c>
      <c r="U11" s="11">
        <f>INDEX(MoM!$G$5:$AH$129,MATCH($A11,MoM!$D$5:$D$129,0),MATCH(U$6,MoM!$G$4:$AH$4,0))</f>
        <v>0.575447570332484</v>
      </c>
      <c r="V11" s="11">
        <f>INDEX(MoM!$G$5:$AH$129,MATCH($A11,MoM!$D$5:$D$129,0),MATCH(V$6,MoM!$G$4:$AH$4,0))</f>
        <v>0.938086303939962</v>
      </c>
      <c r="W11" s="11">
        <f>INDEX(MoM!$G$5:$AH$129,MATCH($A11,MoM!$D$5:$D$129,0),MATCH(W$6,MoM!$G$4:$AH$4,0))</f>
        <v>0.0643086816720221</v>
      </c>
      <c r="X11" s="11">
        <f>INDEX(MoM!$G$5:$AH$129,MATCH($A11,MoM!$D$5:$D$129,0),MATCH(X$6,MoM!$G$4:$AH$4,0))</f>
        <v>0.396825396825412</v>
      </c>
      <c r="Y11" s="11">
        <f>INDEX(MoM!$G$5:$AH$129,MATCH($A11,MoM!$D$5:$D$129,0),MATCH(Y$6,MoM!$G$4:$AH$4,0))</f>
        <v>0.371057513914671</v>
      </c>
      <c r="Z11" s="11">
        <f>INDEX(MoM!$G$5:$AH$129,MATCH($A11,MoM!$D$5:$D$129,0),MATCH(Z$6,MoM!$G$4:$AH$4,0))</f>
        <v>0.273597811217514</v>
      </c>
      <c r="AA11" s="11">
        <f>INDEX(MoM!$G$5:$AH$129,MATCH($A11,MoM!$D$5:$D$129,0),MATCH(AA$6,MoM!$G$4:$AH$4,0))</f>
        <v>0.393184796854518</v>
      </c>
      <c r="AB11" s="11">
        <f>INDEX(MoM!$G$5:$AH$129,MATCH($A11,MoM!$D$5:$D$129,0),MATCH(AB$6,MoM!$G$4:$AH$4,0))</f>
        <v>0.0624219725343463</v>
      </c>
      <c r="AC11" s="11">
        <f>INDEX(MoM!$G$5:$AH$129,MATCH($A11,MoM!$D$5:$D$129,0),MATCH(AC$6,MoM!$G$4:$AH$4,0))</f>
        <v>1.04031209362808</v>
      </c>
      <c r="AD11" s="11">
        <f>INDEX(MoM!$G$5:$AH$129,MATCH($A11,MoM!$D$5:$D$129,0),MATCH(AD$6,MoM!$G$4:$AH$4,0))</f>
        <v>0.390117035110529</v>
      </c>
      <c r="AE11" s="11">
        <f>INDEX(MoM!$G$5:$AH$129,MATCH($A11,MoM!$D$5:$D$129,0),MATCH(AE$6,MoM!$G$4:$AH$4,0))</f>
        <v>0.637755102040816</v>
      </c>
      <c r="AF11" s="11">
        <f>INDEX(MoM!$G$5:$AH$129,MATCH($A11,MoM!$D$5:$D$129,0),MATCH(AF$6,MoM!$G$4:$AH$4,0))</f>
        <v>1.24289584107931</v>
      </c>
    </row>
    <row r="12" spans="1:32">
      <c r="A12" s="9">
        <v>44317</v>
      </c>
      <c r="B12" s="10"/>
      <c r="D12" s="12" t="str">
        <f t="shared" si="1"/>
        <v/>
      </c>
      <c r="E12" s="11">
        <f>INDEX(MoM!$G$5:$AH$129,MATCH($A12,MoM!$D$5:$D$129,0),MATCH(E$6,MoM!$G$4:$AH$4,0))</f>
        <v>1.38600138600139</v>
      </c>
      <c r="F12" s="11">
        <f>INDEX(MoM!$G$5:$AH$129,MATCH($A12,MoM!$D$5:$D$129,0),MATCH(F$6,MoM!$G$4:$AH$4,0))</f>
        <v>1.26262626262626</v>
      </c>
      <c r="G12" s="11">
        <f>INDEX(MoM!$G$5:$AH$129,MATCH($A12,MoM!$D$5:$D$129,0),MATCH(G$6,MoM!$G$4:$AH$4,0))</f>
        <v>3.46294046172541</v>
      </c>
      <c r="H12" s="11">
        <f>INDEX(MoM!$G$5:$AH$129,MATCH($A12,MoM!$D$5:$D$129,0),MATCH(H$6,MoM!$G$4:$AH$4,0))</f>
        <v>0.450450450450443</v>
      </c>
      <c r="I12" s="11">
        <f>INDEX(MoM!$G$5:$AH$129,MATCH($A12,MoM!$D$5:$D$129,0),MATCH(I$6,MoM!$G$4:$AH$4,0))</f>
        <v>5.05584950029394</v>
      </c>
      <c r="J12" s="11">
        <f>INDEX(MoM!$G$5:$AH$129,MATCH($A12,MoM!$D$5:$D$129,0),MATCH(J$6,MoM!$G$4:$AH$4,0))</f>
        <v>1.64233576642335</v>
      </c>
      <c r="K12" s="11">
        <f>INDEX(MoM!$G$5:$AH$129,MATCH($A12,MoM!$D$5:$D$129,0),MATCH(K$6,MoM!$G$4:$AH$4,0))</f>
        <v>2.63705759888967</v>
      </c>
      <c r="L12" s="11">
        <f>INDEX(MoM!$G$5:$AH$129,MATCH($A12,MoM!$D$5:$D$129,0),MATCH(L$6,MoM!$G$4:$AH$4,0))</f>
        <v>2.28818800247373</v>
      </c>
      <c r="M12" s="11">
        <f>INDEX(MoM!$G$5:$AH$129,MATCH($A12,MoM!$D$5:$D$129,0),MATCH(M$6,MoM!$G$4:$AH$4,0))</f>
        <v>1.50309460654288</v>
      </c>
      <c r="N12" s="11">
        <f>INDEX(MoM!$G$5:$AH$129,MATCH($A12,MoM!$D$5:$D$129,0),MATCH(N$6,MoM!$G$4:$AH$4,0))</f>
        <v>2.62355094569859</v>
      </c>
      <c r="O12" s="11">
        <f>INDEX(MoM!$G$5:$AH$129,MATCH($A12,MoM!$D$5:$D$129,0),MATCH(O$6,MoM!$G$4:$AH$4,0))</f>
        <v>1.0786802030457</v>
      </c>
      <c r="P12" s="11">
        <f>INDEX(MoM!$G$5:$AH$129,MATCH($A12,MoM!$D$5:$D$129,0),MATCH(P$6,MoM!$G$4:$AH$4,0))</f>
        <v>0.88809946714032</v>
      </c>
      <c r="Q12" s="11">
        <f>INDEX(MoM!$G$5:$AH$129,MATCH($A12,MoM!$D$5:$D$129,0),MATCH(Q$6,MoM!$G$4:$AH$4,0))</f>
        <v>1.70886075949366</v>
      </c>
      <c r="R12" s="11">
        <f>INDEX(MoM!$G$5:$AH$129,MATCH($A12,MoM!$D$5:$D$129,0),MATCH(R$6,MoM!$G$4:$AH$4,0))</f>
        <v>1.64194915254237</v>
      </c>
      <c r="S12" s="11">
        <f>INDEX(MoM!$G$5:$AH$129,MATCH($A12,MoM!$D$5:$D$129,0),MATCH(S$6,MoM!$G$4:$AH$4,0))</f>
        <v>1.88916876574307</v>
      </c>
      <c r="T12" s="11">
        <f>INDEX(MoM!$G$5:$AH$129,MATCH($A12,MoM!$D$5:$D$129,0),MATCH(T$6,MoM!$G$4:$AH$4,0))</f>
        <v>2.42424242424242</v>
      </c>
      <c r="U12" s="11">
        <f>INDEX(MoM!$G$5:$AH$129,MATCH($A12,MoM!$D$5:$D$129,0),MATCH(U$6,MoM!$G$4:$AH$4,0))</f>
        <v>1.97075651621106</v>
      </c>
      <c r="V12" s="11">
        <f>INDEX(MoM!$G$5:$AH$129,MATCH($A12,MoM!$D$5:$D$129,0),MATCH(V$6,MoM!$G$4:$AH$4,0))</f>
        <v>0.12391573729863</v>
      </c>
      <c r="W12" s="11">
        <f>INDEX(MoM!$G$5:$AH$129,MATCH($A12,MoM!$D$5:$D$129,0),MATCH(W$6,MoM!$G$4:$AH$4,0))</f>
        <v>2.44215938303343</v>
      </c>
      <c r="X12" s="11">
        <f>INDEX(MoM!$G$5:$AH$129,MATCH($A12,MoM!$D$5:$D$129,0),MATCH(X$6,MoM!$G$4:$AH$4,0))</f>
        <v>1.91040843214755</v>
      </c>
      <c r="Y12" s="11">
        <f>INDEX(MoM!$G$5:$AH$129,MATCH($A12,MoM!$D$5:$D$129,0),MATCH(Y$6,MoM!$G$4:$AH$4,0))</f>
        <v>2.15650030807147</v>
      </c>
      <c r="Z12" s="11">
        <f>INDEX(MoM!$G$5:$AH$129,MATCH($A12,MoM!$D$5:$D$129,0),MATCH(Z$6,MoM!$G$4:$AH$4,0))</f>
        <v>1.56889495225103</v>
      </c>
      <c r="AA12" s="11">
        <f>INDEX(MoM!$G$5:$AH$129,MATCH($A12,MoM!$D$5:$D$129,0),MATCH(AA$6,MoM!$G$4:$AH$4,0))</f>
        <v>1.69712793733683</v>
      </c>
      <c r="AB12" s="11">
        <f>INDEX(MoM!$G$5:$AH$129,MATCH($A12,MoM!$D$5:$D$129,0),MATCH(AB$6,MoM!$G$4:$AH$4,0))</f>
        <v>0.561447286338102</v>
      </c>
      <c r="AC12" s="11">
        <f>INDEX(MoM!$G$5:$AH$129,MATCH($A12,MoM!$D$5:$D$129,0),MATCH(AC$6,MoM!$G$4:$AH$4,0))</f>
        <v>2.05920205920205</v>
      </c>
      <c r="AD12" s="11">
        <f>INDEX(MoM!$G$5:$AH$129,MATCH($A12,MoM!$D$5:$D$129,0),MATCH(AD$6,MoM!$G$4:$AH$4,0))</f>
        <v>1.55440414507772</v>
      </c>
      <c r="AE12" s="11">
        <f>INDEX(MoM!$G$5:$AH$129,MATCH($A12,MoM!$D$5:$D$129,0),MATCH(AE$6,MoM!$G$4:$AH$4,0))</f>
        <v>1.64765525982256</v>
      </c>
      <c r="AF12" s="11">
        <f>INDEX(MoM!$G$5:$AH$129,MATCH($A12,MoM!$D$5:$D$129,0),MATCH(AF$6,MoM!$G$4:$AH$4,0))</f>
        <v>2.04081632653063</v>
      </c>
    </row>
    <row r="13" spans="1:32">
      <c r="A13" s="9">
        <v>44348</v>
      </c>
      <c r="B13" s="10"/>
      <c r="D13" s="12" t="str">
        <f t="shared" si="1"/>
        <v/>
      </c>
      <c r="E13" s="11">
        <f>INDEX(MoM!$G$5:$AH$129,MATCH($A13,MoM!$D$5:$D$129,0),MATCH(E$6,MoM!$G$4:$AH$4,0))</f>
        <v>0.273410799726574</v>
      </c>
      <c r="F13" s="11">
        <f>INDEX(MoM!$G$5:$AH$129,MATCH($A13,MoM!$D$5:$D$129,0),MATCH(F$6,MoM!$G$4:$AH$4,0))</f>
        <v>0.748129675810474</v>
      </c>
      <c r="G13" s="11">
        <f>INDEX(MoM!$G$5:$AH$129,MATCH($A13,MoM!$D$5:$D$129,0),MATCH(G$6,MoM!$G$4:$AH$4,0))</f>
        <v>6.10687022900762</v>
      </c>
      <c r="H13" s="11">
        <f>INDEX(MoM!$G$5:$AH$129,MATCH($A13,MoM!$D$5:$D$129,0),MATCH(H$6,MoM!$G$4:$AH$4,0))</f>
        <v>0.0640614990390739</v>
      </c>
      <c r="I13" s="11">
        <f>INDEX(MoM!$G$5:$AH$129,MATCH($A13,MoM!$D$5:$D$129,0),MATCH(I$6,MoM!$G$4:$AH$4,0))</f>
        <v>2.79798545047566</v>
      </c>
      <c r="J13" s="11">
        <f>INDEX(MoM!$G$5:$AH$129,MATCH($A13,MoM!$D$5:$D$129,0),MATCH(J$6,MoM!$G$4:$AH$4,0))</f>
        <v>-1.49611011370437</v>
      </c>
      <c r="K13" s="11">
        <f>INDEX(MoM!$G$5:$AH$129,MATCH($A13,MoM!$D$5:$D$129,0),MATCH(K$6,MoM!$G$4:$AH$4,0))</f>
        <v>5.0709939148073</v>
      </c>
      <c r="L13" s="11">
        <f>INDEX(MoM!$G$5:$AH$129,MATCH($A13,MoM!$D$5:$D$129,0),MATCH(L$6,MoM!$G$4:$AH$4,0))</f>
        <v>0.362756952841593</v>
      </c>
      <c r="M13" s="11">
        <f>INDEX(MoM!$G$5:$AH$129,MATCH($A13,MoM!$D$5:$D$129,0),MATCH(M$6,MoM!$G$4:$AH$4,0))</f>
        <v>0.261324041811844</v>
      </c>
      <c r="N13" s="11">
        <f>INDEX(MoM!$G$5:$AH$129,MATCH($A13,MoM!$D$5:$D$129,0),MATCH(N$6,MoM!$G$4:$AH$4,0))</f>
        <v>0.178359096313919</v>
      </c>
      <c r="O13" s="11">
        <f>INDEX(MoM!$G$5:$AH$129,MATCH($A13,MoM!$D$5:$D$129,0),MATCH(O$6,MoM!$G$4:$AH$4,0))</f>
        <v>0.439422473320771</v>
      </c>
      <c r="P13" s="11">
        <f>INDEX(MoM!$G$5:$AH$129,MATCH($A13,MoM!$D$5:$D$129,0),MATCH(P$6,MoM!$G$4:$AH$4,0))</f>
        <v>1.17370892018779</v>
      </c>
      <c r="Q13" s="11">
        <f>INDEX(MoM!$G$5:$AH$129,MATCH($A13,MoM!$D$5:$D$129,0),MATCH(Q$6,MoM!$G$4:$AH$4,0))</f>
        <v>1.18232731798382</v>
      </c>
      <c r="R13" s="11">
        <f>INDEX(MoM!$G$5:$AH$129,MATCH($A13,MoM!$D$5:$D$129,0),MATCH(R$6,MoM!$G$4:$AH$4,0))</f>
        <v>-0.573215216258465</v>
      </c>
      <c r="S13" s="11">
        <f>INDEX(MoM!$G$5:$AH$129,MATCH($A13,MoM!$D$5:$D$129,0),MATCH(S$6,MoM!$G$4:$AH$4,0))</f>
        <v>0.247218788627922</v>
      </c>
      <c r="T13" s="11">
        <f>INDEX(MoM!$G$5:$AH$129,MATCH($A13,MoM!$D$5:$D$129,0),MATCH(T$6,MoM!$G$4:$AH$4,0))</f>
        <v>-0.197238658777109</v>
      </c>
      <c r="U13" s="11">
        <f>INDEX(MoM!$G$5:$AH$129,MATCH($A13,MoM!$D$5:$D$129,0),MATCH(U$6,MoM!$G$4:$AH$4,0))</f>
        <v>0.187032418952608</v>
      </c>
      <c r="V13" s="11">
        <f>INDEX(MoM!$G$5:$AH$129,MATCH($A13,MoM!$D$5:$D$129,0),MATCH(V$6,MoM!$G$4:$AH$4,0))</f>
        <v>-0.680693069306927</v>
      </c>
      <c r="W13" s="11">
        <f>INDEX(MoM!$G$5:$AH$129,MATCH($A13,MoM!$D$5:$D$129,0),MATCH(W$6,MoM!$G$4:$AH$4,0))</f>
        <v>0.250941028858222</v>
      </c>
      <c r="X13" s="11">
        <f>INDEX(MoM!$G$5:$AH$129,MATCH($A13,MoM!$D$5:$D$129,0),MATCH(X$6,MoM!$G$4:$AH$4,0))</f>
        <v>0.064641241111844</v>
      </c>
      <c r="Y13" s="11">
        <f>INDEX(MoM!$G$5:$AH$129,MATCH($A13,MoM!$D$5:$D$129,0),MATCH(Y$6,MoM!$G$4:$AH$4,0))</f>
        <v>0.301568154402895</v>
      </c>
      <c r="Z13" s="11">
        <f>INDEX(MoM!$G$5:$AH$129,MATCH($A13,MoM!$D$5:$D$129,0),MATCH(Z$6,MoM!$G$4:$AH$4,0))</f>
        <v>1.20886501007386</v>
      </c>
      <c r="AA13" s="11">
        <f>INDEX(MoM!$G$5:$AH$129,MATCH($A13,MoM!$D$5:$D$129,0),MATCH(AA$6,MoM!$G$4:$AH$4,0))</f>
        <v>-0.577663671373559</v>
      </c>
      <c r="AB13" s="11">
        <f>INDEX(MoM!$G$5:$AH$129,MATCH($A13,MoM!$D$5:$D$129,0),MATCH(AB$6,MoM!$G$4:$AH$4,0))</f>
        <v>0.310173697270472</v>
      </c>
      <c r="AC13" s="11">
        <f>INDEX(MoM!$G$5:$AH$129,MATCH($A13,MoM!$D$5:$D$129,0),MATCH(AC$6,MoM!$G$4:$AH$4,0))</f>
        <v>0.12610340479194</v>
      </c>
      <c r="AD13" s="11">
        <f>INDEX(MoM!$G$5:$AH$129,MATCH($A13,MoM!$D$5:$D$129,0),MATCH(AD$6,MoM!$G$4:$AH$4,0))</f>
        <v>0.510204081632642</v>
      </c>
      <c r="AE13" s="11">
        <f>INDEX(MoM!$G$5:$AH$129,MATCH($A13,MoM!$D$5:$D$129,0),MATCH(AE$6,MoM!$G$4:$AH$4,0))</f>
        <v>0.561097256857859</v>
      </c>
      <c r="AF13" s="11">
        <f>INDEX(MoM!$G$5:$AH$129,MATCH($A13,MoM!$D$5:$D$129,0),MATCH(AF$6,MoM!$G$4:$AH$4,0))</f>
        <v>1.35218508997428</v>
      </c>
    </row>
    <row r="14" spans="1:32">
      <c r="A14" s="9">
        <v>44378</v>
      </c>
      <c r="B14" s="10"/>
      <c r="D14" s="12" t="str">
        <f t="shared" si="1"/>
        <v/>
      </c>
      <c r="E14" s="11">
        <f>INDEX(MoM!$G$5:$AH$129,MATCH($A14,MoM!$D$5:$D$129,0),MATCH(E$6,MoM!$G$4:$AH$4,0))</f>
        <v>-0.204498977505101</v>
      </c>
      <c r="F14" s="11">
        <f>INDEX(MoM!$G$5:$AH$129,MATCH($A14,MoM!$D$5:$D$129,0),MATCH(F$6,MoM!$G$4:$AH$4,0))</f>
        <v>2.37623762376238</v>
      </c>
      <c r="G14" s="11">
        <f>INDEX(MoM!$G$5:$AH$129,MATCH($A14,MoM!$D$5:$D$129,0),MATCH(G$6,MoM!$G$4:$AH$4,0))</f>
        <v>0.830105146651909</v>
      </c>
      <c r="H14" s="11">
        <f>INDEX(MoM!$G$5:$AH$129,MATCH($A14,MoM!$D$5:$D$129,0),MATCH(H$6,MoM!$G$4:$AH$4,0))</f>
        <v>0.832266325224079</v>
      </c>
      <c r="I14" s="11">
        <f>INDEX(MoM!$G$5:$AH$129,MATCH($A14,MoM!$D$5:$D$129,0),MATCH(I$6,MoM!$G$4:$AH$4,0))</f>
        <v>-0.870985302123024</v>
      </c>
      <c r="J14" s="11">
        <f>INDEX(MoM!$G$5:$AH$129,MATCH($A14,MoM!$D$5:$D$129,0),MATCH(J$6,MoM!$G$4:$AH$4,0))</f>
        <v>-0.425273390036445</v>
      </c>
      <c r="K14" s="11">
        <f>INDEX(MoM!$G$5:$AH$129,MATCH($A14,MoM!$D$5:$D$129,0),MATCH(K$6,MoM!$G$4:$AH$4,0))</f>
        <v>5.66280566280565</v>
      </c>
      <c r="L14" s="11">
        <f>INDEX(MoM!$G$5:$AH$129,MATCH($A14,MoM!$D$5:$D$129,0),MATCH(L$6,MoM!$G$4:$AH$4,0))</f>
        <v>-1.20481927710843</v>
      </c>
      <c r="M14" s="11">
        <f>INDEX(MoM!$G$5:$AH$129,MATCH($A14,MoM!$D$5:$D$129,0),MATCH(M$6,MoM!$G$4:$AH$4,0))</f>
        <v>-0.521285838401385</v>
      </c>
      <c r="N14" s="11">
        <f>INDEX(MoM!$G$5:$AH$129,MATCH($A14,MoM!$D$5:$D$129,0),MATCH(N$6,MoM!$G$4:$AH$4,0))</f>
        <v>-0.118694362017797</v>
      </c>
      <c r="O14" s="11">
        <f>INDEX(MoM!$G$5:$AH$129,MATCH($A14,MoM!$D$5:$D$129,0),MATCH(O$6,MoM!$G$4:$AH$4,0))</f>
        <v>0.562500000000004</v>
      </c>
      <c r="P14" s="11">
        <f>INDEX(MoM!$G$5:$AH$129,MATCH($A14,MoM!$D$5:$D$129,0),MATCH(P$6,MoM!$G$4:$AH$4,0))</f>
        <v>-0.116009280742469</v>
      </c>
      <c r="Q14" s="11">
        <f>INDEX(MoM!$G$5:$AH$129,MATCH($A14,MoM!$D$5:$D$129,0),MATCH(Q$6,MoM!$G$4:$AH$4,0))</f>
        <v>0.861008610086105</v>
      </c>
      <c r="R14" s="11">
        <f>INDEX(MoM!$G$5:$AH$129,MATCH($A14,MoM!$D$5:$D$129,0),MATCH(R$6,MoM!$G$4:$AH$4,0))</f>
        <v>0.209643605870009</v>
      </c>
      <c r="S14" s="11">
        <f>INDEX(MoM!$G$5:$AH$129,MATCH($A14,MoM!$D$5:$D$129,0),MATCH(S$6,MoM!$G$4:$AH$4,0))</f>
        <v>0.369913686806426</v>
      </c>
      <c r="T14" s="11">
        <f>INDEX(MoM!$G$5:$AH$129,MATCH($A14,MoM!$D$5:$D$129,0),MATCH(T$6,MoM!$G$4:$AH$4,0))</f>
        <v>0.856389986824758</v>
      </c>
      <c r="U14" s="11">
        <f>INDEX(MoM!$G$5:$AH$129,MATCH($A14,MoM!$D$5:$D$129,0),MATCH(U$6,MoM!$G$4:$AH$4,0))</f>
        <v>0.435594275046681</v>
      </c>
      <c r="V14" s="11">
        <f>INDEX(MoM!$G$5:$AH$129,MATCH($A14,MoM!$D$5:$D$129,0),MATCH(V$6,MoM!$G$4:$AH$4,0))</f>
        <v>0.623052959501558</v>
      </c>
      <c r="W14" s="11">
        <f>INDEX(MoM!$G$5:$AH$129,MATCH($A14,MoM!$D$5:$D$129,0),MATCH(W$6,MoM!$G$4:$AH$4,0))</f>
        <v>0.563204005006244</v>
      </c>
      <c r="X14" s="11">
        <f>INDEX(MoM!$G$5:$AH$129,MATCH($A14,MoM!$D$5:$D$129,0),MATCH(X$6,MoM!$G$4:$AH$4,0))</f>
        <v>0.645994832041344</v>
      </c>
      <c r="Y14" s="11">
        <f>INDEX(MoM!$G$5:$AH$129,MATCH($A14,MoM!$D$5:$D$129,0),MATCH(Y$6,MoM!$G$4:$AH$4,0))</f>
        <v>0.420926037282014</v>
      </c>
      <c r="Z14" s="11">
        <f>INDEX(MoM!$G$5:$AH$129,MATCH($A14,MoM!$D$5:$D$129,0),MATCH(Z$6,MoM!$G$4:$AH$4,0))</f>
        <v>1.59256801592568</v>
      </c>
      <c r="AA14" s="11">
        <f>INDEX(MoM!$G$5:$AH$129,MATCH($A14,MoM!$D$5:$D$129,0),MATCH(AA$6,MoM!$G$4:$AH$4,0))</f>
        <v>0.258231116849584</v>
      </c>
      <c r="AB14" s="11">
        <f>INDEX(MoM!$G$5:$AH$129,MATCH($A14,MoM!$D$5:$D$129,0),MATCH(AB$6,MoM!$G$4:$AH$4,0))</f>
        <v>0.927643784786642</v>
      </c>
      <c r="AC14" s="11">
        <f>INDEX(MoM!$G$5:$AH$129,MATCH($A14,MoM!$D$5:$D$129,0),MATCH(AC$6,MoM!$G$4:$AH$4,0))</f>
        <v>0.818639798488654</v>
      </c>
      <c r="AD14" s="11">
        <f>INDEX(MoM!$G$5:$AH$129,MATCH($A14,MoM!$D$5:$D$129,0),MATCH(AD$6,MoM!$G$4:$AH$4,0))</f>
        <v>0.88832487309645</v>
      </c>
      <c r="AE14" s="11">
        <f>INDEX(MoM!$G$5:$AH$129,MATCH($A14,MoM!$D$5:$D$129,0),MATCH(AE$6,MoM!$G$4:$AH$4,0))</f>
        <v>0.743955362678232</v>
      </c>
      <c r="AF14" s="11">
        <f>INDEX(MoM!$G$5:$AH$129,MATCH($A14,MoM!$D$5:$D$129,0),MATCH(AF$6,MoM!$G$4:$AH$4,0))</f>
        <v>0.593516968497959</v>
      </c>
    </row>
    <row r="15" spans="1:32">
      <c r="A15" s="9">
        <v>44409</v>
      </c>
      <c r="B15" s="10"/>
      <c r="D15" s="12" t="str">
        <f t="shared" si="1"/>
        <v/>
      </c>
      <c r="E15" s="11">
        <f>INDEX(MoM!$G$5:$AH$129,MATCH($A15,MoM!$D$5:$D$129,0),MATCH(E$6,MoM!$G$4:$AH$4,0))</f>
        <v>0.136612021857916</v>
      </c>
      <c r="F15" s="11">
        <f>INDEX(MoM!$G$5:$AH$129,MATCH($A15,MoM!$D$5:$D$129,0),MATCH(F$6,MoM!$G$4:$AH$4,0))</f>
        <v>-1.35396518375242</v>
      </c>
      <c r="G15" s="11">
        <f>INDEX(MoM!$G$5:$AH$129,MATCH($A15,MoM!$D$5:$D$129,0),MATCH(G$6,MoM!$G$4:$AH$4,0))</f>
        <v>-5.15916575192095</v>
      </c>
      <c r="H15" s="11">
        <f>INDEX(MoM!$G$5:$AH$129,MATCH($A15,MoM!$D$5:$D$129,0),MATCH(H$6,MoM!$G$4:$AH$4,0))</f>
        <v>0.571428571428575</v>
      </c>
      <c r="I15" s="11">
        <f>INDEX(MoM!$G$5:$AH$129,MATCH($A15,MoM!$D$5:$D$129,0),MATCH(I$6,MoM!$G$4:$AH$4,0))</f>
        <v>3.23997803404723</v>
      </c>
      <c r="J15" s="11">
        <f>INDEX(MoM!$G$5:$AH$129,MATCH($A15,MoM!$D$5:$D$129,0),MATCH(J$6,MoM!$G$4:$AH$4,0))</f>
        <v>-4.33190970103721</v>
      </c>
      <c r="K15" s="11">
        <f>INDEX(MoM!$G$5:$AH$129,MATCH($A15,MoM!$D$5:$D$129,0),MATCH(K$6,MoM!$G$4:$AH$4,0))</f>
        <v>-1.21802679658953</v>
      </c>
      <c r="L15" s="11">
        <f>INDEX(MoM!$G$5:$AH$129,MATCH($A15,MoM!$D$5:$D$129,0),MATCH(L$6,MoM!$G$4:$AH$4,0))</f>
        <v>0.0609756097560941</v>
      </c>
      <c r="M15" s="11">
        <f>INDEX(MoM!$G$5:$AH$129,MATCH($A15,MoM!$D$5:$D$129,0),MATCH(M$6,MoM!$G$4:$AH$4,0))</f>
        <v>4.54148471615721</v>
      </c>
      <c r="N15" s="11">
        <f>INDEX(MoM!$G$5:$AH$129,MATCH($A15,MoM!$D$5:$D$129,0),MATCH(N$6,MoM!$G$4:$AH$4,0))</f>
        <v>0.29708853238265</v>
      </c>
      <c r="O15" s="11">
        <f>INDEX(MoM!$G$5:$AH$129,MATCH($A15,MoM!$D$5:$D$129,0),MATCH(O$6,MoM!$G$4:$AH$4,0))</f>
        <v>1.11870727159725</v>
      </c>
      <c r="P15" s="11">
        <f>INDEX(MoM!$G$5:$AH$129,MATCH($A15,MoM!$D$5:$D$129,0),MATCH(P$6,MoM!$G$4:$AH$4,0))</f>
        <v>0.987224157955875</v>
      </c>
      <c r="Q15" s="11">
        <f>INDEX(MoM!$G$5:$AH$129,MATCH($A15,MoM!$D$5:$D$129,0),MATCH(Q$6,MoM!$G$4:$AH$4,0))</f>
        <v>0</v>
      </c>
      <c r="R15" s="11">
        <f>INDEX(MoM!$G$5:$AH$129,MATCH($A15,MoM!$D$5:$D$129,0),MATCH(R$6,MoM!$G$4:$AH$4,0))</f>
        <v>0.470711297071133</v>
      </c>
      <c r="S15" s="11">
        <f>INDEX(MoM!$G$5:$AH$129,MATCH($A15,MoM!$D$5:$D$129,0),MATCH(S$6,MoM!$G$4:$AH$4,0))</f>
        <v>1.04422604422604</v>
      </c>
      <c r="T15" s="11">
        <f>INDEX(MoM!$G$5:$AH$129,MATCH($A15,MoM!$D$5:$D$129,0),MATCH(T$6,MoM!$G$4:$AH$4,0))</f>
        <v>1.4369693011104</v>
      </c>
      <c r="U15" s="11">
        <f>INDEX(MoM!$G$5:$AH$129,MATCH($A15,MoM!$D$5:$D$129,0),MATCH(U$6,MoM!$G$4:$AH$4,0))</f>
        <v>1.11524163568772</v>
      </c>
      <c r="V15" s="11">
        <f>INDEX(MoM!$G$5:$AH$129,MATCH($A15,MoM!$D$5:$D$129,0),MATCH(V$6,MoM!$G$4:$AH$4,0))</f>
        <v>0.371517027863774</v>
      </c>
      <c r="W15" s="11">
        <f>INDEX(MoM!$G$5:$AH$129,MATCH($A15,MoM!$D$5:$D$129,0),MATCH(W$6,MoM!$G$4:$AH$4,0))</f>
        <v>1.18232731798382</v>
      </c>
      <c r="X15" s="11">
        <f>INDEX(MoM!$G$5:$AH$129,MATCH($A15,MoM!$D$5:$D$129,0),MATCH(X$6,MoM!$G$4:$AH$4,0))</f>
        <v>1.09114249037226</v>
      </c>
      <c r="Y15" s="11">
        <f>INDEX(MoM!$G$5:$AH$129,MATCH($A15,MoM!$D$5:$D$129,0),MATCH(Y$6,MoM!$G$4:$AH$4,0))</f>
        <v>0.838323353293417</v>
      </c>
      <c r="Z15" s="11">
        <f>INDEX(MoM!$G$5:$AH$129,MATCH($A15,MoM!$D$5:$D$129,0),MATCH(Z$6,MoM!$G$4:$AH$4,0))</f>
        <v>0.58785107772698</v>
      </c>
      <c r="AA15" s="11">
        <f>INDEX(MoM!$G$5:$AH$129,MATCH($A15,MoM!$D$5:$D$129,0),MATCH(AA$6,MoM!$G$4:$AH$4,0))</f>
        <v>1.48100450740501</v>
      </c>
      <c r="AB15" s="11">
        <f>INDEX(MoM!$G$5:$AH$129,MATCH($A15,MoM!$D$5:$D$129,0),MATCH(AB$6,MoM!$G$4:$AH$4,0))</f>
        <v>0.367647058823543</v>
      </c>
      <c r="AC15" s="11">
        <f>INDEX(MoM!$G$5:$AH$129,MATCH($A15,MoM!$D$5:$D$129,0),MATCH(AC$6,MoM!$G$4:$AH$4,0))</f>
        <v>-0.0624609618988097</v>
      </c>
      <c r="AD15" s="11">
        <f>INDEX(MoM!$G$5:$AH$129,MATCH($A15,MoM!$D$5:$D$129,0),MATCH(AD$6,MoM!$G$4:$AH$4,0))</f>
        <v>0.628930817610063</v>
      </c>
      <c r="AE15" s="11">
        <f>INDEX(MoM!$G$5:$AH$129,MATCH($A15,MoM!$D$5:$D$129,0),MATCH(AE$6,MoM!$G$4:$AH$4,0))</f>
        <v>0.430769230769224</v>
      </c>
      <c r="AF15" s="11">
        <f>INDEX(MoM!$G$5:$AH$129,MATCH($A15,MoM!$D$5:$D$129,0),MATCH(AF$6,MoM!$G$4:$AH$4,0))</f>
        <v>-0.252143217347453</v>
      </c>
    </row>
    <row r="16" spans="1:32">
      <c r="A16" s="9">
        <v>44440</v>
      </c>
      <c r="B16" s="10"/>
      <c r="D16" s="12" t="str">
        <f t="shared" si="1"/>
        <v/>
      </c>
      <c r="E16" s="11">
        <f>INDEX(MoM!$G$5:$AH$129,MATCH($A16,MoM!$D$5:$D$129,0),MATCH(E$6,MoM!$G$4:$AH$4,0))</f>
        <v>0</v>
      </c>
      <c r="F16" s="11">
        <f>INDEX(MoM!$G$5:$AH$129,MATCH($A16,MoM!$D$5:$D$129,0),MATCH(F$6,MoM!$G$4:$AH$4,0))</f>
        <v>0</v>
      </c>
      <c r="G16" s="11">
        <f>INDEX(MoM!$G$5:$AH$129,MATCH($A16,MoM!$D$5:$D$129,0),MATCH(G$6,MoM!$G$4:$AH$4,0))</f>
        <v>0</v>
      </c>
      <c r="H16" s="11">
        <f>INDEX(MoM!$G$5:$AH$129,MATCH($A16,MoM!$D$5:$D$129,0),MATCH(H$6,MoM!$G$4:$AH$4,0))</f>
        <v>0</v>
      </c>
      <c r="I16" s="11">
        <f>INDEX(MoM!$G$5:$AH$129,MATCH($A16,MoM!$D$5:$D$129,0),MATCH(I$6,MoM!$G$4:$AH$4,0))</f>
        <v>0</v>
      </c>
      <c r="J16" s="11">
        <f>INDEX(MoM!$G$5:$AH$129,MATCH($A16,MoM!$D$5:$D$129,0),MATCH(J$6,MoM!$G$4:$AH$4,0))</f>
        <v>-0.0637755102040961</v>
      </c>
      <c r="K16" s="11">
        <f>INDEX(MoM!$G$5:$AH$129,MATCH($A16,MoM!$D$5:$D$129,0),MATCH(K$6,MoM!$G$4:$AH$4,0))</f>
        <v>0.061652281134416</v>
      </c>
      <c r="L16" s="11">
        <f>INDEX(MoM!$G$5:$AH$129,MATCH($A16,MoM!$D$5:$D$129,0),MATCH(L$6,MoM!$G$4:$AH$4,0))</f>
        <v>0</v>
      </c>
      <c r="M16" s="11">
        <f>INDEX(MoM!$G$5:$AH$129,MATCH($A16,MoM!$D$5:$D$129,0),MATCH(M$6,MoM!$G$4:$AH$4,0))</f>
        <v>0</v>
      </c>
      <c r="N16" s="11">
        <f>INDEX(MoM!$G$5:$AH$129,MATCH($A16,MoM!$D$5:$D$129,0),MATCH(N$6,MoM!$G$4:$AH$4,0))</f>
        <v>0</v>
      </c>
      <c r="O16" s="11">
        <f>INDEX(MoM!$G$5:$AH$129,MATCH($A16,MoM!$D$5:$D$129,0),MATCH(O$6,MoM!$G$4:$AH$4,0))</f>
        <v>0</v>
      </c>
      <c r="P16" s="11">
        <f>INDEX(MoM!$G$5:$AH$129,MATCH($A16,MoM!$D$5:$D$129,0),MATCH(P$6,MoM!$G$4:$AH$4,0))</f>
        <v>0</v>
      </c>
      <c r="Q16" s="11">
        <f>INDEX(MoM!$G$5:$AH$129,MATCH($A16,MoM!$D$5:$D$129,0),MATCH(Q$6,MoM!$G$4:$AH$4,0))</f>
        <v>0</v>
      </c>
      <c r="R16" s="11">
        <f>INDEX(MoM!$G$5:$AH$129,MATCH($A16,MoM!$D$5:$D$129,0),MATCH(R$6,MoM!$G$4:$AH$4,0))</f>
        <v>0</v>
      </c>
      <c r="S16" s="11">
        <f>INDEX(MoM!$G$5:$AH$129,MATCH($A16,MoM!$D$5:$D$129,0),MATCH(S$6,MoM!$G$4:$AH$4,0))</f>
        <v>0.0607902735562275</v>
      </c>
      <c r="T16" s="11">
        <f>INDEX(MoM!$G$5:$AH$129,MATCH($A16,MoM!$D$5:$D$129,0),MATCH(T$6,MoM!$G$4:$AH$4,0))</f>
        <v>0</v>
      </c>
      <c r="U16" s="11">
        <f>INDEX(MoM!$G$5:$AH$129,MATCH($A16,MoM!$D$5:$D$129,0),MATCH(U$6,MoM!$G$4:$AH$4,0))</f>
        <v>0.0612745098039355</v>
      </c>
      <c r="V16" s="11">
        <f>INDEX(MoM!$G$5:$AH$129,MATCH($A16,MoM!$D$5:$D$129,0),MATCH(V$6,MoM!$G$4:$AH$4,0))</f>
        <v>0</v>
      </c>
      <c r="W16" s="11">
        <f>INDEX(MoM!$G$5:$AH$129,MATCH($A16,MoM!$D$5:$D$129,0),MATCH(W$6,MoM!$G$4:$AH$4,0))</f>
        <v>0</v>
      </c>
      <c r="X16" s="11">
        <f>INDEX(MoM!$G$5:$AH$129,MATCH($A16,MoM!$D$5:$D$129,0),MATCH(X$6,MoM!$G$4:$AH$4,0))</f>
        <v>0</v>
      </c>
      <c r="Y16" s="11">
        <f>INDEX(MoM!$G$5:$AH$129,MATCH($A16,MoM!$D$5:$D$129,0),MATCH(Y$6,MoM!$G$4:$AH$4,0))</f>
        <v>0</v>
      </c>
      <c r="Z16" s="11">
        <f>INDEX(MoM!$G$5:$AH$129,MATCH($A16,MoM!$D$5:$D$129,0),MATCH(Z$6,MoM!$G$4:$AH$4,0))</f>
        <v>0</v>
      </c>
      <c r="AA16" s="11">
        <f>INDEX(MoM!$G$5:$AH$129,MATCH($A16,MoM!$D$5:$D$129,0),MATCH(AA$6,MoM!$G$4:$AH$4,0))</f>
        <v>0.0634517766497426</v>
      </c>
      <c r="AB16" s="11">
        <f>INDEX(MoM!$G$5:$AH$129,MATCH($A16,MoM!$D$5:$D$129,0),MATCH(AB$6,MoM!$G$4:$AH$4,0))</f>
        <v>-0.0610500610500749</v>
      </c>
      <c r="AC16" s="11">
        <f>INDEX(MoM!$G$5:$AH$129,MATCH($A16,MoM!$D$5:$D$129,0),MATCH(AC$6,MoM!$G$4:$AH$4,0))</f>
        <v>0</v>
      </c>
      <c r="AD16" s="11">
        <f>INDEX(MoM!$G$5:$AH$129,MATCH($A16,MoM!$D$5:$D$129,0),MATCH(AD$6,MoM!$G$4:$AH$4,0))</f>
        <v>0</v>
      </c>
      <c r="AE16" s="11">
        <f>INDEX(MoM!$G$5:$AH$129,MATCH($A16,MoM!$D$5:$D$129,0),MATCH(AE$6,MoM!$G$4:$AH$4,0))</f>
        <v>0</v>
      </c>
      <c r="AF16" s="11">
        <f>INDEX(MoM!$G$5:$AH$129,MATCH($A16,MoM!$D$5:$D$129,0),MATCH(AF$6,MoM!$G$4:$AH$4,0))</f>
        <v>0</v>
      </c>
    </row>
    <row r="17" spans="1:32">
      <c r="A17" s="9">
        <v>44470</v>
      </c>
      <c r="B17" s="10"/>
      <c r="D17" s="12" t="str">
        <f t="shared" si="1"/>
        <v/>
      </c>
      <c r="E17" s="11">
        <f>INDEX(MoM!$G$5:$AH$129,MATCH($A17,MoM!$D$5:$D$129,0),MATCH(E$6,MoM!$G$4:$AH$4,0))</f>
        <v>0.54570259208732</v>
      </c>
      <c r="F17" s="11">
        <f>INDEX(MoM!$G$5:$AH$129,MATCH($A17,MoM!$D$5:$D$129,0),MATCH(F$6,MoM!$G$4:$AH$4,0))</f>
        <v>0.294117647058821</v>
      </c>
      <c r="G17" s="11">
        <f>INDEX(MoM!$G$5:$AH$129,MATCH($A17,MoM!$D$5:$D$129,0),MATCH(G$6,MoM!$G$4:$AH$4,0))</f>
        <v>-0.925925925925939</v>
      </c>
      <c r="H17" s="11">
        <f>INDEX(MoM!$G$5:$AH$129,MATCH($A17,MoM!$D$5:$D$129,0),MATCH(H$6,MoM!$G$4:$AH$4,0))</f>
        <v>0.189393939393929</v>
      </c>
      <c r="I17" s="11">
        <f>INDEX(MoM!$G$5:$AH$129,MATCH($A17,MoM!$D$5:$D$129,0),MATCH(I$6,MoM!$G$4:$AH$4,0))</f>
        <v>1.38297872340425</v>
      </c>
      <c r="J17" s="11">
        <f>INDEX(MoM!$G$5:$AH$129,MATCH($A17,MoM!$D$5:$D$129,0),MATCH(J$6,MoM!$G$4:$AH$4,0))</f>
        <v>-0.638162093171666</v>
      </c>
      <c r="K17" s="11">
        <f>INDEX(MoM!$G$5:$AH$129,MATCH($A17,MoM!$D$5:$D$129,0),MATCH(K$6,MoM!$G$4:$AH$4,0))</f>
        <v>14.1712877387554</v>
      </c>
      <c r="L17" s="11">
        <f>INDEX(MoM!$G$5:$AH$129,MATCH($A17,MoM!$D$5:$D$129,0),MATCH(L$6,MoM!$G$4:$AH$4,0))</f>
        <v>0.670322973796462</v>
      </c>
      <c r="M17" s="11">
        <f>INDEX(MoM!$G$5:$AH$129,MATCH($A17,MoM!$D$5:$D$129,0),MATCH(M$6,MoM!$G$4:$AH$4,0))</f>
        <v>1.83792815371763</v>
      </c>
      <c r="N17" s="11">
        <f>INDEX(MoM!$G$5:$AH$129,MATCH($A17,MoM!$D$5:$D$129,0),MATCH(N$6,MoM!$G$4:$AH$4,0))</f>
        <v>0.296208530805687</v>
      </c>
      <c r="O17" s="11">
        <f>INDEX(MoM!$G$5:$AH$129,MATCH($A17,MoM!$D$5:$D$129,0),MATCH(O$6,MoM!$G$4:$AH$4,0))</f>
        <v>0.307314074984634</v>
      </c>
      <c r="P17" s="11">
        <f>INDEX(MoM!$G$5:$AH$129,MATCH($A17,MoM!$D$5:$D$129,0),MATCH(P$6,MoM!$G$4:$AH$4,0))</f>
        <v>0.460034502587684</v>
      </c>
      <c r="Q17" s="11">
        <f>INDEX(MoM!$G$5:$AH$129,MATCH($A17,MoM!$D$5:$D$129,0),MATCH(Q$6,MoM!$G$4:$AH$4,0))</f>
        <v>2.2560975609756</v>
      </c>
      <c r="R17" s="11">
        <f>INDEX(MoM!$G$5:$AH$129,MATCH($A17,MoM!$D$5:$D$129,0),MATCH(R$6,MoM!$G$4:$AH$4,0))</f>
        <v>0.312337324310252</v>
      </c>
      <c r="S17" s="11">
        <f>INDEX(MoM!$G$5:$AH$129,MATCH($A17,MoM!$D$5:$D$129,0),MATCH(S$6,MoM!$G$4:$AH$4,0))</f>
        <v>0.668286755771564</v>
      </c>
      <c r="T17" s="11">
        <f>INDEX(MoM!$G$5:$AH$129,MATCH($A17,MoM!$D$5:$D$129,0),MATCH(T$6,MoM!$G$4:$AH$4,0))</f>
        <v>0.643915003219575</v>
      </c>
      <c r="U17" s="11">
        <f>INDEX(MoM!$G$5:$AH$129,MATCH($A17,MoM!$D$5:$D$129,0),MATCH(U$6,MoM!$G$4:$AH$4,0))</f>
        <v>0.612369871402327</v>
      </c>
      <c r="V17" s="11">
        <f>INDEX(MoM!$G$5:$AH$129,MATCH($A17,MoM!$D$5:$D$129,0),MATCH(V$6,MoM!$G$4:$AH$4,0))</f>
        <v>0.925354719309069</v>
      </c>
      <c r="W17" s="11">
        <f>INDEX(MoM!$G$5:$AH$129,MATCH($A17,MoM!$D$5:$D$129,0),MATCH(W$6,MoM!$G$4:$AH$4,0))</f>
        <v>0.984009840098398</v>
      </c>
      <c r="X17" s="11">
        <f>INDEX(MoM!$G$5:$AH$129,MATCH($A17,MoM!$D$5:$D$129,0),MATCH(X$6,MoM!$G$4:$AH$4,0))</f>
        <v>0.571428571428575</v>
      </c>
      <c r="Y17" s="11">
        <f>INDEX(MoM!$G$5:$AH$129,MATCH($A17,MoM!$D$5:$D$129,0),MATCH(Y$6,MoM!$G$4:$AH$4,0))</f>
        <v>0.415676959619946</v>
      </c>
      <c r="Z17" s="11">
        <f>INDEX(MoM!$G$5:$AH$129,MATCH($A17,MoM!$D$5:$D$129,0),MATCH(Z$6,MoM!$G$4:$AH$4,0))</f>
        <v>1.1038961038961</v>
      </c>
      <c r="AA17" s="11">
        <f>INDEX(MoM!$G$5:$AH$129,MATCH($A17,MoM!$D$5:$D$129,0),MATCH(AA$6,MoM!$G$4:$AH$4,0))</f>
        <v>0.570703868103999</v>
      </c>
      <c r="AB17" s="11">
        <f>INDEX(MoM!$G$5:$AH$129,MATCH($A17,MoM!$D$5:$D$129,0),MATCH(AB$6,MoM!$G$4:$AH$4,0))</f>
        <v>0.122174709835075</v>
      </c>
      <c r="AC17" s="11">
        <f>INDEX(MoM!$G$5:$AH$129,MATCH($A17,MoM!$D$5:$D$129,0),MATCH(AC$6,MoM!$G$4:$AH$4,0))</f>
        <v>0.500000000000007</v>
      </c>
      <c r="AD17" s="11">
        <f>INDEX(MoM!$G$5:$AH$129,MATCH($A17,MoM!$D$5:$D$129,0),MATCH(AD$6,MoM!$G$4:$AH$4,0))</f>
        <v>0.625</v>
      </c>
      <c r="AE17" s="11">
        <f>INDEX(MoM!$G$5:$AH$129,MATCH($A17,MoM!$D$5:$D$129,0),MATCH(AE$6,MoM!$G$4:$AH$4,0))</f>
        <v>1.4093137254902</v>
      </c>
      <c r="AF17" s="11">
        <f>INDEX(MoM!$G$5:$AH$129,MATCH($A17,MoM!$D$5:$D$129,0),MATCH(AF$6,MoM!$G$4:$AH$4,0))</f>
        <v>1.50657229524773</v>
      </c>
    </row>
    <row r="18" spans="1:32">
      <c r="A18" s="9">
        <v>44501</v>
      </c>
      <c r="B18" s="10"/>
      <c r="D18" s="12" t="str">
        <f t="shared" si="1"/>
        <v/>
      </c>
      <c r="E18" s="11">
        <f>INDEX(MoM!$G$5:$AH$129,MATCH($A18,MoM!$D$5:$D$129,0),MATCH(E$6,MoM!$G$4:$AH$4,0))</f>
        <v>0.542740841248292</v>
      </c>
      <c r="F18" s="11">
        <f>INDEX(MoM!$G$5:$AH$129,MATCH($A18,MoM!$D$5:$D$129,0),MATCH(F$6,MoM!$G$4:$AH$4,0))</f>
        <v>-1.46627565982405</v>
      </c>
      <c r="G18" s="11">
        <f>INDEX(MoM!$G$5:$AH$129,MATCH($A18,MoM!$D$5:$D$129,0),MATCH(G$6,MoM!$G$4:$AH$4,0))</f>
        <v>1.05140186915889</v>
      </c>
      <c r="H18" s="11">
        <f>INDEX(MoM!$G$5:$AH$129,MATCH($A18,MoM!$D$5:$D$129,0),MATCH(H$6,MoM!$G$4:$AH$4,0))</f>
        <v>0.378071833648408</v>
      </c>
      <c r="I18" s="11">
        <f>INDEX(MoM!$G$5:$AH$129,MATCH($A18,MoM!$D$5:$D$129,0),MATCH(I$6,MoM!$G$4:$AH$4,0))</f>
        <v>-0.262329485834208</v>
      </c>
      <c r="J18" s="11">
        <f>INDEX(MoM!$G$5:$AH$129,MATCH($A18,MoM!$D$5:$D$129,0),MATCH(J$6,MoM!$G$4:$AH$4,0))</f>
        <v>0.513808606294163</v>
      </c>
      <c r="K18" s="11">
        <f>INDEX(MoM!$G$5:$AH$129,MATCH($A18,MoM!$D$5:$D$129,0),MATCH(K$6,MoM!$G$4:$AH$4,0))</f>
        <v>7.50134916351861</v>
      </c>
      <c r="L18" s="11">
        <f>INDEX(MoM!$G$5:$AH$129,MATCH($A18,MoM!$D$5:$D$129,0),MATCH(L$6,MoM!$G$4:$AH$4,0))</f>
        <v>0.0605326876513455</v>
      </c>
      <c r="M18" s="11">
        <f>INDEX(MoM!$G$5:$AH$129,MATCH($A18,MoM!$D$5:$D$129,0),MATCH(M$6,MoM!$G$4:$AH$4,0))</f>
        <v>0.410172272354389</v>
      </c>
      <c r="N18" s="11">
        <f>INDEX(MoM!$G$5:$AH$129,MATCH($A18,MoM!$D$5:$D$129,0),MATCH(N$6,MoM!$G$4:$AH$4,0))</f>
        <v>0.177200236266972</v>
      </c>
      <c r="O18" s="11">
        <f>INDEX(MoM!$G$5:$AH$129,MATCH($A18,MoM!$D$5:$D$129,0),MATCH(O$6,MoM!$G$4:$AH$4,0))</f>
        <v>0.306372549019608</v>
      </c>
      <c r="P18" s="11">
        <f>INDEX(MoM!$G$5:$AH$129,MATCH($A18,MoM!$D$5:$D$129,0),MATCH(P$6,MoM!$G$4:$AH$4,0))</f>
        <v>0.45792787635948</v>
      </c>
      <c r="Q18" s="11">
        <f>INDEX(MoM!$G$5:$AH$129,MATCH($A18,MoM!$D$5:$D$129,0),MATCH(Q$6,MoM!$G$4:$AH$4,0))</f>
        <v>1.19260584376863</v>
      </c>
      <c r="R18" s="11">
        <f>INDEX(MoM!$G$5:$AH$129,MATCH($A18,MoM!$D$5:$D$129,0),MATCH(R$6,MoM!$G$4:$AH$4,0))</f>
        <v>0.103788271925281</v>
      </c>
      <c r="S18" s="11">
        <f>INDEX(MoM!$G$5:$AH$129,MATCH($A18,MoM!$D$5:$D$129,0),MATCH(S$6,MoM!$G$4:$AH$4,0))</f>
        <v>0.905250452625226</v>
      </c>
      <c r="T18" s="11">
        <f>INDEX(MoM!$G$5:$AH$129,MATCH($A18,MoM!$D$5:$D$129,0),MATCH(T$6,MoM!$G$4:$AH$4,0))</f>
        <v>0.703774792066535</v>
      </c>
      <c r="U18" s="11">
        <f>INDEX(MoM!$G$5:$AH$129,MATCH($A18,MoM!$D$5:$D$129,0),MATCH(U$6,MoM!$G$4:$AH$4,0))</f>
        <v>0.912964090079123</v>
      </c>
      <c r="V18" s="11">
        <f>INDEX(MoM!$G$5:$AH$129,MATCH($A18,MoM!$D$5:$D$129,0),MATCH(V$6,MoM!$G$4:$AH$4,0))</f>
        <v>0.366748166259165</v>
      </c>
      <c r="W18" s="11">
        <f>INDEX(MoM!$G$5:$AH$129,MATCH($A18,MoM!$D$5:$D$129,0),MATCH(W$6,MoM!$G$4:$AH$4,0))</f>
        <v>-0.182704019488418</v>
      </c>
      <c r="X18" s="11">
        <f>INDEX(MoM!$G$5:$AH$129,MATCH($A18,MoM!$D$5:$D$129,0),MATCH(X$6,MoM!$G$4:$AH$4,0))</f>
        <v>0.568181818181822</v>
      </c>
      <c r="Y18" s="11">
        <f>INDEX(MoM!$G$5:$AH$129,MATCH($A18,MoM!$D$5:$D$129,0),MATCH(Y$6,MoM!$G$4:$AH$4,0))</f>
        <v>0.473092844470734</v>
      </c>
      <c r="Z18" s="11">
        <f>INDEX(MoM!$G$5:$AH$129,MATCH($A18,MoM!$D$5:$D$129,0),MATCH(Z$6,MoM!$G$4:$AH$4,0))</f>
        <v>-0.57803468208091</v>
      </c>
      <c r="AA18" s="11">
        <f>INDEX(MoM!$G$5:$AH$129,MATCH($A18,MoM!$D$5:$D$129,0),MATCH(AA$6,MoM!$G$4:$AH$4,0))</f>
        <v>0.756620428751587</v>
      </c>
      <c r="AB18" s="11">
        <f>INDEX(MoM!$G$5:$AH$129,MATCH($A18,MoM!$D$5:$D$129,0),MATCH(AB$6,MoM!$G$4:$AH$4,0))</f>
        <v>0.244051250762664</v>
      </c>
      <c r="AC18" s="11">
        <f>INDEX(MoM!$G$5:$AH$129,MATCH($A18,MoM!$D$5:$D$129,0),MATCH(AC$6,MoM!$G$4:$AH$4,0))</f>
        <v>0.87064676616914</v>
      </c>
      <c r="AD18" s="11">
        <f>INDEX(MoM!$G$5:$AH$129,MATCH($A18,MoM!$D$5:$D$129,0),MATCH(AD$6,MoM!$G$4:$AH$4,0))</f>
        <v>0.248447204968948</v>
      </c>
      <c r="AE18" s="11">
        <f>INDEX(MoM!$G$5:$AH$129,MATCH($A18,MoM!$D$5:$D$129,0),MATCH(AE$6,MoM!$G$4:$AH$4,0))</f>
        <v>0.7250755287009</v>
      </c>
      <c r="AF18" s="11">
        <f>INDEX(MoM!$G$5:$AH$129,MATCH($A18,MoM!$D$5:$D$129,0),MATCH(AF$6,MoM!$G$4:$AH$4,0))</f>
        <v>0.826775575256484</v>
      </c>
    </row>
    <row r="19" spans="1:32">
      <c r="A19" s="9">
        <v>44531</v>
      </c>
      <c r="B19" s="10"/>
      <c r="D19" s="12" t="str">
        <f t="shared" si="1"/>
        <v/>
      </c>
      <c r="E19" s="11">
        <f>INDEX(MoM!$G$5:$AH$129,MATCH($A19,MoM!$D$5:$D$129,0),MATCH(E$6,MoM!$G$4:$AH$4,0))</f>
        <v>0.337381916329285</v>
      </c>
      <c r="F19" s="11">
        <f>INDEX(MoM!$G$5:$AH$129,MATCH($A19,MoM!$D$5:$D$129,0),MATCH(F$6,MoM!$G$4:$AH$4,0))</f>
        <v>-1.38888888888888</v>
      </c>
      <c r="G19" s="11">
        <f>INDEX(MoM!$G$5:$AH$129,MATCH($A19,MoM!$D$5:$D$129,0),MATCH(G$6,MoM!$G$4:$AH$4,0))</f>
        <v>2.83236994219654</v>
      </c>
      <c r="H19" s="11">
        <f>INDEX(MoM!$G$5:$AH$129,MATCH($A19,MoM!$D$5:$D$129,0),MATCH(H$6,MoM!$G$4:$AH$4,0))</f>
        <v>0.376647834274949</v>
      </c>
      <c r="I19" s="11">
        <f>INDEX(MoM!$G$5:$AH$129,MATCH($A19,MoM!$D$5:$D$129,0),MATCH(I$6,MoM!$G$4:$AH$4,0))</f>
        <v>-1.31509731720147</v>
      </c>
      <c r="J19" s="11">
        <f>INDEX(MoM!$G$5:$AH$129,MATCH($A19,MoM!$D$5:$D$129,0),MATCH(J$6,MoM!$G$4:$AH$4,0))</f>
        <v>-1.02236421725239</v>
      </c>
      <c r="K19" s="11">
        <f>INDEX(MoM!$G$5:$AH$129,MATCH($A19,MoM!$D$5:$D$129,0),MATCH(K$6,MoM!$G$4:$AH$4,0))</f>
        <v>-5.47188755020079</v>
      </c>
      <c r="L19" s="11">
        <f>INDEX(MoM!$G$5:$AH$129,MATCH($A19,MoM!$D$5:$D$129,0),MATCH(L$6,MoM!$G$4:$AH$4,0))</f>
        <v>-0.544464609800366</v>
      </c>
      <c r="M19" s="11">
        <f>INDEX(MoM!$G$5:$AH$129,MATCH($A19,MoM!$D$5:$D$129,0),MATCH(M$6,MoM!$G$4:$AH$4,0))</f>
        <v>-1.14379084967321</v>
      </c>
      <c r="N19" s="11">
        <f>INDEX(MoM!$G$5:$AH$129,MATCH($A19,MoM!$D$5:$D$129,0),MATCH(N$6,MoM!$G$4:$AH$4,0))</f>
        <v>0.530660377358494</v>
      </c>
      <c r="O19" s="11">
        <f>INDEX(MoM!$G$5:$AH$129,MATCH($A19,MoM!$D$5:$D$129,0),MATCH(O$6,MoM!$G$4:$AH$4,0))</f>
        <v>0.30543677458766</v>
      </c>
      <c r="P19" s="11">
        <f>INDEX(MoM!$G$5:$AH$129,MATCH($A19,MoM!$D$5:$D$129,0),MATCH(P$6,MoM!$G$4:$AH$4,0))</f>
        <v>0.56980056980057</v>
      </c>
      <c r="Q19" s="11">
        <f>INDEX(MoM!$G$5:$AH$129,MATCH($A19,MoM!$D$5:$D$129,0),MATCH(Q$6,MoM!$G$4:$AH$4,0))</f>
        <v>-0.883912787271656</v>
      </c>
      <c r="R19" s="11">
        <f>INDEX(MoM!$G$5:$AH$129,MATCH($A19,MoM!$D$5:$D$129,0),MATCH(R$6,MoM!$G$4:$AH$4,0))</f>
        <v>-0.259201658890617</v>
      </c>
      <c r="S19" s="11">
        <f>INDEX(MoM!$G$5:$AH$129,MATCH($A19,MoM!$D$5:$D$129,0),MATCH(S$6,MoM!$G$4:$AH$4,0))</f>
        <v>0.777511961722495</v>
      </c>
      <c r="T19" s="11">
        <f>INDEX(MoM!$G$5:$AH$129,MATCH($A19,MoM!$D$5:$D$129,0),MATCH(T$6,MoM!$G$4:$AH$4,0))</f>
        <v>0.825921219822099</v>
      </c>
      <c r="U19" s="11">
        <f>INDEX(MoM!$G$5:$AH$129,MATCH($A19,MoM!$D$5:$D$129,0),MATCH(U$6,MoM!$G$4:$AH$4,0))</f>
        <v>0.723763570566941</v>
      </c>
      <c r="V19" s="11">
        <f>INDEX(MoM!$G$5:$AH$129,MATCH($A19,MoM!$D$5:$D$129,0),MATCH(V$6,MoM!$G$4:$AH$4,0))</f>
        <v>-0.4872107186358</v>
      </c>
      <c r="W19" s="11">
        <f>INDEX(MoM!$G$5:$AH$129,MATCH($A19,MoM!$D$5:$D$129,0),MATCH(W$6,MoM!$G$4:$AH$4,0))</f>
        <v>0.122025625381323</v>
      </c>
      <c r="X19" s="11">
        <f>INDEX(MoM!$G$5:$AH$129,MATCH($A19,MoM!$D$5:$D$129,0),MATCH(X$6,MoM!$G$4:$AH$4,0))</f>
        <v>0.564971751412415</v>
      </c>
      <c r="Y19" s="11">
        <f>INDEX(MoM!$G$5:$AH$129,MATCH($A19,MoM!$D$5:$D$129,0),MATCH(Y$6,MoM!$G$4:$AH$4,0))</f>
        <v>0.412007062978216</v>
      </c>
      <c r="Z19" s="11">
        <f>INDEX(MoM!$G$5:$AH$129,MATCH($A19,MoM!$D$5:$D$129,0),MATCH(Z$6,MoM!$G$4:$AH$4,0))</f>
        <v>0.581395348837195</v>
      </c>
      <c r="AA19" s="11">
        <f>INDEX(MoM!$G$5:$AH$129,MATCH($A19,MoM!$D$5:$D$129,0),MATCH(AA$6,MoM!$G$4:$AH$4,0))</f>
        <v>0.500625782227774</v>
      </c>
      <c r="AB19" s="11">
        <f>INDEX(MoM!$G$5:$AH$129,MATCH($A19,MoM!$D$5:$D$129,0),MATCH(AB$6,MoM!$G$4:$AH$4,0))</f>
        <v>0.0608642726719381</v>
      </c>
      <c r="AC19" s="11">
        <f>INDEX(MoM!$G$5:$AH$129,MATCH($A19,MoM!$D$5:$D$129,0),MATCH(AC$6,MoM!$G$4:$AH$4,0))</f>
        <v>0.246609124537611</v>
      </c>
      <c r="AD19" s="11">
        <f>INDEX(MoM!$G$5:$AH$129,MATCH($A19,MoM!$D$5:$D$129,0),MATCH(AD$6,MoM!$G$4:$AH$4,0))</f>
        <v>0.371747211895907</v>
      </c>
      <c r="AE19" s="11">
        <f>INDEX(MoM!$G$5:$AH$129,MATCH($A19,MoM!$D$5:$D$129,0),MATCH(AE$6,MoM!$G$4:$AH$4,0))</f>
        <v>-0.299940011997601</v>
      </c>
      <c r="AF19" s="11">
        <f>INDEX(MoM!$G$5:$AH$129,MATCH($A19,MoM!$D$5:$D$129,0),MATCH(AF$6,MoM!$G$4:$AH$4,0))</f>
        <v>-0.577949021932415</v>
      </c>
    </row>
    <row r="20" spans="1:32">
      <c r="A20" s="9">
        <v>44562</v>
      </c>
      <c r="B20" s="10"/>
      <c r="D20" s="12" t="str">
        <f t="shared" si="1"/>
        <v/>
      </c>
      <c r="E20" s="11">
        <f>INDEX(MoM!$G$5:$AH$129,MATCH($A20,MoM!$D$5:$D$129,0),MATCH(E$6,MoM!$G$4:$AH$4,0))</f>
        <v>0.53799596503027</v>
      </c>
      <c r="F20" s="11">
        <f>INDEX(MoM!$G$5:$AH$129,MATCH($A20,MoM!$D$5:$D$129,0),MATCH(F$6,MoM!$G$4:$AH$4,0))</f>
        <v>-0.0503018108652026</v>
      </c>
      <c r="G20" s="11">
        <f>INDEX(MoM!$G$5:$AH$129,MATCH($A20,MoM!$D$5:$D$129,0),MATCH(G$6,MoM!$G$4:$AH$4,0))</f>
        <v>0.505902192242836</v>
      </c>
      <c r="H20" s="11">
        <f>INDEX(MoM!$G$5:$AH$129,MATCH($A20,MoM!$D$5:$D$129,0),MATCH(H$6,MoM!$G$4:$AH$4,0))</f>
        <v>0.375234521575981</v>
      </c>
      <c r="I20" s="11">
        <f>INDEX(MoM!$G$5:$AH$129,MATCH($A20,MoM!$D$5:$D$129,0),MATCH(I$6,MoM!$G$4:$AH$4,0))</f>
        <v>-1.54584221748401</v>
      </c>
      <c r="J20" s="11">
        <f>INDEX(MoM!$G$5:$AH$129,MATCH($A20,MoM!$D$5:$D$129,0),MATCH(J$6,MoM!$G$4:$AH$4,0))</f>
        <v>-0.774693350548752</v>
      </c>
      <c r="K20" s="11">
        <f>INDEX(MoM!$G$5:$AH$129,MATCH($A20,MoM!$D$5:$D$129,0),MATCH(K$6,MoM!$G$4:$AH$4,0))</f>
        <v>-7.43494423791821</v>
      </c>
      <c r="L20" s="11">
        <f>INDEX(MoM!$G$5:$AH$129,MATCH($A20,MoM!$D$5:$D$129,0),MATCH(L$6,MoM!$G$4:$AH$4,0))</f>
        <v>-0.304136253041362</v>
      </c>
      <c r="M20" s="11">
        <f>INDEX(MoM!$G$5:$AH$129,MATCH($A20,MoM!$D$5:$D$129,0),MATCH(M$6,MoM!$G$4:$AH$4,0))</f>
        <v>-0.826446280991736</v>
      </c>
      <c r="N20" s="11">
        <f>INDEX(MoM!$G$5:$AH$129,MATCH($A20,MoM!$D$5:$D$129,0),MATCH(N$6,MoM!$G$4:$AH$4,0))</f>
        <v>0.938416422287387</v>
      </c>
      <c r="O20" s="11">
        <f>INDEX(MoM!$G$5:$AH$129,MATCH($A20,MoM!$D$5:$D$129,0),MATCH(O$6,MoM!$G$4:$AH$4,0))</f>
        <v>0.0609013398294901</v>
      </c>
      <c r="P20" s="11">
        <f>INDEX(MoM!$G$5:$AH$129,MATCH($A20,MoM!$D$5:$D$129,0),MATCH(P$6,MoM!$G$4:$AH$4,0))</f>
        <v>0.453257790368278</v>
      </c>
      <c r="Q20" s="11">
        <f>INDEX(MoM!$G$5:$AH$129,MATCH($A20,MoM!$D$5:$D$129,0),MATCH(Q$6,MoM!$G$4:$AH$4,0))</f>
        <v>-1.07015457788346</v>
      </c>
      <c r="R20" s="11">
        <f>INDEX(MoM!$G$5:$AH$129,MATCH($A20,MoM!$D$5:$D$129,0),MATCH(R$6,MoM!$G$4:$AH$4,0))</f>
        <v>-0.103950103950113</v>
      </c>
      <c r="S20" s="11">
        <f>INDEX(MoM!$G$5:$AH$129,MATCH($A20,MoM!$D$5:$D$129,0),MATCH(S$6,MoM!$G$4:$AH$4,0))</f>
        <v>0.830860534124632</v>
      </c>
      <c r="T20" s="11">
        <f>INDEX(MoM!$G$5:$AH$129,MATCH($A20,MoM!$D$5:$D$129,0),MATCH(T$6,MoM!$G$4:$AH$4,0))</f>
        <v>1.26023944549464</v>
      </c>
      <c r="U20" s="11">
        <f>INDEX(MoM!$G$5:$AH$129,MATCH($A20,MoM!$D$5:$D$129,0),MATCH(U$6,MoM!$G$4:$AH$4,0))</f>
        <v>0.898203592814371</v>
      </c>
      <c r="V20" s="11">
        <f>INDEX(MoM!$G$5:$AH$129,MATCH($A20,MoM!$D$5:$D$129,0),MATCH(V$6,MoM!$G$4:$AH$4,0))</f>
        <v>0.673194614443081</v>
      </c>
      <c r="W20" s="11">
        <f>INDEX(MoM!$G$5:$AH$129,MATCH($A20,MoM!$D$5:$D$129,0),MATCH(W$6,MoM!$G$4:$AH$4,0))</f>
        <v>0.0609384521633116</v>
      </c>
      <c r="X20" s="11">
        <f>INDEX(MoM!$G$5:$AH$129,MATCH($A20,MoM!$D$5:$D$129,0),MATCH(X$6,MoM!$G$4:$AH$4,0))</f>
        <v>0.561797752808992</v>
      </c>
      <c r="Y20" s="11">
        <f>INDEX(MoM!$G$5:$AH$129,MATCH($A20,MoM!$D$5:$D$129,0),MATCH(Y$6,MoM!$G$4:$AH$4,0))</f>
        <v>0.468933177022281</v>
      </c>
      <c r="Z20" s="11">
        <f>INDEX(MoM!$G$5:$AH$129,MATCH($A20,MoM!$D$5:$D$129,0),MATCH(Z$6,MoM!$G$4:$AH$4,0))</f>
        <v>0.513808606294163</v>
      </c>
      <c r="AA20" s="11">
        <f>INDEX(MoM!$G$5:$AH$129,MATCH($A20,MoM!$D$5:$D$129,0),MATCH(AA$6,MoM!$G$4:$AH$4,0))</f>
        <v>0.373599003735986</v>
      </c>
      <c r="AB20" s="11">
        <f>INDEX(MoM!$G$5:$AH$129,MATCH($A20,MoM!$D$5:$D$129,0),MATCH(AB$6,MoM!$G$4:$AH$4,0))</f>
        <v>0.182481751824807</v>
      </c>
      <c r="AC20" s="11">
        <f>INDEX(MoM!$G$5:$AH$129,MATCH($A20,MoM!$D$5:$D$129,0),MATCH(AC$6,MoM!$G$4:$AH$4,0))</f>
        <v>0.246002460024604</v>
      </c>
      <c r="AD20" s="11">
        <f>INDEX(MoM!$G$5:$AH$129,MATCH($A20,MoM!$D$5:$D$129,0),MATCH(AD$6,MoM!$G$4:$AH$4,0))</f>
        <v>0.432098765432092</v>
      </c>
      <c r="AE20" s="11">
        <f>INDEX(MoM!$G$5:$AH$129,MATCH($A20,MoM!$D$5:$D$129,0),MATCH(AE$6,MoM!$G$4:$AH$4,0))</f>
        <v>-0.300842358604091</v>
      </c>
      <c r="AF20" s="11">
        <f>INDEX(MoM!$G$5:$AH$129,MATCH($A20,MoM!$D$5:$D$129,0),MATCH(AF$6,MoM!$G$4:$AH$4,0))</f>
        <v>-0.740299100710493</v>
      </c>
    </row>
    <row r="21" spans="1:32">
      <c r="A21" s="9">
        <v>44593</v>
      </c>
      <c r="B21" s="10"/>
      <c r="D21" s="12" t="str">
        <f t="shared" si="1"/>
        <v/>
      </c>
      <c r="E21" s="11">
        <f>INDEX(MoM!$G$5:$AH$129,MATCH($A21,MoM!$D$5:$D$129,0),MATCH(E$6,MoM!$G$4:$AH$4,0))</f>
        <v>0.334448160535117</v>
      </c>
      <c r="F21" s="11">
        <f>INDEX(MoM!$G$5:$AH$129,MATCH($A21,MoM!$D$5:$D$129,0),MATCH(F$6,MoM!$G$4:$AH$4,0))</f>
        <v>0.956215400100657</v>
      </c>
      <c r="G21" s="11">
        <f>INDEX(MoM!$G$5:$AH$129,MATCH($A21,MoM!$D$5:$D$129,0),MATCH(G$6,MoM!$G$4:$AH$4,0))</f>
        <v>-1.67785234899329</v>
      </c>
      <c r="H21" s="11">
        <f>INDEX(MoM!$G$5:$AH$129,MATCH($A21,MoM!$D$5:$D$129,0),MATCH(H$6,MoM!$G$4:$AH$4,0))</f>
        <v>0.124610591900304</v>
      </c>
      <c r="I21" s="11">
        <f>INDEX(MoM!$G$5:$AH$129,MATCH($A21,MoM!$D$5:$D$129,0),MATCH(I$6,MoM!$G$4:$AH$4,0))</f>
        <v>0.108283703302662</v>
      </c>
      <c r="J21" s="11">
        <f>INDEX(MoM!$G$5:$AH$129,MATCH($A21,MoM!$D$5:$D$129,0),MATCH(J$6,MoM!$G$4:$AH$4,0))</f>
        <v>0</v>
      </c>
      <c r="K21" s="11">
        <f>INDEX(MoM!$G$5:$AH$129,MATCH($A21,MoM!$D$5:$D$129,0),MATCH(K$6,MoM!$G$4:$AH$4,0))</f>
        <v>-2.63912794033277</v>
      </c>
      <c r="L21" s="11">
        <f>INDEX(MoM!$G$5:$AH$129,MATCH($A21,MoM!$D$5:$D$129,0),MATCH(L$6,MoM!$G$4:$AH$4,0))</f>
        <v>-0.12202562538134</v>
      </c>
      <c r="M21" s="11">
        <f>INDEX(MoM!$G$5:$AH$129,MATCH($A21,MoM!$D$5:$D$129,0),MATCH(M$6,MoM!$G$4:$AH$4,0))</f>
        <v>-0.916666666666662</v>
      </c>
      <c r="N21" s="11">
        <f>INDEX(MoM!$G$5:$AH$129,MATCH($A21,MoM!$D$5:$D$129,0),MATCH(N$6,MoM!$G$4:$AH$4,0))</f>
        <v>1.27832655432889</v>
      </c>
      <c r="O21" s="11">
        <f>INDEX(MoM!$G$5:$AH$129,MATCH($A21,MoM!$D$5:$D$129,0),MATCH(O$6,MoM!$G$4:$AH$4,0))</f>
        <v>0.243457090687752</v>
      </c>
      <c r="P21" s="11">
        <f>INDEX(MoM!$G$5:$AH$129,MATCH($A21,MoM!$D$5:$D$129,0),MATCH(P$6,MoM!$G$4:$AH$4,0))</f>
        <v>0.394811054709525</v>
      </c>
      <c r="Q21" s="11">
        <f>INDEX(MoM!$G$5:$AH$129,MATCH($A21,MoM!$D$5:$D$129,0),MATCH(Q$6,MoM!$G$4:$AH$4,0))</f>
        <v>-0.120192307692318</v>
      </c>
      <c r="R21" s="11">
        <f>INDEX(MoM!$G$5:$AH$129,MATCH($A21,MoM!$D$5:$D$129,0),MATCH(R$6,MoM!$G$4:$AH$4,0))</f>
        <v>0.312174817898035</v>
      </c>
      <c r="S21" s="11">
        <f>INDEX(MoM!$G$5:$AH$129,MATCH($A21,MoM!$D$5:$D$129,0),MATCH(S$6,MoM!$G$4:$AH$4,0))</f>
        <v>0.529723366686289</v>
      </c>
      <c r="T21" s="11">
        <f>INDEX(MoM!$G$5:$AH$129,MATCH($A21,MoM!$D$5:$D$129,0),MATCH(T$6,MoM!$G$4:$AH$4,0))</f>
        <v>1.05787181082764</v>
      </c>
      <c r="U21" s="11">
        <f>INDEX(MoM!$G$5:$AH$129,MATCH($A21,MoM!$D$5:$D$129,0),MATCH(U$6,MoM!$G$4:$AH$4,0))</f>
        <v>0.65281899109792</v>
      </c>
      <c r="V21" s="11">
        <f>INDEX(MoM!$G$5:$AH$129,MATCH($A21,MoM!$D$5:$D$129,0),MATCH(V$6,MoM!$G$4:$AH$4,0))</f>
        <v>0.60790273556231</v>
      </c>
      <c r="W21" s="11">
        <f>INDEX(MoM!$G$5:$AH$129,MATCH($A21,MoM!$D$5:$D$129,0),MATCH(W$6,MoM!$G$4:$AH$4,0))</f>
        <v>0.913520097442144</v>
      </c>
      <c r="X21" s="11">
        <f>INDEX(MoM!$G$5:$AH$129,MATCH($A21,MoM!$D$5:$D$129,0),MATCH(X$6,MoM!$G$4:$AH$4,0))</f>
        <v>0.434512725015529</v>
      </c>
      <c r="Y21" s="11">
        <f>INDEX(MoM!$G$5:$AH$129,MATCH($A21,MoM!$D$5:$D$129,0),MATCH(Y$6,MoM!$G$4:$AH$4,0))</f>
        <v>0.466744457409558</v>
      </c>
      <c r="Z21" s="11">
        <f>INDEX(MoM!$G$5:$AH$129,MATCH($A21,MoM!$D$5:$D$129,0),MATCH(Z$6,MoM!$G$4:$AH$4,0))</f>
        <v>0.255591054313103</v>
      </c>
      <c r="AA21" s="11">
        <f>INDEX(MoM!$G$5:$AH$129,MATCH($A21,MoM!$D$5:$D$129,0),MATCH(AA$6,MoM!$G$4:$AH$4,0))</f>
        <v>0.558312655086852</v>
      </c>
      <c r="AB21" s="11">
        <f>INDEX(MoM!$G$5:$AH$129,MATCH($A21,MoM!$D$5:$D$129,0),MATCH(AB$6,MoM!$G$4:$AH$4,0))</f>
        <v>0.42501517911355</v>
      </c>
      <c r="AC21" s="11">
        <f>INDEX(MoM!$G$5:$AH$129,MATCH($A21,MoM!$D$5:$D$129,0),MATCH(AC$6,MoM!$G$4:$AH$4,0))</f>
        <v>0.858895705521476</v>
      </c>
      <c r="AD21" s="11">
        <f>INDEX(MoM!$G$5:$AH$129,MATCH($A21,MoM!$D$5:$D$129,0),MATCH(AD$6,MoM!$G$4:$AH$4,0))</f>
        <v>0.491702519975422</v>
      </c>
      <c r="AE21" s="11">
        <f>INDEX(MoM!$G$5:$AH$129,MATCH($A21,MoM!$D$5:$D$129,0),MATCH(AE$6,MoM!$G$4:$AH$4,0))</f>
        <v>0.241400120700064</v>
      </c>
      <c r="AF21" s="11">
        <f>INDEX(MoM!$G$5:$AH$129,MATCH($A21,MoM!$D$5:$D$129,0),MATCH(AF$6,MoM!$G$4:$AH$4,0))</f>
        <v>-0.140154169586532</v>
      </c>
    </row>
    <row r="22" spans="1:32">
      <c r="A22" s="9">
        <v>44621</v>
      </c>
      <c r="B22" s="10">
        <v>112.87</v>
      </c>
      <c r="C22" s="6" t="s">
        <v>162</v>
      </c>
      <c r="D22" s="12" t="str">
        <f t="shared" si="1"/>
        <v/>
      </c>
      <c r="E22" s="11">
        <f>INDEX(MoM!$G$5:$AH$129,MATCH($A22,MoM!$D$5:$D$129,0),MATCH(E$6,MoM!$G$4:$AH$4,0))</f>
        <v>0.866666666666674</v>
      </c>
      <c r="F22" s="11">
        <f>INDEX(MoM!$G$5:$AH$129,MATCH($A22,MoM!$D$5:$D$129,0),MATCH(F$6,MoM!$G$4:$AH$4,0))</f>
        <v>5.03489531405782</v>
      </c>
      <c r="G22" s="11">
        <f>INDEX(MoM!$G$5:$AH$129,MATCH($A22,MoM!$D$5:$D$129,0),MATCH(G$6,MoM!$G$4:$AH$4,0))</f>
        <v>-4.55062571103527</v>
      </c>
      <c r="H22" s="11">
        <f>INDEX(MoM!$G$5:$AH$129,MATCH($A22,MoM!$D$5:$D$129,0),MATCH(H$6,MoM!$G$4:$AH$4,0))</f>
        <v>0.933416303671438</v>
      </c>
      <c r="I22" s="11">
        <f>INDEX(MoM!$G$5:$AH$129,MATCH($A22,MoM!$D$5:$D$129,0),MATCH(I$6,MoM!$G$4:$AH$4,0))</f>
        <v>5.24607896160086</v>
      </c>
      <c r="J22" s="11">
        <f>INDEX(MoM!$G$5:$AH$129,MATCH($A22,MoM!$D$5:$D$129,0),MATCH(J$6,MoM!$G$4:$AH$4,0))</f>
        <v>2.53741054001302</v>
      </c>
      <c r="K22" s="11">
        <f>INDEX(MoM!$G$5:$AH$129,MATCH($A22,MoM!$D$5:$D$129,0),MATCH(K$6,MoM!$G$4:$AH$4,0))</f>
        <v>-1.64997053624041</v>
      </c>
      <c r="L22" s="11">
        <f>INDEX(MoM!$G$5:$AH$129,MATCH($A22,MoM!$D$5:$D$129,0),MATCH(L$6,MoM!$G$4:$AH$4,0))</f>
        <v>0.122174709835075</v>
      </c>
      <c r="M22" s="11">
        <f>INDEX(MoM!$G$5:$AH$129,MATCH($A22,MoM!$D$5:$D$129,0),MATCH(M$6,MoM!$G$4:$AH$4,0))</f>
        <v>-0.0841042893187624</v>
      </c>
      <c r="N22" s="11">
        <f>INDEX(MoM!$G$5:$AH$129,MATCH($A22,MoM!$D$5:$D$129,0),MATCH(N$6,MoM!$G$4:$AH$4,0))</f>
        <v>1.77854274239816</v>
      </c>
      <c r="O22" s="11">
        <f>INDEX(MoM!$G$5:$AH$129,MATCH($A22,MoM!$D$5:$D$129,0),MATCH(O$6,MoM!$G$4:$AH$4,0))</f>
        <v>0.364298724954477</v>
      </c>
      <c r="P22" s="11">
        <f>INDEX(MoM!$G$5:$AH$129,MATCH($A22,MoM!$D$5:$D$129,0),MATCH(P$6,MoM!$G$4:$AH$4,0))</f>
        <v>0.730337078651692</v>
      </c>
      <c r="Q22" s="11">
        <f>INDEX(MoM!$G$5:$AH$129,MATCH($A22,MoM!$D$5:$D$129,0),MATCH(Q$6,MoM!$G$4:$AH$4,0))</f>
        <v>1.32370637785801</v>
      </c>
      <c r="R22" s="11">
        <f>INDEX(MoM!$G$5:$AH$129,MATCH($A22,MoM!$D$5:$D$129,0),MATCH(R$6,MoM!$G$4:$AH$4,0))</f>
        <v>0.4668049792531</v>
      </c>
      <c r="S22" s="11">
        <f>INDEX(MoM!$G$5:$AH$129,MATCH($A22,MoM!$D$5:$D$129,0),MATCH(S$6,MoM!$G$4:$AH$4,0))</f>
        <v>0.761124121779849</v>
      </c>
      <c r="T22" s="11">
        <f>INDEX(MoM!$G$5:$AH$129,MATCH($A22,MoM!$D$5:$D$129,0),MATCH(T$6,MoM!$G$4:$AH$4,0))</f>
        <v>1.35467980295566</v>
      </c>
      <c r="U22" s="11">
        <f>INDEX(MoM!$G$5:$AH$129,MATCH($A22,MoM!$D$5:$D$129,0),MATCH(U$6,MoM!$G$4:$AH$4,0))</f>
        <v>0.884433962264151</v>
      </c>
      <c r="V22" s="11">
        <f>INDEX(MoM!$G$5:$AH$129,MATCH($A22,MoM!$D$5:$D$129,0),MATCH(V$6,MoM!$G$4:$AH$4,0))</f>
        <v>-0.120845921450144</v>
      </c>
      <c r="W22" s="11">
        <f>INDEX(MoM!$G$5:$AH$129,MATCH($A22,MoM!$D$5:$D$129,0),MATCH(W$6,MoM!$G$4:$AH$4,0))</f>
        <v>0.905250452625226</v>
      </c>
      <c r="X22" s="11">
        <f>INDEX(MoM!$G$5:$AH$129,MATCH($A22,MoM!$D$5:$D$129,0),MATCH(X$6,MoM!$G$4:$AH$4,0))</f>
        <v>0.618046971569839</v>
      </c>
      <c r="Y22" s="11">
        <f>INDEX(MoM!$G$5:$AH$129,MATCH($A22,MoM!$D$5:$D$129,0),MATCH(Y$6,MoM!$G$4:$AH$4,0))</f>
        <v>0.464576074332179</v>
      </c>
      <c r="Z22" s="11">
        <f>INDEX(MoM!$G$5:$AH$129,MATCH($A22,MoM!$D$5:$D$129,0),MATCH(Z$6,MoM!$G$4:$AH$4,0))</f>
        <v>0.637348629700446</v>
      </c>
      <c r="AA22" s="11">
        <f>INDEX(MoM!$G$5:$AH$129,MATCH($A22,MoM!$D$5:$D$129,0),MATCH(AA$6,MoM!$G$4:$AH$4,0))</f>
        <v>0.740283775447265</v>
      </c>
      <c r="AB22" s="11">
        <f>INDEX(MoM!$G$5:$AH$129,MATCH($A22,MoM!$D$5:$D$129,0),MATCH(AB$6,MoM!$G$4:$AH$4,0))</f>
        <v>0.362756952841593</v>
      </c>
      <c r="AC22" s="11">
        <f>INDEX(MoM!$G$5:$AH$129,MATCH($A22,MoM!$D$5:$D$129,0),MATCH(AC$6,MoM!$G$4:$AH$4,0))</f>
        <v>1.70316301703162</v>
      </c>
      <c r="AD22" s="11">
        <f>INDEX(MoM!$G$5:$AH$129,MATCH($A22,MoM!$D$5:$D$129,0),MATCH(AD$6,MoM!$G$4:$AH$4,0))</f>
        <v>0.672782874617734</v>
      </c>
      <c r="AE22" s="11">
        <f>INDEX(MoM!$G$5:$AH$129,MATCH($A22,MoM!$D$5:$D$129,0),MATCH(AE$6,MoM!$G$4:$AH$4,0))</f>
        <v>0.963275135460562</v>
      </c>
      <c r="AF22" s="11">
        <f>INDEX(MoM!$G$5:$AH$129,MATCH($A22,MoM!$D$5:$D$129,0),MATCH(AF$6,MoM!$G$4:$AH$4,0))</f>
        <v>1.04260651629072</v>
      </c>
    </row>
    <row r="23" spans="1:32">
      <c r="A23" s="9">
        <v>44652</v>
      </c>
      <c r="B23" s="10">
        <v>102.97</v>
      </c>
      <c r="C23" s="6" t="s">
        <v>163</v>
      </c>
      <c r="D23" s="12">
        <f t="shared" si="1"/>
        <v>-8.77115265349518</v>
      </c>
      <c r="E23" s="11">
        <f>INDEX(MoM!$G$5:$AH$129,MATCH($A23,MoM!$D$5:$D$129,0),MATCH(E$6,MoM!$G$4:$AH$4,0))</f>
        <v>1.05750165234633</v>
      </c>
      <c r="F23" s="11">
        <f>INDEX(MoM!$G$5:$AH$129,MATCH($A23,MoM!$D$5:$D$129,0),MATCH(F$6,MoM!$G$4:$AH$4,0))</f>
        <v>0.522069292833423</v>
      </c>
      <c r="G23" s="11">
        <f>INDEX(MoM!$G$5:$AH$129,MATCH($A23,MoM!$D$5:$D$129,0),MATCH(G$6,MoM!$G$4:$AH$4,0))</f>
        <v>-1.96662693682957</v>
      </c>
      <c r="H23" s="11">
        <f>INDEX(MoM!$G$5:$AH$129,MATCH($A23,MoM!$D$5:$D$129,0),MATCH(H$6,MoM!$G$4:$AH$4,0))</f>
        <v>1.04808877928484</v>
      </c>
      <c r="I23" s="11">
        <f>INDEX(MoM!$G$5:$AH$129,MATCH($A23,MoM!$D$5:$D$129,0),MATCH(I$6,MoM!$G$4:$AH$4,0))</f>
        <v>2.51798561151079</v>
      </c>
      <c r="J23" s="11">
        <f>INDEX(MoM!$G$5:$AH$129,MATCH($A23,MoM!$D$5:$D$129,0),MATCH(J$6,MoM!$G$4:$AH$4,0))</f>
        <v>9.51776649746193</v>
      </c>
      <c r="K23" s="11">
        <f>INDEX(MoM!$G$5:$AH$129,MATCH($A23,MoM!$D$5:$D$129,0),MATCH(K$6,MoM!$G$4:$AH$4,0))</f>
        <v>-0.419412822049141</v>
      </c>
      <c r="L23" s="11">
        <f>INDEX(MoM!$G$5:$AH$129,MATCH($A23,MoM!$D$5:$D$129,0),MATCH(L$6,MoM!$G$4:$AH$4,0))</f>
        <v>0.48810250152531</v>
      </c>
      <c r="M23" s="11">
        <f>INDEX(MoM!$G$5:$AH$129,MATCH($A23,MoM!$D$5:$D$129,0),MATCH(M$6,MoM!$G$4:$AH$4,0))</f>
        <v>0.168350168350171</v>
      </c>
      <c r="N23" s="11">
        <f>INDEX(MoM!$G$5:$AH$129,MATCH($A23,MoM!$D$5:$D$129,0),MATCH(N$6,MoM!$G$4:$AH$4,0))</f>
        <v>2.19842164599775</v>
      </c>
      <c r="O23" s="11">
        <f>INDEX(MoM!$G$5:$AH$129,MATCH($A23,MoM!$D$5:$D$129,0),MATCH(O$6,MoM!$G$4:$AH$4,0))</f>
        <v>0.544464609800349</v>
      </c>
      <c r="P23" s="11">
        <f>INDEX(MoM!$G$5:$AH$129,MATCH($A23,MoM!$D$5:$D$129,0),MATCH(P$6,MoM!$G$4:$AH$4,0))</f>
        <v>0.89235917456776</v>
      </c>
      <c r="Q23" s="11">
        <f>INDEX(MoM!$G$5:$AH$129,MATCH($A23,MoM!$D$5:$D$129,0),MATCH(Q$6,MoM!$G$4:$AH$4,0))</f>
        <v>1.42517814726841</v>
      </c>
      <c r="R23" s="11">
        <f>INDEX(MoM!$G$5:$AH$129,MATCH($A23,MoM!$D$5:$D$129,0),MATCH(R$6,MoM!$G$4:$AH$4,0))</f>
        <v>0.10325245224575</v>
      </c>
      <c r="S23" s="11">
        <f>INDEX(MoM!$G$5:$AH$129,MATCH($A23,MoM!$D$5:$D$129,0),MATCH(S$6,MoM!$G$4:$AH$4,0))</f>
        <v>1.04590354445091</v>
      </c>
      <c r="T23" s="11">
        <f>INDEX(MoM!$G$5:$AH$129,MATCH($A23,MoM!$D$5:$D$129,0),MATCH(T$6,MoM!$G$4:$AH$4,0))</f>
        <v>1.1543134872418</v>
      </c>
      <c r="U23" s="11">
        <f>INDEX(MoM!$G$5:$AH$129,MATCH($A23,MoM!$D$5:$D$129,0),MATCH(U$6,MoM!$G$4:$AH$4,0))</f>
        <v>0.993571011104627</v>
      </c>
      <c r="V23" s="11">
        <f>INDEX(MoM!$G$5:$AH$129,MATCH($A23,MoM!$D$5:$D$129,0),MATCH(V$6,MoM!$G$4:$AH$4,0))</f>
        <v>1.02843315184512</v>
      </c>
      <c r="W23" s="11">
        <f>INDEX(MoM!$G$5:$AH$129,MATCH($A23,MoM!$D$5:$D$129,0),MATCH(W$6,MoM!$G$4:$AH$4,0))</f>
        <v>2.99043062200957</v>
      </c>
      <c r="X23" s="11">
        <f>INDEX(MoM!$G$5:$AH$129,MATCH($A23,MoM!$D$5:$D$129,0),MATCH(X$6,MoM!$G$4:$AH$4,0))</f>
        <v>0.73710073710073</v>
      </c>
      <c r="Y23" s="11">
        <f>INDEX(MoM!$G$5:$AH$129,MATCH($A23,MoM!$D$5:$D$129,0),MATCH(Y$6,MoM!$G$4:$AH$4,0))</f>
        <v>0.578034682080925</v>
      </c>
      <c r="Z23" s="11">
        <f>INDEX(MoM!$G$5:$AH$129,MATCH($A23,MoM!$D$5:$D$129,0),MATCH(Z$6,MoM!$G$4:$AH$4,0))</f>
        <v>2.97656744775173</v>
      </c>
      <c r="AA23" s="11">
        <f>INDEX(MoM!$G$5:$AH$129,MATCH($A23,MoM!$D$5:$D$129,0),MATCH(AA$6,MoM!$G$4:$AH$4,0))</f>
        <v>0.673606858542556</v>
      </c>
      <c r="AB23" s="11">
        <f>INDEX(MoM!$G$5:$AH$129,MATCH($A23,MoM!$D$5:$D$129,0),MATCH(AB$6,MoM!$G$4:$AH$4,0))</f>
        <v>0.542168674698799</v>
      </c>
      <c r="AC23" s="11">
        <f>INDEX(MoM!$G$5:$AH$129,MATCH($A23,MoM!$D$5:$D$129,0),MATCH(AC$6,MoM!$G$4:$AH$4,0))</f>
        <v>0.956937799043076</v>
      </c>
      <c r="AD23" s="11">
        <f>INDEX(MoM!$G$5:$AH$129,MATCH($A23,MoM!$D$5:$D$129,0),MATCH(AD$6,MoM!$G$4:$AH$4,0))</f>
        <v>1.33657351154315</v>
      </c>
      <c r="AE23" s="11">
        <f>INDEX(MoM!$G$5:$AH$129,MATCH($A23,MoM!$D$5:$D$129,0),MATCH(AE$6,MoM!$G$4:$AH$4,0))</f>
        <v>1.43112701252236</v>
      </c>
      <c r="AF23" s="11">
        <f>INDEX(MoM!$G$5:$AH$129,MATCH($A23,MoM!$D$5:$D$129,0),MATCH(AF$6,MoM!$G$4:$AH$4,0))</f>
        <v>1.37414426034329</v>
      </c>
    </row>
    <row r="24" spans="1:32">
      <c r="A24" s="9">
        <v>44682</v>
      </c>
      <c r="B24" s="10">
        <v>109.51</v>
      </c>
      <c r="C24" s="6" t="s">
        <v>164</v>
      </c>
      <c r="D24" s="12">
        <f t="shared" si="1"/>
        <v>6.35136447508984</v>
      </c>
      <c r="E24" s="11">
        <f>INDEX(MoM!$G$5:$AH$129,MATCH($A24,MoM!$D$5:$D$129,0),MATCH(E$6,MoM!$G$4:$AH$4,0))</f>
        <v>0.784826684107252</v>
      </c>
      <c r="F24" s="11">
        <f>INDEX(MoM!$G$5:$AH$129,MATCH($A24,MoM!$D$5:$D$129,0),MATCH(F$6,MoM!$G$4:$AH$4,0))</f>
        <v>2.4551463644948</v>
      </c>
      <c r="G24" s="11">
        <f>INDEX(MoM!$G$5:$AH$129,MATCH($A24,MoM!$D$5:$D$129,0),MATCH(G$6,MoM!$G$4:$AH$4,0))</f>
        <v>-1.27659574468085</v>
      </c>
      <c r="H24" s="11">
        <f>INDEX(MoM!$G$5:$AH$129,MATCH($A24,MoM!$D$5:$D$129,0),MATCH(H$6,MoM!$G$4:$AH$4,0))</f>
        <v>0.61012812690665</v>
      </c>
      <c r="I24" s="11">
        <f>INDEX(MoM!$G$5:$AH$129,MATCH($A24,MoM!$D$5:$D$129,0),MATCH(I$6,MoM!$G$4:$AH$4,0))</f>
        <v>1.45363408521304</v>
      </c>
      <c r="J24" s="11">
        <f>INDEX(MoM!$G$5:$AH$129,MATCH($A24,MoM!$D$5:$D$129,0),MATCH(J$6,MoM!$G$4:$AH$4,0))</f>
        <v>-0.926998841251445</v>
      </c>
      <c r="K24" s="11">
        <f>INDEX(MoM!$G$5:$AH$129,MATCH($A24,MoM!$D$5:$D$129,0),MATCH(K$6,MoM!$G$4:$AH$4,0))</f>
        <v>5.2346570397112</v>
      </c>
      <c r="L24" s="11">
        <f>INDEX(MoM!$G$5:$AH$129,MATCH($A24,MoM!$D$5:$D$129,0),MATCH(L$6,MoM!$G$4:$AH$4,0))</f>
        <v>0</v>
      </c>
      <c r="M24" s="11">
        <f>INDEX(MoM!$G$5:$AH$129,MATCH($A24,MoM!$D$5:$D$129,0),MATCH(M$6,MoM!$G$4:$AH$4,0))</f>
        <v>0.58823529411765</v>
      </c>
      <c r="N24" s="11">
        <f>INDEX(MoM!$G$5:$AH$129,MATCH($A24,MoM!$D$5:$D$129,0),MATCH(N$6,MoM!$G$4:$AH$4,0))</f>
        <v>1.98565912851627</v>
      </c>
      <c r="O24" s="11">
        <f>INDEX(MoM!$G$5:$AH$129,MATCH($A24,MoM!$D$5:$D$129,0),MATCH(O$6,MoM!$G$4:$AH$4,0))</f>
        <v>0.541516245487368</v>
      </c>
      <c r="P24" s="11">
        <f>INDEX(MoM!$G$5:$AH$129,MATCH($A24,MoM!$D$5:$D$129,0),MATCH(P$6,MoM!$G$4:$AH$4,0))</f>
        <v>0.884466556108344</v>
      </c>
      <c r="Q24" s="11">
        <f>INDEX(MoM!$G$5:$AH$129,MATCH($A24,MoM!$D$5:$D$129,0),MATCH(Q$6,MoM!$G$4:$AH$4,0))</f>
        <v>1.46370023419204</v>
      </c>
      <c r="R24" s="11">
        <f>INDEX(MoM!$G$5:$AH$129,MATCH($A24,MoM!$D$5:$D$129,0),MATCH(R$6,MoM!$G$4:$AH$4,0))</f>
        <v>0.103145951521397</v>
      </c>
      <c r="S24" s="11">
        <f>INDEX(MoM!$G$5:$AH$129,MATCH($A24,MoM!$D$5:$D$129,0),MATCH(S$6,MoM!$G$4:$AH$4,0))</f>
        <v>0.977573317998843</v>
      </c>
      <c r="T24" s="11">
        <f>INDEX(MoM!$G$5:$AH$129,MATCH($A24,MoM!$D$5:$D$129,0),MATCH(T$6,MoM!$G$4:$AH$4,0))</f>
        <v>1.14114114114114</v>
      </c>
      <c r="U24" s="11">
        <f>INDEX(MoM!$G$5:$AH$129,MATCH($A24,MoM!$D$5:$D$129,0),MATCH(U$6,MoM!$G$4:$AH$4,0))</f>
        <v>1.04166666666666</v>
      </c>
      <c r="V24" s="11">
        <f>INDEX(MoM!$G$5:$AH$129,MATCH($A24,MoM!$D$5:$D$129,0),MATCH(V$6,MoM!$G$4:$AH$4,0))</f>
        <v>0.29940119760479</v>
      </c>
      <c r="W24" s="11">
        <f>INDEX(MoM!$G$5:$AH$129,MATCH($A24,MoM!$D$5:$D$129,0),MATCH(W$6,MoM!$G$4:$AH$4,0))</f>
        <v>1.39372822299652</v>
      </c>
      <c r="X24" s="11">
        <f>INDEX(MoM!$G$5:$AH$129,MATCH($A24,MoM!$D$5:$D$129,0),MATCH(X$6,MoM!$G$4:$AH$4,0))</f>
        <v>0.731707317073164</v>
      </c>
      <c r="Y24" s="11">
        <f>INDEX(MoM!$G$5:$AH$129,MATCH($A24,MoM!$D$5:$D$129,0),MATCH(Y$6,MoM!$G$4:$AH$4,0))</f>
        <v>0.459770114942535</v>
      </c>
      <c r="Z24" s="11">
        <f>INDEX(MoM!$G$5:$AH$129,MATCH($A24,MoM!$D$5:$D$129,0),MATCH(Z$6,MoM!$G$4:$AH$4,0))</f>
        <v>0.246002460024604</v>
      </c>
      <c r="AA24" s="11">
        <f>INDEX(MoM!$G$5:$AH$129,MATCH($A24,MoM!$D$5:$D$129,0),MATCH(AA$6,MoM!$G$4:$AH$4,0))</f>
        <v>0.425790754257901</v>
      </c>
      <c r="AB24" s="11">
        <f>INDEX(MoM!$G$5:$AH$129,MATCH($A24,MoM!$D$5:$D$129,0),MATCH(AB$6,MoM!$G$4:$AH$4,0))</f>
        <v>0.599161174355902</v>
      </c>
      <c r="AC24" s="11">
        <f>INDEX(MoM!$G$5:$AH$129,MATCH($A24,MoM!$D$5:$D$129,0),MATCH(AC$6,MoM!$G$4:$AH$4,0))</f>
        <v>-0.236966824644553</v>
      </c>
      <c r="AD24" s="11">
        <f>INDEX(MoM!$G$5:$AH$129,MATCH($A24,MoM!$D$5:$D$129,0),MATCH(AD$6,MoM!$G$4:$AH$4,0))</f>
        <v>0.419664268585125</v>
      </c>
      <c r="AE24" s="11">
        <f>INDEX(MoM!$G$5:$AH$129,MATCH($A24,MoM!$D$5:$D$129,0),MATCH(AE$6,MoM!$G$4:$AH$4,0))</f>
        <v>0.940623162845382</v>
      </c>
      <c r="AF24" s="11">
        <f>INDEX(MoM!$G$5:$AH$129,MATCH($A24,MoM!$D$5:$D$129,0),MATCH(AF$6,MoM!$G$4:$AH$4,0))</f>
        <v>1.08147785661855</v>
      </c>
    </row>
    <row r="25" spans="1:32">
      <c r="A25" s="9">
        <v>44713</v>
      </c>
      <c r="B25" s="10"/>
      <c r="D25" s="12" t="str">
        <f t="shared" si="1"/>
        <v/>
      </c>
      <c r="E25" s="11">
        <f>INDEX(MoM!$G$5:$AH$129,MATCH($A25,MoM!$D$5:$D$129,0),MATCH(E$6,MoM!$G$4:$AH$4,0))</f>
        <v>0.584036340038939</v>
      </c>
      <c r="F25" s="11">
        <f>INDEX(MoM!$G$5:$AH$129,MATCH($A25,MoM!$D$5:$D$129,0),MATCH(F$6,MoM!$G$4:$AH$4,0))</f>
        <v>1.10599078341014</v>
      </c>
      <c r="G25" s="11">
        <f>INDEX(MoM!$G$5:$AH$129,MATCH($A25,MoM!$D$5:$D$129,0),MATCH(G$6,MoM!$G$4:$AH$4,0))</f>
        <v>5.17241379310345</v>
      </c>
      <c r="H25" s="11">
        <f>INDEX(MoM!$G$5:$AH$129,MATCH($A25,MoM!$D$5:$D$129,0),MATCH(H$6,MoM!$G$4:$AH$4,0))</f>
        <v>0.545785324439057</v>
      </c>
      <c r="I25" s="11">
        <f>INDEX(MoM!$G$5:$AH$129,MATCH($A25,MoM!$D$5:$D$129,0),MATCH(I$6,MoM!$G$4:$AH$4,0))</f>
        <v>-0.741106719367589</v>
      </c>
      <c r="J25" s="11">
        <f>INDEX(MoM!$G$5:$AH$129,MATCH($A25,MoM!$D$5:$D$129,0),MATCH(J$6,MoM!$G$4:$AH$4,0))</f>
        <v>-0.760233918128662</v>
      </c>
      <c r="K25" s="11">
        <f>INDEX(MoM!$G$5:$AH$129,MATCH($A25,MoM!$D$5:$D$129,0),MATCH(K$6,MoM!$G$4:$AH$4,0))</f>
        <v>4.23098913664952</v>
      </c>
      <c r="L25" s="11">
        <f>INDEX(MoM!$G$5:$AH$129,MATCH($A25,MoM!$D$5:$D$129,0),MATCH(L$6,MoM!$G$4:$AH$4,0))</f>
        <v>-0.242865816636295</v>
      </c>
      <c r="M25" s="11">
        <f>INDEX(MoM!$G$5:$AH$129,MATCH($A25,MoM!$D$5:$D$129,0),MATCH(M$6,MoM!$G$4:$AH$4,0))</f>
        <v>0.167084377610696</v>
      </c>
      <c r="N25" s="11">
        <f>INDEX(MoM!$G$5:$AH$129,MATCH($A25,MoM!$D$5:$D$129,0),MATCH(N$6,MoM!$G$4:$AH$4,0))</f>
        <v>1.18983234180638</v>
      </c>
      <c r="O25" s="11">
        <f>INDEX(MoM!$G$5:$AH$129,MATCH($A25,MoM!$D$5:$D$129,0),MATCH(O$6,MoM!$G$4:$AH$4,0))</f>
        <v>0.478755236385405</v>
      </c>
      <c r="P25" s="11">
        <f>INDEX(MoM!$G$5:$AH$129,MATCH($A25,MoM!$D$5:$D$129,0),MATCH(P$6,MoM!$G$4:$AH$4,0))</f>
        <v>0.767123287671236</v>
      </c>
      <c r="Q25" s="11">
        <f>INDEX(MoM!$G$5:$AH$129,MATCH($A25,MoM!$D$5:$D$129,0),MATCH(Q$6,MoM!$G$4:$AH$4,0))</f>
        <v>0.923254472013845</v>
      </c>
      <c r="R25" s="11">
        <f>INDEX(MoM!$G$5:$AH$129,MATCH($A25,MoM!$D$5:$D$129,0),MATCH(R$6,MoM!$G$4:$AH$4,0))</f>
        <v>0.103039670273064</v>
      </c>
      <c r="S25" s="11">
        <f>INDEX(MoM!$G$5:$AH$129,MATCH($A25,MoM!$D$5:$D$129,0),MATCH(S$6,MoM!$G$4:$AH$4,0))</f>
        <v>0.854214123006834</v>
      </c>
      <c r="T25" s="11">
        <f>INDEX(MoM!$G$5:$AH$129,MATCH($A25,MoM!$D$5:$D$129,0),MATCH(T$6,MoM!$G$4:$AH$4,0))</f>
        <v>0.890736342042755</v>
      </c>
      <c r="U25" s="11">
        <f>INDEX(MoM!$G$5:$AH$129,MATCH($A25,MoM!$D$5:$D$129,0),MATCH(U$6,MoM!$G$4:$AH$4,0))</f>
        <v>0.80183276059565</v>
      </c>
      <c r="V25" s="11">
        <f>INDEX(MoM!$G$5:$AH$129,MATCH($A25,MoM!$D$5:$D$129,0),MATCH(V$6,MoM!$G$4:$AH$4,0))</f>
        <v>-0.417910447761187</v>
      </c>
      <c r="W25" s="11">
        <f>INDEX(MoM!$G$5:$AH$129,MATCH($A25,MoM!$D$5:$D$129,0),MATCH(W$6,MoM!$G$4:$AH$4,0))</f>
        <v>0.80183276059565</v>
      </c>
      <c r="X25" s="11">
        <f>INDEX(MoM!$G$5:$AH$129,MATCH($A25,MoM!$D$5:$D$129,0),MATCH(X$6,MoM!$G$4:$AH$4,0))</f>
        <v>0.726392251815991</v>
      </c>
      <c r="Y25" s="11">
        <f>INDEX(MoM!$G$5:$AH$129,MATCH($A25,MoM!$D$5:$D$129,0),MATCH(Y$6,MoM!$G$4:$AH$4,0))</f>
        <v>0.343249427917617</v>
      </c>
      <c r="Z25" s="11">
        <f>INDEX(MoM!$G$5:$AH$129,MATCH($A25,MoM!$D$5:$D$129,0),MATCH(Z$6,MoM!$G$4:$AH$4,0))</f>
        <v>-1.16564417177914</v>
      </c>
      <c r="AA25" s="11">
        <f>INDEX(MoM!$G$5:$AH$129,MATCH($A25,MoM!$D$5:$D$129,0),MATCH(AA$6,MoM!$G$4:$AH$4,0))</f>
        <v>0.423985463355552</v>
      </c>
      <c r="AB25" s="11">
        <f>INDEX(MoM!$G$5:$AH$129,MATCH($A25,MoM!$D$5:$D$129,0),MATCH(AB$6,MoM!$G$4:$AH$4,0))</f>
        <v>0.655151876116733</v>
      </c>
      <c r="AC25" s="11">
        <f>INDEX(MoM!$G$5:$AH$129,MATCH($A25,MoM!$D$5:$D$129,0),MATCH(AC$6,MoM!$G$4:$AH$4,0))</f>
        <v>0.593824228028504</v>
      </c>
      <c r="AD25" s="11">
        <f>INDEX(MoM!$G$5:$AH$129,MATCH($A25,MoM!$D$5:$D$129,0),MATCH(AD$6,MoM!$G$4:$AH$4,0))</f>
        <v>0</v>
      </c>
      <c r="AE25" s="11">
        <f>INDEX(MoM!$G$5:$AH$129,MATCH($A25,MoM!$D$5:$D$129,0),MATCH(AE$6,MoM!$G$4:$AH$4,0))</f>
        <v>0.524170064065233</v>
      </c>
      <c r="AF25" s="11">
        <f>INDEX(MoM!$G$5:$AH$129,MATCH($A25,MoM!$D$5:$D$129,0),MATCH(AF$6,MoM!$G$4:$AH$4,0))</f>
        <v>1.03601859024011</v>
      </c>
    </row>
    <row r="26" spans="1:32">
      <c r="A26" s="9">
        <v>44743</v>
      </c>
      <c r="B26" s="10"/>
      <c r="D26" s="12" t="str">
        <f t="shared" si="1"/>
        <v/>
      </c>
      <c r="E26" s="11">
        <f>INDEX(MoM!$G$5:$AH$129,MATCH($A26,MoM!$D$5:$D$129,0),MATCH(E$6,MoM!$G$4:$AH$4,0))</f>
        <v>0.967741935483871</v>
      </c>
      <c r="F26" s="11">
        <f>INDEX(MoM!$G$5:$AH$129,MATCH($A26,MoM!$D$5:$D$129,0),MATCH(F$6,MoM!$G$4:$AH$4,0))</f>
        <v>-2.91704649042844</v>
      </c>
      <c r="G26" s="11">
        <f>INDEX(MoM!$G$5:$AH$129,MATCH($A26,MoM!$D$5:$D$129,0),MATCH(G$6,MoM!$G$4:$AH$4,0))</f>
        <v>2.57611241217797</v>
      </c>
      <c r="H26" s="11">
        <f>INDEX(MoM!$G$5:$AH$129,MATCH($A26,MoM!$D$5:$D$129,0),MATCH(H$6,MoM!$G$4:$AH$4,0))</f>
        <v>0.482509047044622</v>
      </c>
      <c r="I26" s="11">
        <f>INDEX(MoM!$G$5:$AH$129,MATCH($A26,MoM!$D$5:$D$129,0),MATCH(I$6,MoM!$G$4:$AH$4,0))</f>
        <v>-2.53857640617222</v>
      </c>
      <c r="J26" s="11">
        <f>INDEX(MoM!$G$5:$AH$129,MATCH($A26,MoM!$D$5:$D$129,0),MATCH(J$6,MoM!$G$4:$AH$4,0))</f>
        <v>2.65173836181497</v>
      </c>
      <c r="K26" s="11">
        <f>INDEX(MoM!$G$5:$AH$129,MATCH($A26,MoM!$D$5:$D$129,0),MATCH(K$6,MoM!$G$4:$AH$4,0))</f>
        <v>-0.109709270433361</v>
      </c>
      <c r="L26" s="11">
        <f>INDEX(MoM!$G$5:$AH$129,MATCH($A26,MoM!$D$5:$D$129,0),MATCH(L$6,MoM!$G$4:$AH$4,0))</f>
        <v>0</v>
      </c>
      <c r="M26" s="11">
        <f>INDEX(MoM!$G$5:$AH$129,MATCH($A26,MoM!$D$5:$D$129,0),MATCH(M$6,MoM!$G$4:$AH$4,0))</f>
        <v>0.0834028356964089</v>
      </c>
      <c r="N26" s="11">
        <f>INDEX(MoM!$G$5:$AH$129,MATCH($A26,MoM!$D$5:$D$129,0),MATCH(N$6,MoM!$G$4:$AH$4,0))</f>
        <v>1.54997327632283</v>
      </c>
      <c r="O26" s="11">
        <f>INDEX(MoM!$G$5:$AH$129,MATCH($A26,MoM!$D$5:$D$129,0),MATCH(O$6,MoM!$G$4:$AH$4,0))</f>
        <v>0.297796307325789</v>
      </c>
      <c r="P26" s="11">
        <f>INDEX(MoM!$G$5:$AH$129,MATCH($A26,MoM!$D$5:$D$129,0),MATCH(P$6,MoM!$G$4:$AH$4,0))</f>
        <v>0.706905927134303</v>
      </c>
      <c r="Q26" s="11">
        <f>INDEX(MoM!$G$5:$AH$129,MATCH($A26,MoM!$D$5:$D$129,0),MATCH(Q$6,MoM!$G$4:$AH$4,0))</f>
        <v>0.0571755288736388</v>
      </c>
      <c r="R26" s="11">
        <f>INDEX(MoM!$G$5:$AH$129,MATCH($A26,MoM!$D$5:$D$129,0),MATCH(R$6,MoM!$G$4:$AH$4,0))</f>
        <v>0.154400411734423</v>
      </c>
      <c r="S26" s="11">
        <f>INDEX(MoM!$G$5:$AH$129,MATCH($A26,MoM!$D$5:$D$129,0),MATCH(S$6,MoM!$G$4:$AH$4,0))</f>
        <v>0.677583286278948</v>
      </c>
      <c r="T26" s="11">
        <f>INDEX(MoM!$G$5:$AH$129,MATCH($A26,MoM!$D$5:$D$129,0),MATCH(T$6,MoM!$G$4:$AH$4,0))</f>
        <v>0.824014125956448</v>
      </c>
      <c r="U26" s="11">
        <f>INDEX(MoM!$G$5:$AH$129,MATCH($A26,MoM!$D$5:$D$129,0),MATCH(U$6,MoM!$G$4:$AH$4,0))</f>
        <v>0.73863636363637</v>
      </c>
      <c r="V26" s="11">
        <f>INDEX(MoM!$G$5:$AH$129,MATCH($A26,MoM!$D$5:$D$129,0),MATCH(V$6,MoM!$G$4:$AH$4,0))</f>
        <v>0.599520383693046</v>
      </c>
      <c r="W26" s="11">
        <f>INDEX(MoM!$G$5:$AH$129,MATCH($A26,MoM!$D$5:$D$129,0),MATCH(W$6,MoM!$G$4:$AH$4,0))</f>
        <v>2.04545454545454</v>
      </c>
      <c r="X26" s="11">
        <f>INDEX(MoM!$G$5:$AH$129,MATCH($A26,MoM!$D$5:$D$129,0),MATCH(X$6,MoM!$G$4:$AH$4,0))</f>
        <v>0.600961538461538</v>
      </c>
      <c r="Y26" s="11">
        <f>INDEX(MoM!$G$5:$AH$129,MATCH($A26,MoM!$D$5:$D$129,0),MATCH(Y$6,MoM!$G$4:$AH$4,0))</f>
        <v>0.399087799315843</v>
      </c>
      <c r="Z26" s="11">
        <f>INDEX(MoM!$G$5:$AH$129,MATCH($A26,MoM!$D$5:$D$129,0),MATCH(Z$6,MoM!$G$4:$AH$4,0))</f>
        <v>0.310366232153942</v>
      </c>
      <c r="AA26" s="11">
        <f>INDEX(MoM!$G$5:$AH$129,MATCH($A26,MoM!$D$5:$D$129,0),MATCH(AA$6,MoM!$G$4:$AH$4,0))</f>
        <v>0.301568154402895</v>
      </c>
      <c r="AB26" s="11">
        <f>INDEX(MoM!$G$5:$AH$129,MATCH($A26,MoM!$D$5:$D$129,0),MATCH(AB$6,MoM!$G$4:$AH$4,0))</f>
        <v>1.42011834319527</v>
      </c>
      <c r="AC26" s="11">
        <f>INDEX(MoM!$G$5:$AH$129,MATCH($A26,MoM!$D$5:$D$129,0),MATCH(AC$6,MoM!$G$4:$AH$4,0))</f>
        <v>0.177095631641076</v>
      </c>
      <c r="AD26" s="11">
        <f>INDEX(MoM!$G$5:$AH$129,MATCH($A26,MoM!$D$5:$D$129,0),MATCH(AD$6,MoM!$G$4:$AH$4,0))</f>
        <v>0.537313432835824</v>
      </c>
      <c r="AE26" s="11">
        <f>INDEX(MoM!$G$5:$AH$129,MATCH($A26,MoM!$D$5:$D$129,0),MATCH(AE$6,MoM!$G$4:$AH$4,0))</f>
        <v>0.463499420625731</v>
      </c>
      <c r="AF26" s="11">
        <f>INDEX(MoM!$G$5:$AH$129,MATCH($A26,MoM!$D$5:$D$129,0),MATCH(AF$6,MoM!$G$4:$AH$4,0))</f>
        <v>0.206037374221379</v>
      </c>
    </row>
    <row r="27" spans="1:32">
      <c r="A27" s="9">
        <v>44774</v>
      </c>
      <c r="B27" s="10"/>
      <c r="D27" s="12" t="str">
        <f t="shared" si="1"/>
        <v/>
      </c>
      <c r="E27" s="11">
        <f>INDEX(MoM!$G$5:$AH$129,MATCH($A27,MoM!$D$5:$D$129,0),MATCH(E$6,MoM!$G$4:$AH$4,0))</f>
        <v>2.42811501597445</v>
      </c>
      <c r="F27" s="11">
        <f>INDEX(MoM!$G$5:$AH$129,MATCH($A27,MoM!$D$5:$D$129,0),MATCH(F$6,MoM!$G$4:$AH$4,0))</f>
        <v>-3.05164319248826</v>
      </c>
      <c r="G27" s="11">
        <f>INDEX(MoM!$G$5:$AH$129,MATCH($A27,MoM!$D$5:$D$129,0),MATCH(G$6,MoM!$G$4:$AH$4,0))</f>
        <v>-3.42465753424658</v>
      </c>
      <c r="H27" s="11">
        <f>INDEX(MoM!$G$5:$AH$129,MATCH($A27,MoM!$D$5:$D$129,0),MATCH(H$6,MoM!$G$4:$AH$4,0))</f>
        <v>0.900360144057623</v>
      </c>
      <c r="I27" s="11">
        <f>INDEX(MoM!$G$5:$AH$129,MATCH($A27,MoM!$D$5:$D$129,0),MATCH(I$6,MoM!$G$4:$AH$4,0))</f>
        <v>-1.7364657814096</v>
      </c>
      <c r="J27" s="11">
        <f>INDEX(MoM!$G$5:$AH$129,MATCH($A27,MoM!$D$5:$D$129,0),MATCH(J$6,MoM!$G$4:$AH$4,0))</f>
        <v>-0.746268656716408</v>
      </c>
      <c r="K27" s="11">
        <f>INDEX(MoM!$G$5:$AH$129,MATCH($A27,MoM!$D$5:$D$129,0),MATCH(K$6,MoM!$G$4:$AH$4,0))</f>
        <v>2.52608456891817</v>
      </c>
      <c r="L27" s="11">
        <f>INDEX(MoM!$G$5:$AH$129,MATCH($A27,MoM!$D$5:$D$129,0),MATCH(L$6,MoM!$G$4:$AH$4,0))</f>
        <v>1.76506390748629</v>
      </c>
      <c r="M27" s="11">
        <f>INDEX(MoM!$G$5:$AH$129,MATCH($A27,MoM!$D$5:$D$129,0),MATCH(M$6,MoM!$G$4:$AH$4,0))</f>
        <v>0.750000000000005</v>
      </c>
      <c r="N27" s="11">
        <f>INDEX(MoM!$G$5:$AH$129,MATCH($A27,MoM!$D$5:$D$129,0),MATCH(N$6,MoM!$G$4:$AH$4,0))</f>
        <v>1.89473684210526</v>
      </c>
      <c r="O27" s="11">
        <f>INDEX(MoM!$G$5:$AH$129,MATCH($A27,MoM!$D$5:$D$129,0),MATCH(O$6,MoM!$G$4:$AH$4,0))</f>
        <v>0.237529691211405</v>
      </c>
      <c r="P27" s="11">
        <f>INDEX(MoM!$G$5:$AH$129,MATCH($A27,MoM!$D$5:$D$129,0),MATCH(P$6,MoM!$G$4:$AH$4,0))</f>
        <v>0.593952483801308</v>
      </c>
      <c r="Q27" s="11">
        <f>INDEX(MoM!$G$5:$AH$129,MATCH($A27,MoM!$D$5:$D$129,0),MATCH(Q$6,MoM!$G$4:$AH$4,0))</f>
        <v>0.742857142857149</v>
      </c>
      <c r="R27" s="11">
        <f>INDEX(MoM!$G$5:$AH$129,MATCH($A27,MoM!$D$5:$D$129,0),MATCH(R$6,MoM!$G$4:$AH$4,0))</f>
        <v>0.205549845837619</v>
      </c>
      <c r="S27" s="11">
        <f>INDEX(MoM!$G$5:$AH$129,MATCH($A27,MoM!$D$5:$D$129,0),MATCH(S$6,MoM!$G$4:$AH$4,0))</f>
        <v>0.673022994952321</v>
      </c>
      <c r="T27" s="11">
        <f>INDEX(MoM!$G$5:$AH$129,MATCH($A27,MoM!$D$5:$D$129,0),MATCH(T$6,MoM!$G$4:$AH$4,0))</f>
        <v>0.817279626386443</v>
      </c>
      <c r="U27" s="11">
        <f>INDEX(MoM!$G$5:$AH$129,MATCH($A27,MoM!$D$5:$D$129,0),MATCH(U$6,MoM!$G$4:$AH$4,0))</f>
        <v>0.67681895093062</v>
      </c>
      <c r="V27" s="11">
        <f>INDEX(MoM!$G$5:$AH$129,MATCH($A27,MoM!$D$5:$D$129,0),MATCH(V$6,MoM!$G$4:$AH$4,0))</f>
        <v>0.715137067938015</v>
      </c>
      <c r="W27" s="11">
        <f>INDEX(MoM!$G$5:$AH$129,MATCH($A27,MoM!$D$5:$D$129,0),MATCH(W$6,MoM!$G$4:$AH$4,0))</f>
        <v>-0.44543429844097</v>
      </c>
      <c r="X27" s="11">
        <f>INDEX(MoM!$G$5:$AH$129,MATCH($A27,MoM!$D$5:$D$129,0),MATCH(X$6,MoM!$G$4:$AH$4,0))</f>
        <v>0.657108721624847</v>
      </c>
      <c r="Y27" s="11">
        <f>INDEX(MoM!$G$5:$AH$129,MATCH($A27,MoM!$D$5:$D$129,0),MATCH(Y$6,MoM!$G$4:$AH$4,0))</f>
        <v>0.397501419647937</v>
      </c>
      <c r="Z27" s="11">
        <f>INDEX(MoM!$G$5:$AH$129,MATCH($A27,MoM!$D$5:$D$129,0),MATCH(Z$6,MoM!$G$4:$AH$4,0))</f>
        <v>0.185643564356443</v>
      </c>
      <c r="AA27" s="11">
        <f>INDEX(MoM!$G$5:$AH$129,MATCH($A27,MoM!$D$5:$D$129,0),MATCH(AA$6,MoM!$G$4:$AH$4,0))</f>
        <v>0.360793746241728</v>
      </c>
      <c r="AB27" s="11">
        <f>INDEX(MoM!$G$5:$AH$129,MATCH($A27,MoM!$D$5:$D$129,0),MATCH(AB$6,MoM!$G$4:$AH$4,0))</f>
        <v>0.525087514585768</v>
      </c>
      <c r="AC27" s="11">
        <f>INDEX(MoM!$G$5:$AH$129,MATCH($A27,MoM!$D$5:$D$129,0),MATCH(AC$6,MoM!$G$4:$AH$4,0))</f>
        <v>0.883912787271656</v>
      </c>
      <c r="AD27" s="11">
        <f>INDEX(MoM!$G$5:$AH$129,MATCH($A27,MoM!$D$5:$D$129,0),MATCH(AD$6,MoM!$G$4:$AH$4,0))</f>
        <v>0.415676959619946</v>
      </c>
      <c r="AE27" s="11">
        <f>INDEX(MoM!$G$5:$AH$129,MATCH($A27,MoM!$D$5:$D$129,0),MATCH(AE$6,MoM!$G$4:$AH$4,0))</f>
        <v>0.519031141868515</v>
      </c>
      <c r="AF27" s="11">
        <f>INDEX(MoM!$G$5:$AH$129,MATCH($A27,MoM!$D$5:$D$129,0),MATCH(AF$6,MoM!$G$4:$AH$4,0))</f>
        <v>0.0765074355663898</v>
      </c>
    </row>
    <row r="28" spans="1:32">
      <c r="A28" s="9">
        <v>44805</v>
      </c>
      <c r="B28" s="10"/>
      <c r="D28" s="12" t="str">
        <f t="shared" si="1"/>
        <v/>
      </c>
      <c r="E28" s="11">
        <f>INDEX(MoM!$G$5:$AH$129,MATCH($A28,MoM!$D$5:$D$129,0),MATCH(E$6,MoM!$G$4:$AH$4,0))</f>
        <v>1.99625701809107</v>
      </c>
      <c r="F28" s="11">
        <f>INDEX(MoM!$G$5:$AH$129,MATCH($A28,MoM!$D$5:$D$129,0),MATCH(F$6,MoM!$G$4:$AH$4,0))</f>
        <v>1.30750605326876</v>
      </c>
      <c r="G28" s="11">
        <f>INDEX(MoM!$G$5:$AH$129,MATCH($A28,MoM!$D$5:$D$129,0),MATCH(G$6,MoM!$G$4:$AH$4,0))</f>
        <v>0.295508274231679</v>
      </c>
      <c r="H28" s="11">
        <f>INDEX(MoM!$G$5:$AH$129,MATCH($A28,MoM!$D$5:$D$129,0),MATCH(H$6,MoM!$G$4:$AH$4,0))</f>
        <v>0.951814396192739</v>
      </c>
      <c r="I28" s="11">
        <f>INDEX(MoM!$G$5:$AH$129,MATCH($A28,MoM!$D$5:$D$129,0),MATCH(I$6,MoM!$G$4:$AH$4,0))</f>
        <v>-1.92307692307693</v>
      </c>
      <c r="J28" s="11">
        <f>INDEX(MoM!$G$5:$AH$129,MATCH($A28,MoM!$D$5:$D$129,0),MATCH(J$6,MoM!$G$4:$AH$4,0))</f>
        <v>-4.16425679583575</v>
      </c>
      <c r="K28" s="11">
        <f>INDEX(MoM!$G$5:$AH$129,MATCH($A28,MoM!$D$5:$D$129,0),MATCH(K$6,MoM!$G$4:$AH$4,0))</f>
        <v>2.73165506159616</v>
      </c>
      <c r="L28" s="11">
        <f>INDEX(MoM!$G$5:$AH$129,MATCH($A28,MoM!$D$5:$D$129,0),MATCH(L$6,MoM!$G$4:$AH$4,0))</f>
        <v>1.13636363636364</v>
      </c>
      <c r="M28" s="11">
        <f>INDEX(MoM!$G$5:$AH$129,MATCH($A28,MoM!$D$5:$D$129,0),MATCH(M$6,MoM!$G$4:$AH$4,0))</f>
        <v>0.578990901571537</v>
      </c>
      <c r="N28" s="11">
        <f>INDEX(MoM!$G$5:$AH$129,MATCH($A28,MoM!$D$5:$D$129,0),MATCH(N$6,MoM!$G$4:$AH$4,0))</f>
        <v>1.9111570247934</v>
      </c>
      <c r="O28" s="11">
        <f>INDEX(MoM!$G$5:$AH$129,MATCH($A28,MoM!$D$5:$D$129,0),MATCH(O$6,MoM!$G$4:$AH$4,0))</f>
        <v>0.355450236966821</v>
      </c>
      <c r="P28" s="11">
        <f>INDEX(MoM!$G$5:$AH$129,MATCH($A28,MoM!$D$5:$D$129,0),MATCH(P$6,MoM!$G$4:$AH$4,0))</f>
        <v>0.590445517981747</v>
      </c>
      <c r="Q28" s="11">
        <f>INDEX(MoM!$G$5:$AH$129,MATCH($A28,MoM!$D$5:$D$129,0),MATCH(Q$6,MoM!$G$4:$AH$4,0))</f>
        <v>0.850822461712989</v>
      </c>
      <c r="R28" s="11">
        <f>INDEX(MoM!$G$5:$AH$129,MATCH($A28,MoM!$D$5:$D$129,0),MATCH(R$6,MoM!$G$4:$AH$4,0))</f>
        <v>0.461538461538464</v>
      </c>
      <c r="S28" s="11">
        <f>INDEX(MoM!$G$5:$AH$129,MATCH($A28,MoM!$D$5:$D$129,0),MATCH(S$6,MoM!$G$4:$AH$4,0))</f>
        <v>0.779944289693597</v>
      </c>
      <c r="T28" s="11">
        <f>INDEX(MoM!$G$5:$AH$129,MATCH($A28,MoM!$D$5:$D$129,0),MATCH(T$6,MoM!$G$4:$AH$4,0))</f>
        <v>0.926462072958901</v>
      </c>
      <c r="U28" s="11">
        <f>INDEX(MoM!$G$5:$AH$129,MATCH($A28,MoM!$D$5:$D$129,0),MATCH(U$6,MoM!$G$4:$AH$4,0))</f>
        <v>0.784313725490199</v>
      </c>
      <c r="V28" s="11">
        <f>INDEX(MoM!$G$5:$AH$129,MATCH($A28,MoM!$D$5:$D$129,0),MATCH(V$6,MoM!$G$4:$AH$4,0))</f>
        <v>0.29585798816568</v>
      </c>
      <c r="W28" s="11">
        <f>INDEX(MoM!$G$5:$AH$129,MATCH($A28,MoM!$D$5:$D$129,0),MATCH(W$6,MoM!$G$4:$AH$4,0))</f>
        <v>0.391498881431761</v>
      </c>
      <c r="X28" s="11">
        <f>INDEX(MoM!$G$5:$AH$129,MATCH($A28,MoM!$D$5:$D$129,0),MATCH(X$6,MoM!$G$4:$AH$4,0))</f>
        <v>0.593471810089021</v>
      </c>
      <c r="Y28" s="11">
        <f>INDEX(MoM!$G$5:$AH$129,MATCH($A28,MoM!$D$5:$D$129,0),MATCH(Y$6,MoM!$G$4:$AH$4,0))</f>
        <v>0.565610859728507</v>
      </c>
      <c r="Z28" s="11">
        <f>INDEX(MoM!$G$5:$AH$129,MATCH($A28,MoM!$D$5:$D$129,0),MATCH(Z$6,MoM!$G$4:$AH$4,0))</f>
        <v>0.247066090179126</v>
      </c>
      <c r="AA28" s="11">
        <f>INDEX(MoM!$G$5:$AH$129,MATCH($A28,MoM!$D$5:$D$129,0),MATCH(AA$6,MoM!$G$4:$AH$4,0))</f>
        <v>0.419412822049124</v>
      </c>
      <c r="AB28" s="11">
        <f>INDEX(MoM!$G$5:$AH$129,MATCH($A28,MoM!$D$5:$D$129,0),MATCH(AB$6,MoM!$G$4:$AH$4,0))</f>
        <v>0.464306442251876</v>
      </c>
      <c r="AC28" s="11">
        <f>INDEX(MoM!$G$5:$AH$129,MATCH($A28,MoM!$D$5:$D$129,0),MATCH(AC$6,MoM!$G$4:$AH$4,0))</f>
        <v>-0.175233644859803</v>
      </c>
      <c r="AD28" s="11">
        <f>INDEX(MoM!$G$5:$AH$129,MATCH($A28,MoM!$D$5:$D$129,0),MATCH(AD$6,MoM!$G$4:$AH$4,0))</f>
        <v>0.354819633353042</v>
      </c>
      <c r="AE28" s="11">
        <f>INDEX(MoM!$G$5:$AH$129,MATCH($A28,MoM!$D$5:$D$129,0),MATCH(AE$6,MoM!$G$4:$AH$4,0))</f>
        <v>0.57372346528973</v>
      </c>
      <c r="AF28" s="11">
        <f>INDEX(MoM!$G$5:$AH$129,MATCH($A28,MoM!$D$5:$D$129,0),MATCH(AF$6,MoM!$G$4:$AH$4,0))</f>
        <v>0.487362033541967</v>
      </c>
    </row>
    <row r="29" spans="1:32">
      <c r="A29" s="9">
        <v>44835</v>
      </c>
      <c r="B29" s="10"/>
      <c r="D29" s="12" t="str">
        <f t="shared" si="1"/>
        <v/>
      </c>
      <c r="E29" s="11">
        <f>INDEX(MoM!$G$5:$AH$129,MATCH($A29,MoM!$D$5:$D$129,0),MATCH(E$6,MoM!$G$4:$AH$4,0))</f>
        <v>1.03975535168195</v>
      </c>
      <c r="F29" s="11">
        <f>INDEX(MoM!$G$5:$AH$129,MATCH($A29,MoM!$D$5:$D$129,0),MATCH(F$6,MoM!$G$4:$AH$4,0))</f>
        <v>0.812619502868077</v>
      </c>
      <c r="G29" s="11">
        <f>INDEX(MoM!$G$5:$AH$129,MATCH($A29,MoM!$D$5:$D$129,0),MATCH(G$6,MoM!$G$4:$AH$4,0))</f>
        <v>0.707130229817335</v>
      </c>
      <c r="H29" s="11">
        <f>INDEX(MoM!$G$5:$AH$129,MATCH($A29,MoM!$D$5:$D$129,0),MATCH(H$6,MoM!$G$4:$AH$4,0))</f>
        <v>0.707130229817335</v>
      </c>
      <c r="I29" s="11">
        <f>INDEX(MoM!$G$5:$AH$129,MATCH($A29,MoM!$D$5:$D$129,0),MATCH(I$6,MoM!$G$4:$AH$4,0))</f>
        <v>-1.16587175410704</v>
      </c>
      <c r="J29" s="11">
        <f>INDEX(MoM!$G$5:$AH$129,MATCH($A29,MoM!$D$5:$D$129,0),MATCH(J$6,MoM!$G$4:$AH$4,0))</f>
        <v>-1.14665057332527</v>
      </c>
      <c r="K29" s="11">
        <f>INDEX(MoM!$G$5:$AH$129,MATCH($A29,MoM!$D$5:$D$129,0),MATCH(K$6,MoM!$G$4:$AH$4,0))</f>
        <v>4.11887382690301</v>
      </c>
      <c r="L29" s="11">
        <f>INDEX(MoM!$G$5:$AH$129,MATCH($A29,MoM!$D$5:$D$129,0),MATCH(L$6,MoM!$G$4:$AH$4,0))</f>
        <v>0.413956238911897</v>
      </c>
      <c r="M29" s="11">
        <f>INDEX(MoM!$G$5:$AH$129,MATCH($A29,MoM!$D$5:$D$129,0),MATCH(M$6,MoM!$G$4:$AH$4,0))</f>
        <v>0.246710526315799</v>
      </c>
      <c r="N29" s="11">
        <f>INDEX(MoM!$G$5:$AH$129,MATCH($A29,MoM!$D$5:$D$129,0),MATCH(N$6,MoM!$G$4:$AH$4,0))</f>
        <v>1.31779016725798</v>
      </c>
      <c r="O29" s="11">
        <f>INDEX(MoM!$G$5:$AH$129,MATCH($A29,MoM!$D$5:$D$129,0),MATCH(O$6,MoM!$G$4:$AH$4,0))</f>
        <v>0.295159386068477</v>
      </c>
      <c r="P29" s="11">
        <f>INDEX(MoM!$G$5:$AH$129,MATCH($A29,MoM!$D$5:$D$129,0),MATCH(P$6,MoM!$G$4:$AH$4,0))</f>
        <v>0.480256136606193</v>
      </c>
      <c r="Q29" s="11">
        <f>INDEX(MoM!$G$5:$AH$129,MATCH($A29,MoM!$D$5:$D$129,0),MATCH(Q$6,MoM!$G$4:$AH$4,0))</f>
        <v>1.01237345331833</v>
      </c>
      <c r="R29" s="11">
        <f>INDEX(MoM!$G$5:$AH$129,MATCH($A29,MoM!$D$5:$D$129,0),MATCH(R$6,MoM!$G$4:$AH$4,0))</f>
        <v>0.204185809086271</v>
      </c>
      <c r="S29" s="11">
        <f>INDEX(MoM!$G$5:$AH$129,MATCH($A29,MoM!$D$5:$D$129,0),MATCH(S$6,MoM!$G$4:$AH$4,0))</f>
        <v>0.552791597567717</v>
      </c>
      <c r="T29" s="11">
        <f>INDEX(MoM!$G$5:$AH$129,MATCH($A29,MoM!$D$5:$D$129,0),MATCH(T$6,MoM!$G$4:$AH$4,0))</f>
        <v>0.57372346528973</v>
      </c>
      <c r="U29" s="11">
        <f>INDEX(MoM!$G$5:$AH$129,MATCH($A29,MoM!$D$5:$D$129,0),MATCH(U$6,MoM!$G$4:$AH$4,0))</f>
        <v>0.611450806003332</v>
      </c>
      <c r="V29" s="11">
        <f>INDEX(MoM!$G$5:$AH$129,MATCH($A29,MoM!$D$5:$D$129,0),MATCH(V$6,MoM!$G$4:$AH$4,0))</f>
        <v>1.00294985250737</v>
      </c>
      <c r="W29" s="11">
        <f>INDEX(MoM!$G$5:$AH$129,MATCH($A29,MoM!$D$5:$D$129,0),MATCH(W$6,MoM!$G$4:$AH$4,0))</f>
        <v>0.557103064066852</v>
      </c>
      <c r="X29" s="11">
        <f>INDEX(MoM!$G$5:$AH$129,MATCH($A29,MoM!$D$5:$D$129,0),MATCH(X$6,MoM!$G$4:$AH$4,0))</f>
        <v>0.530973451327437</v>
      </c>
      <c r="Y29" s="11">
        <f>INDEX(MoM!$G$5:$AH$129,MATCH($A29,MoM!$D$5:$D$129,0),MATCH(Y$6,MoM!$G$4:$AH$4,0))</f>
        <v>0.506186726659155</v>
      </c>
      <c r="Z29" s="11">
        <f>INDEX(MoM!$G$5:$AH$129,MATCH($A29,MoM!$D$5:$D$129,0),MATCH(Z$6,MoM!$G$4:$AH$4,0))</f>
        <v>0.369685767097963</v>
      </c>
      <c r="AA29" s="11">
        <f>INDEX(MoM!$G$5:$AH$129,MATCH($A29,MoM!$D$5:$D$129,0),MATCH(AA$6,MoM!$G$4:$AH$4,0))</f>
        <v>0.357995226730307</v>
      </c>
      <c r="AB29" s="11">
        <f>INDEX(MoM!$G$5:$AH$129,MATCH($A29,MoM!$D$5:$D$129,0),MATCH(AB$6,MoM!$G$4:$AH$4,0))</f>
        <v>0.173310225303299</v>
      </c>
      <c r="AC29" s="11">
        <f>INDEX(MoM!$G$5:$AH$129,MATCH($A29,MoM!$D$5:$D$129,0),MATCH(AC$6,MoM!$G$4:$AH$4,0))</f>
        <v>0.702165008777056</v>
      </c>
      <c r="AD29" s="11">
        <f>INDEX(MoM!$G$5:$AH$129,MATCH($A29,MoM!$D$5:$D$129,0),MATCH(AD$6,MoM!$G$4:$AH$4,0))</f>
        <v>0.471420153211557</v>
      </c>
      <c r="AE29" s="11">
        <f>INDEX(MoM!$G$5:$AH$129,MATCH($A29,MoM!$D$5:$D$129,0),MATCH(AE$6,MoM!$G$4:$AH$4,0))</f>
        <v>0.798630918425543</v>
      </c>
      <c r="AF29" s="11">
        <f>INDEX(MoM!$G$5:$AH$129,MATCH($A29,MoM!$D$5:$D$129,0),MATCH(AF$6,MoM!$G$4:$AH$4,0))</f>
        <v>0.694213304170052</v>
      </c>
    </row>
    <row r="30" spans="1:32">
      <c r="A30" s="9">
        <v>44866</v>
      </c>
      <c r="B30" s="10"/>
      <c r="D30" s="12" t="str">
        <f t="shared" si="1"/>
        <v/>
      </c>
      <c r="E30" s="11">
        <f>INDEX(MoM!$G$5:$AH$129,MATCH($A30,MoM!$D$5:$D$129,0),MATCH(E$6,MoM!$G$4:$AH$4,0))</f>
        <v>1.33171912832931</v>
      </c>
      <c r="F30" s="11">
        <f>INDEX(MoM!$G$5:$AH$129,MATCH($A30,MoM!$D$5:$D$129,0),MATCH(F$6,MoM!$G$4:$AH$4,0))</f>
        <v>-0.711237553342816</v>
      </c>
      <c r="G30" s="11">
        <f>INDEX(MoM!$G$5:$AH$129,MATCH($A30,MoM!$D$5:$D$129,0),MATCH(G$6,MoM!$G$4:$AH$4,0))</f>
        <v>6.1439438267993</v>
      </c>
      <c r="H30" s="11">
        <f>INDEX(MoM!$G$5:$AH$129,MATCH($A30,MoM!$D$5:$D$129,0),MATCH(H$6,MoM!$G$4:$AH$4,0))</f>
        <v>0.81919251023991</v>
      </c>
      <c r="I30" s="11">
        <f>INDEX(MoM!$G$5:$AH$129,MATCH($A30,MoM!$D$5:$D$129,0),MATCH(I$6,MoM!$G$4:$AH$4,0))</f>
        <v>1.28686327077748</v>
      </c>
      <c r="J30" s="11">
        <f>INDEX(MoM!$G$5:$AH$129,MATCH($A30,MoM!$D$5:$D$129,0),MATCH(J$6,MoM!$G$4:$AH$4,0))</f>
        <v>-1.89255189255191</v>
      </c>
      <c r="K30" s="11">
        <f>INDEX(MoM!$G$5:$AH$129,MATCH($A30,MoM!$D$5:$D$129,0),MATCH(K$6,MoM!$G$4:$AH$4,0))</f>
        <v>-8.31246870305458</v>
      </c>
      <c r="L30" s="11">
        <f>INDEX(MoM!$G$5:$AH$129,MATCH($A30,MoM!$D$5:$D$129,0),MATCH(L$6,MoM!$G$4:$AH$4,0))</f>
        <v>0.412249705535918</v>
      </c>
      <c r="M30" s="11">
        <f>INDEX(MoM!$G$5:$AH$129,MATCH($A30,MoM!$D$5:$D$129,0),MATCH(M$6,MoM!$G$4:$AH$4,0))</f>
        <v>0.164068908941746</v>
      </c>
      <c r="N30" s="11">
        <f>INDEX(MoM!$G$5:$AH$129,MATCH($A30,MoM!$D$5:$D$129,0),MATCH(N$6,MoM!$G$4:$AH$4,0))</f>
        <v>1.45072536268134</v>
      </c>
      <c r="O30" s="11">
        <f>INDEX(MoM!$G$5:$AH$129,MATCH($A30,MoM!$D$5:$D$129,0),MATCH(O$6,MoM!$G$4:$AH$4,0))</f>
        <v>0.294290759270159</v>
      </c>
      <c r="P30" s="11">
        <f>INDEX(MoM!$G$5:$AH$129,MATCH($A30,MoM!$D$5:$D$129,0),MATCH(P$6,MoM!$G$4:$AH$4,0))</f>
        <v>0.637280934678698</v>
      </c>
      <c r="Q30" s="11">
        <f>INDEX(MoM!$G$5:$AH$129,MATCH($A30,MoM!$D$5:$D$129,0),MATCH(Q$6,MoM!$G$4:$AH$4,0))</f>
        <v>-0.723830734966583</v>
      </c>
      <c r="R30" s="11">
        <f>INDEX(MoM!$G$5:$AH$129,MATCH($A30,MoM!$D$5:$D$129,0),MATCH(R$6,MoM!$G$4:$AH$4,0))</f>
        <v>0.305654610290369</v>
      </c>
      <c r="S30" s="11">
        <f>INDEX(MoM!$G$5:$AH$129,MATCH($A30,MoM!$D$5:$D$129,0),MATCH(S$6,MoM!$G$4:$AH$4,0))</f>
        <v>0.659703133589878</v>
      </c>
      <c r="T30" s="11">
        <f>INDEX(MoM!$G$5:$AH$129,MATCH($A30,MoM!$D$5:$D$129,0),MATCH(T$6,MoM!$G$4:$AH$4,0))</f>
        <v>0.513405590416416</v>
      </c>
      <c r="U30" s="11">
        <f>INDEX(MoM!$G$5:$AH$129,MATCH($A30,MoM!$D$5:$D$129,0),MATCH(U$6,MoM!$G$4:$AH$4,0))</f>
        <v>0.607734806629831</v>
      </c>
      <c r="V30" s="11">
        <f>INDEX(MoM!$G$5:$AH$129,MATCH($A30,MoM!$D$5:$D$129,0),MATCH(V$6,MoM!$G$4:$AH$4,0))</f>
        <v>0.350467289719639</v>
      </c>
      <c r="W30" s="11">
        <f>INDEX(MoM!$G$5:$AH$129,MATCH($A30,MoM!$D$5:$D$129,0),MATCH(W$6,MoM!$G$4:$AH$4,0))</f>
        <v>0.443213296398898</v>
      </c>
      <c r="X30" s="11">
        <f>INDEX(MoM!$G$5:$AH$129,MATCH($A30,MoM!$D$5:$D$129,0),MATCH(X$6,MoM!$G$4:$AH$4,0))</f>
        <v>0.586854460093897</v>
      </c>
      <c r="Y30" s="11">
        <f>INDEX(MoM!$G$5:$AH$129,MATCH($A30,MoM!$D$5:$D$129,0),MATCH(Y$6,MoM!$G$4:$AH$4,0))</f>
        <v>0.615556799104657</v>
      </c>
      <c r="Z30" s="11">
        <f>INDEX(MoM!$G$5:$AH$129,MATCH($A30,MoM!$D$5:$D$129,0),MATCH(Z$6,MoM!$G$4:$AH$4,0))</f>
        <v>0.0613873542050303</v>
      </c>
      <c r="AA30" s="11">
        <f>INDEX(MoM!$G$5:$AH$129,MATCH($A30,MoM!$D$5:$D$129,0),MATCH(AA$6,MoM!$G$4:$AH$4,0))</f>
        <v>0.178359096313919</v>
      </c>
      <c r="AB30" s="11">
        <f>INDEX(MoM!$G$5:$AH$129,MATCH($A30,MoM!$D$5:$D$129,0),MATCH(AB$6,MoM!$G$4:$AH$4,0))</f>
        <v>0.173010380622828</v>
      </c>
      <c r="AC30" s="11">
        <f>INDEX(MoM!$G$5:$AH$129,MATCH($A30,MoM!$D$5:$D$129,0),MATCH(AC$6,MoM!$G$4:$AH$4,0))</f>
        <v>0.871586287042417</v>
      </c>
      <c r="AD30" s="11">
        <f>INDEX(MoM!$G$5:$AH$129,MATCH($A30,MoM!$D$5:$D$129,0),MATCH(AD$6,MoM!$G$4:$AH$4,0))</f>
        <v>0.351906158357768</v>
      </c>
      <c r="AE30" s="11">
        <f>INDEX(MoM!$G$5:$AH$129,MATCH($A30,MoM!$D$5:$D$129,0),MATCH(AE$6,MoM!$G$4:$AH$4,0))</f>
        <v>-0.113186191284657</v>
      </c>
      <c r="AF30" s="11">
        <f>INDEX(MoM!$G$5:$AH$129,MATCH($A30,MoM!$D$5:$D$129,0),MATCH(AF$6,MoM!$G$4:$AH$4,0))</f>
        <v>0.037776833356931</v>
      </c>
    </row>
    <row r="31" spans="1:32">
      <c r="A31" s="9">
        <v>44896</v>
      </c>
      <c r="B31" s="10"/>
      <c r="D31" s="12" t="str">
        <f t="shared" si="1"/>
        <v/>
      </c>
      <c r="E31" s="11">
        <f>INDEX(MoM!$G$5:$AH$129,MATCH($A31,MoM!$D$5:$D$129,0),MATCH(E$6,MoM!$G$4:$AH$4,0))</f>
        <v>1.07526881720429</v>
      </c>
      <c r="F31" s="11">
        <f>INDEX(MoM!$G$5:$AH$129,MATCH($A31,MoM!$D$5:$D$129,0),MATCH(F$6,MoM!$G$4:$AH$4,0))</f>
        <v>-0.191021967526268</v>
      </c>
      <c r="G31" s="11">
        <f>INDEX(MoM!$G$5:$AH$129,MATCH($A31,MoM!$D$5:$D$129,0),MATCH(G$6,MoM!$G$4:$AH$4,0))</f>
        <v>4.85115766262403</v>
      </c>
      <c r="H31" s="11">
        <f>INDEX(MoM!$G$5:$AH$129,MATCH($A31,MoM!$D$5:$D$129,0),MATCH(H$6,MoM!$G$4:$AH$4,0))</f>
        <v>0.754497968659305</v>
      </c>
      <c r="I31" s="11">
        <f>INDEX(MoM!$G$5:$AH$129,MATCH($A31,MoM!$D$5:$D$129,0),MATCH(I$6,MoM!$G$4:$AH$4,0))</f>
        <v>-0.211752249867658</v>
      </c>
      <c r="J31" s="11">
        <f>INDEX(MoM!$G$5:$AH$129,MATCH($A31,MoM!$D$5:$D$129,0),MATCH(J$6,MoM!$G$4:$AH$4,0))</f>
        <v>-1.68014934660858</v>
      </c>
      <c r="K31" s="11">
        <f>INDEX(MoM!$G$5:$AH$129,MATCH($A31,MoM!$D$5:$D$129,0),MATCH(K$6,MoM!$G$4:$AH$4,0))</f>
        <v>-12.6706717640633</v>
      </c>
      <c r="L31" s="11">
        <f>INDEX(MoM!$G$5:$AH$129,MATCH($A31,MoM!$D$5:$D$129,0),MATCH(L$6,MoM!$G$4:$AH$4,0))</f>
        <v>0.175953079178892</v>
      </c>
      <c r="M31" s="11">
        <f>INDEX(MoM!$G$5:$AH$129,MATCH($A31,MoM!$D$5:$D$129,0),MATCH(M$6,MoM!$G$4:$AH$4,0))</f>
        <v>-0.245700245700243</v>
      </c>
      <c r="N31" s="11">
        <f>INDEX(MoM!$G$5:$AH$129,MATCH($A31,MoM!$D$5:$D$129,0),MATCH(N$6,MoM!$G$4:$AH$4,0))</f>
        <v>1.18343195266271</v>
      </c>
      <c r="O31" s="11">
        <f>INDEX(MoM!$G$5:$AH$129,MATCH($A31,MoM!$D$5:$D$129,0),MATCH(O$6,MoM!$G$4:$AH$4,0))</f>
        <v>0.352112676056335</v>
      </c>
      <c r="P31" s="11">
        <f>INDEX(MoM!$G$5:$AH$129,MATCH($A31,MoM!$D$5:$D$129,0),MATCH(P$6,MoM!$G$4:$AH$4,0))</f>
        <v>0.422163588390507</v>
      </c>
      <c r="Q31" s="11">
        <f>INDEX(MoM!$G$5:$AH$129,MATCH($A31,MoM!$D$5:$D$129,0),MATCH(Q$6,MoM!$G$4:$AH$4,0))</f>
        <v>-1.34604598990466</v>
      </c>
      <c r="R31" s="11">
        <f>INDEX(MoM!$G$5:$AH$129,MATCH($A31,MoM!$D$5:$D$129,0),MATCH(R$6,MoM!$G$4:$AH$4,0))</f>
        <v>0.203148806500765</v>
      </c>
      <c r="S31" s="11">
        <f>INDEX(MoM!$G$5:$AH$129,MATCH($A31,MoM!$D$5:$D$129,0),MATCH(S$6,MoM!$G$4:$AH$4,0))</f>
        <v>0.491534680502461</v>
      </c>
      <c r="T31" s="11">
        <f>INDEX(MoM!$G$5:$AH$129,MATCH($A31,MoM!$D$5:$D$129,0),MATCH(T$6,MoM!$G$4:$AH$4,0))</f>
        <v>0.454029511918281</v>
      </c>
      <c r="U31" s="11">
        <f>INDEX(MoM!$G$5:$AH$129,MATCH($A31,MoM!$D$5:$D$129,0),MATCH(U$6,MoM!$G$4:$AH$4,0))</f>
        <v>0.494233937397038</v>
      </c>
      <c r="V31" s="11">
        <f>INDEX(MoM!$G$5:$AH$129,MATCH($A31,MoM!$D$5:$D$129,0),MATCH(V$6,MoM!$G$4:$AH$4,0))</f>
        <v>-0.640279394644949</v>
      </c>
      <c r="W31" s="11">
        <f>INDEX(MoM!$G$5:$AH$129,MATCH($A31,MoM!$D$5:$D$129,0),MATCH(W$6,MoM!$G$4:$AH$4,0))</f>
        <v>0.38610038610038</v>
      </c>
      <c r="X31" s="11">
        <f>INDEX(MoM!$G$5:$AH$129,MATCH($A31,MoM!$D$5:$D$129,0),MATCH(X$6,MoM!$G$4:$AH$4,0))</f>
        <v>0.408401400233366</v>
      </c>
      <c r="Y31" s="11">
        <f>INDEX(MoM!$G$5:$AH$129,MATCH($A31,MoM!$D$5:$D$129,0),MATCH(Y$6,MoM!$G$4:$AH$4,0))</f>
        <v>0.723025583982193</v>
      </c>
      <c r="Z31" s="11">
        <f>INDEX(MoM!$G$5:$AH$129,MATCH($A31,MoM!$D$5:$D$129,0),MATCH(Z$6,MoM!$G$4:$AH$4,0))</f>
        <v>0.245398773006138</v>
      </c>
      <c r="AA31" s="11">
        <f>INDEX(MoM!$G$5:$AH$129,MATCH($A31,MoM!$D$5:$D$129,0),MATCH(AA$6,MoM!$G$4:$AH$4,0))</f>
        <v>0.237388724035612</v>
      </c>
      <c r="AB31" s="11">
        <f>INDEX(MoM!$G$5:$AH$129,MATCH($A31,MoM!$D$5:$D$129,0),MATCH(AB$6,MoM!$G$4:$AH$4,0))</f>
        <v>0.230282095567073</v>
      </c>
      <c r="AC31" s="11">
        <f>INDEX(MoM!$G$5:$AH$129,MATCH($A31,MoM!$D$5:$D$129,0),MATCH(AC$6,MoM!$G$4:$AH$4,0))</f>
        <v>1.26728110599079</v>
      </c>
      <c r="AD31" s="11">
        <f>INDEX(MoM!$G$5:$AH$129,MATCH($A31,MoM!$D$5:$D$129,0),MATCH(AD$6,MoM!$G$4:$AH$4,0))</f>
        <v>0.526008182349507</v>
      </c>
      <c r="AE31" s="11">
        <f>INDEX(MoM!$G$5:$AH$129,MATCH($A31,MoM!$D$5:$D$129,0),MATCH(AE$6,MoM!$G$4:$AH$4,0))</f>
        <v>-0.453257790368278</v>
      </c>
      <c r="AF31" s="11">
        <f>INDEX(MoM!$G$5:$AH$129,MATCH($A31,MoM!$D$5:$D$129,0),MATCH(AF$6,MoM!$G$4:$AH$4,0))</f>
        <v>-0.519235308000944</v>
      </c>
    </row>
    <row r="32" spans="1:32">
      <c r="A32" s="9">
        <v>44927</v>
      </c>
      <c r="B32" s="10"/>
      <c r="D32" s="12" t="str">
        <f t="shared" si="1"/>
        <v/>
      </c>
      <c r="E32" s="11">
        <f>INDEX(MoM!$G$5:$AH$129,MATCH($A32,MoM!$D$5:$D$129,0),MATCH(E$6,MoM!$G$4:$AH$4,0))</f>
        <v>2.71867612293146</v>
      </c>
      <c r="F32" s="11">
        <f>INDEX(MoM!$G$5:$AH$129,MATCH($A32,MoM!$D$5:$D$129,0),MATCH(F$6,MoM!$G$4:$AH$4,0))</f>
        <v>0.813397129186597</v>
      </c>
      <c r="G32" s="11">
        <f>INDEX(MoM!$G$5:$AH$129,MATCH($A32,MoM!$D$5:$D$129,0),MATCH(G$6,MoM!$G$4:$AH$4,0))</f>
        <v>2.26077812828602</v>
      </c>
      <c r="H32" s="11">
        <f>INDEX(MoM!$G$5:$AH$129,MATCH($A32,MoM!$D$5:$D$129,0),MATCH(H$6,MoM!$G$4:$AH$4,0))</f>
        <v>0.576036866359447</v>
      </c>
      <c r="I32" s="11">
        <f>INDEX(MoM!$G$5:$AH$129,MATCH($A32,MoM!$D$5:$D$129,0),MATCH(I$6,MoM!$G$4:$AH$4,0))</f>
        <v>-0.689655172413799</v>
      </c>
      <c r="J32" s="11">
        <f>INDEX(MoM!$G$5:$AH$129,MATCH($A32,MoM!$D$5:$D$129,0),MATCH(J$6,MoM!$G$4:$AH$4,0))</f>
        <v>0.189873417721526</v>
      </c>
      <c r="K32" s="11">
        <f>INDEX(MoM!$G$5:$AH$129,MATCH($A32,MoM!$D$5:$D$129,0),MATCH(K$6,MoM!$G$4:$AH$4,0))</f>
        <v>-3.75234521575985</v>
      </c>
      <c r="L32" s="11">
        <f>INDEX(MoM!$G$5:$AH$129,MATCH($A32,MoM!$D$5:$D$129,0),MATCH(L$6,MoM!$G$4:$AH$4,0))</f>
        <v>0.0585480093676782</v>
      </c>
      <c r="M32" s="11">
        <f>INDEX(MoM!$G$5:$AH$129,MATCH($A32,MoM!$D$5:$D$129,0),MATCH(M$6,MoM!$G$4:$AH$4,0))</f>
        <v>-0.574712643678163</v>
      </c>
      <c r="N32" s="11">
        <f>INDEX(MoM!$G$5:$AH$129,MATCH($A32,MoM!$D$5:$D$129,0),MATCH(N$6,MoM!$G$4:$AH$4,0))</f>
        <v>1.55945419103315</v>
      </c>
      <c r="O32" s="11">
        <f>INDEX(MoM!$G$5:$AH$129,MATCH($A32,MoM!$D$5:$D$129,0),MATCH(O$6,MoM!$G$4:$AH$4,0))</f>
        <v>0.233918128654974</v>
      </c>
      <c r="P32" s="11">
        <f>INDEX(MoM!$G$5:$AH$129,MATCH($A32,MoM!$D$5:$D$129,0),MATCH(P$6,MoM!$G$4:$AH$4,0))</f>
        <v>0.472937467157108</v>
      </c>
      <c r="Q32" s="11">
        <f>INDEX(MoM!$G$5:$AH$129,MATCH($A32,MoM!$D$5:$D$129,0),MATCH(Q$6,MoM!$G$4:$AH$4,0))</f>
        <v>0.45480386583285</v>
      </c>
      <c r="R32" s="11">
        <f>INDEX(MoM!$G$5:$AH$129,MATCH($A32,MoM!$D$5:$D$129,0),MATCH(R$6,MoM!$G$4:$AH$4,0))</f>
        <v>0.456158134820059</v>
      </c>
      <c r="S32" s="11">
        <f>INDEX(MoM!$G$5:$AH$129,MATCH($A32,MoM!$D$5:$D$129,0),MATCH(S$6,MoM!$G$4:$AH$4,0))</f>
        <v>0.489130434782612</v>
      </c>
      <c r="T32" s="11">
        <f>INDEX(MoM!$G$5:$AH$129,MATCH($A32,MoM!$D$5:$D$129,0),MATCH(T$6,MoM!$G$4:$AH$4,0))</f>
        <v>0.338983050847454</v>
      </c>
      <c r="U32" s="11">
        <f>INDEX(MoM!$G$5:$AH$129,MATCH($A32,MoM!$D$5:$D$129,0),MATCH(U$6,MoM!$G$4:$AH$4,0))</f>
        <v>0.437158469945361</v>
      </c>
      <c r="V32" s="11">
        <f>INDEX(MoM!$G$5:$AH$129,MATCH($A32,MoM!$D$5:$D$129,0),MATCH(V$6,MoM!$G$4:$AH$4,0))</f>
        <v>0.820152314001175</v>
      </c>
      <c r="W32" s="11">
        <f>INDEX(MoM!$G$5:$AH$129,MATCH($A32,MoM!$D$5:$D$129,0),MATCH(W$6,MoM!$G$4:$AH$4,0))</f>
        <v>0</v>
      </c>
      <c r="X32" s="11">
        <f>INDEX(MoM!$G$5:$AH$129,MATCH($A32,MoM!$D$5:$D$129,0),MATCH(X$6,MoM!$G$4:$AH$4,0))</f>
        <v>0.464846019755963</v>
      </c>
      <c r="Y32" s="11">
        <f>INDEX(MoM!$G$5:$AH$129,MATCH($A32,MoM!$D$5:$D$129,0),MATCH(Y$6,MoM!$G$4:$AH$4,0))</f>
        <v>0.662617338487033</v>
      </c>
      <c r="Z32" s="11">
        <f>INDEX(MoM!$G$5:$AH$129,MATCH($A32,MoM!$D$5:$D$129,0),MATCH(Z$6,MoM!$G$4:$AH$4,0))</f>
        <v>0.122399020807827</v>
      </c>
      <c r="AA32" s="11">
        <f>INDEX(MoM!$G$5:$AH$129,MATCH($A32,MoM!$D$5:$D$129,0),MATCH(AA$6,MoM!$G$4:$AH$4,0))</f>
        <v>0.355239786856125</v>
      </c>
      <c r="AB32" s="11">
        <f>INDEX(MoM!$G$5:$AH$129,MATCH($A32,MoM!$D$5:$D$129,0),MATCH(AB$6,MoM!$G$4:$AH$4,0))</f>
        <v>0.114876507754174</v>
      </c>
      <c r="AC32" s="11">
        <f>INDEX(MoM!$G$5:$AH$129,MATCH($A32,MoM!$D$5:$D$129,0),MATCH(AC$6,MoM!$G$4:$AH$4,0))</f>
        <v>1.59271899886233</v>
      </c>
      <c r="AD32" s="11">
        <f>INDEX(MoM!$G$5:$AH$129,MATCH($A32,MoM!$D$5:$D$129,0),MATCH(AD$6,MoM!$G$4:$AH$4,0))</f>
        <v>0.465116279069774</v>
      </c>
      <c r="AE32" s="11">
        <f>INDEX(MoM!$G$5:$AH$129,MATCH($A32,MoM!$D$5:$D$129,0),MATCH(AE$6,MoM!$G$4:$AH$4,0))</f>
        <v>0.455321570859426</v>
      </c>
      <c r="AF32" s="11">
        <f>INDEX(MoM!$G$5:$AH$129,MATCH($A32,MoM!$D$5:$D$129,0),MATCH(AF$6,MoM!$G$4:$AH$4,0))</f>
        <v>0.403321470937129</v>
      </c>
    </row>
    <row r="33" spans="1:32">
      <c r="A33" s="9">
        <v>44958</v>
      </c>
      <c r="B33" s="10"/>
      <c r="D33" s="12" t="str">
        <f t="shared" si="1"/>
        <v/>
      </c>
      <c r="E33" s="11">
        <f>INDEX(MoM!$G$5:$AH$129,MATCH($A33,MoM!$D$5:$D$129,0),MATCH(E$6,MoM!$G$4:$AH$4,0))</f>
        <v>0.345224395857304</v>
      </c>
      <c r="F33" s="11">
        <f>INDEX(MoM!$G$5:$AH$129,MATCH($A33,MoM!$D$5:$D$129,0),MATCH(F$6,MoM!$G$4:$AH$4,0))</f>
        <v>-1.42382534409113</v>
      </c>
      <c r="G33" s="11">
        <f>INDEX(MoM!$G$5:$AH$129,MATCH($A33,MoM!$D$5:$D$129,0),MATCH(G$6,MoM!$G$4:$AH$4,0))</f>
        <v>-9.9228791773779</v>
      </c>
      <c r="H33" s="11">
        <f>INDEX(MoM!$G$5:$AH$129,MATCH($A33,MoM!$D$5:$D$129,0),MATCH(H$6,MoM!$G$4:$AH$4,0))</f>
        <v>1.54639175257733</v>
      </c>
      <c r="I33" s="11">
        <f>INDEX(MoM!$G$5:$AH$129,MATCH($A33,MoM!$D$5:$D$129,0),MATCH(I$6,MoM!$G$4:$AH$4,0))</f>
        <v>-4.22008547008546</v>
      </c>
      <c r="J33" s="11">
        <f>INDEX(MoM!$G$5:$AH$129,MATCH($A33,MoM!$D$5:$D$129,0),MATCH(J$6,MoM!$G$4:$AH$4,0))</f>
        <v>7.07517372078332</v>
      </c>
      <c r="K33" s="11">
        <f>INDEX(MoM!$G$5:$AH$129,MATCH($A33,MoM!$D$5:$D$129,0),MATCH(K$6,MoM!$G$4:$AH$4,0))</f>
        <v>-0.77972709551658</v>
      </c>
      <c r="L33" s="11">
        <f>INDEX(MoM!$G$5:$AH$129,MATCH($A33,MoM!$D$5:$D$129,0),MATCH(L$6,MoM!$G$4:$AH$4,0))</f>
        <v>0.0585137507314186</v>
      </c>
      <c r="M33" s="11">
        <f>INDEX(MoM!$G$5:$AH$129,MATCH($A33,MoM!$D$5:$D$129,0),MATCH(M$6,MoM!$G$4:$AH$4,0))</f>
        <v>-0.908340214698592</v>
      </c>
      <c r="N33" s="11">
        <f>INDEX(MoM!$G$5:$AH$129,MATCH($A33,MoM!$D$5:$D$129,0),MATCH(N$6,MoM!$G$4:$AH$4,0))</f>
        <v>0.623800383877151</v>
      </c>
      <c r="O33" s="11">
        <f>INDEX(MoM!$G$5:$AH$129,MATCH($A33,MoM!$D$5:$D$129,0),MATCH(O$6,MoM!$G$4:$AH$4,0))</f>
        <v>0.525087514585768</v>
      </c>
      <c r="P33" s="11">
        <f>INDEX(MoM!$G$5:$AH$129,MATCH($A33,MoM!$D$5:$D$129,0),MATCH(P$6,MoM!$G$4:$AH$4,0))</f>
        <v>0.941422594142265</v>
      </c>
      <c r="Q33" s="11">
        <f>INDEX(MoM!$G$5:$AH$129,MATCH($A33,MoM!$D$5:$D$129,0),MATCH(Q$6,MoM!$G$4:$AH$4,0))</f>
        <v>0.169779286927001</v>
      </c>
      <c r="R33" s="11">
        <f>INDEX(MoM!$G$5:$AH$129,MATCH($A33,MoM!$D$5:$D$129,0),MATCH(R$6,MoM!$G$4:$AH$4,0))</f>
        <v>0.655903128153386</v>
      </c>
      <c r="S33" s="11">
        <f>INDEX(MoM!$G$5:$AH$129,MATCH($A33,MoM!$D$5:$D$129,0),MATCH(S$6,MoM!$G$4:$AH$4,0))</f>
        <v>0.703082747431034</v>
      </c>
      <c r="T33" s="11">
        <f>INDEX(MoM!$G$5:$AH$129,MATCH($A33,MoM!$D$5:$D$129,0),MATCH(T$6,MoM!$G$4:$AH$4,0))</f>
        <v>0.619369369369366</v>
      </c>
      <c r="U33" s="11">
        <f>INDEX(MoM!$G$5:$AH$129,MATCH($A33,MoM!$D$5:$D$129,0),MATCH(U$6,MoM!$G$4:$AH$4,0))</f>
        <v>0.707290533188239</v>
      </c>
      <c r="V33" s="11">
        <f>INDEX(MoM!$G$5:$AH$129,MATCH($A33,MoM!$D$5:$D$129,0),MATCH(V$6,MoM!$G$4:$AH$4,0))</f>
        <v>0.813480534572926</v>
      </c>
      <c r="W33" s="11">
        <f>INDEX(MoM!$G$5:$AH$129,MATCH($A33,MoM!$D$5:$D$129,0),MATCH(W$6,MoM!$G$4:$AH$4,0))</f>
        <v>0.0549450549450518</v>
      </c>
      <c r="X33" s="11">
        <f>INDEX(MoM!$G$5:$AH$129,MATCH($A33,MoM!$D$5:$D$129,0),MATCH(X$6,MoM!$G$4:$AH$4,0))</f>
        <v>0.75187969924811</v>
      </c>
      <c r="Y33" s="11">
        <f>INDEX(MoM!$G$5:$AH$129,MATCH($A33,MoM!$D$5:$D$129,0),MATCH(Y$6,MoM!$G$4:$AH$4,0))</f>
        <v>1.15194733955019</v>
      </c>
      <c r="Z33" s="11">
        <f>INDEX(MoM!$G$5:$AH$129,MATCH($A33,MoM!$D$5:$D$129,0),MATCH(Z$6,MoM!$G$4:$AH$4,0))</f>
        <v>0.366748166259165</v>
      </c>
      <c r="AA33" s="11">
        <f>INDEX(MoM!$G$5:$AH$129,MATCH($A33,MoM!$D$5:$D$129,0),MATCH(AA$6,MoM!$G$4:$AH$4,0))</f>
        <v>0.471976401179948</v>
      </c>
      <c r="AB33" s="11">
        <f>INDEX(MoM!$G$5:$AH$129,MATCH($A33,MoM!$D$5:$D$129,0),MATCH(AB$6,MoM!$G$4:$AH$4,0))</f>
        <v>0.401606425702805</v>
      </c>
      <c r="AC33" s="11">
        <f>INDEX(MoM!$G$5:$AH$129,MATCH($A33,MoM!$D$5:$D$129,0),MATCH(AC$6,MoM!$G$4:$AH$4,0))</f>
        <v>1.3437849944009</v>
      </c>
      <c r="AD33" s="11">
        <f>INDEX(MoM!$G$5:$AH$129,MATCH($A33,MoM!$D$5:$D$129,0),MATCH(AD$6,MoM!$G$4:$AH$4,0))</f>
        <v>0.752314814814805</v>
      </c>
      <c r="AE33" s="11">
        <f>INDEX(MoM!$G$5:$AH$129,MATCH($A33,MoM!$D$5:$D$129,0),MATCH(AE$6,MoM!$G$4:$AH$4,0))</f>
        <v>0.396600566572231</v>
      </c>
      <c r="AF33" s="11">
        <f>INDEX(MoM!$G$5:$AH$129,MATCH($A33,MoM!$D$5:$D$129,0),MATCH(AF$6,MoM!$G$4:$AH$4,0))</f>
        <v>-0.656899810964087</v>
      </c>
    </row>
    <row r="34" spans="1:32">
      <c r="A34" s="9">
        <v>44986</v>
      </c>
      <c r="B34" s="10"/>
      <c r="D34" s="12" t="str">
        <f t="shared" si="1"/>
        <v/>
      </c>
      <c r="E34" s="11">
        <f>INDEX(MoM!$G$5:$AH$129,MATCH($A34,MoM!$D$5:$D$129,0),MATCH(E$6,MoM!$G$4:$AH$4,0))</f>
        <v>0</v>
      </c>
      <c r="F34" s="11">
        <f>INDEX(MoM!$G$5:$AH$129,MATCH($A34,MoM!$D$5:$D$129,0),MATCH(F$6,MoM!$G$4:$AH$4,0))</f>
        <v>0</v>
      </c>
      <c r="G34" s="11">
        <f>INDEX(MoM!$G$5:$AH$129,MATCH($A34,MoM!$D$5:$D$129,0),MATCH(G$6,MoM!$G$4:$AH$4,0))</f>
        <v>0</v>
      </c>
      <c r="H34" s="11">
        <f>INDEX(MoM!$G$5:$AH$129,MATCH($A34,MoM!$D$5:$D$129,0),MATCH(H$6,MoM!$G$4:$AH$4,0))</f>
        <v>0</v>
      </c>
      <c r="I34" s="11">
        <f>INDEX(MoM!$G$5:$AH$129,MATCH($A34,MoM!$D$5:$D$129,0),MATCH(I$6,MoM!$G$4:$AH$4,0))</f>
        <v>-0.0557724484104979</v>
      </c>
      <c r="J34" s="11">
        <f>INDEX(MoM!$G$5:$AH$129,MATCH($A34,MoM!$D$5:$D$129,0),MATCH(J$6,MoM!$G$4:$AH$4,0))</f>
        <v>0</v>
      </c>
      <c r="K34" s="11">
        <f>INDEX(MoM!$G$5:$AH$129,MATCH($A34,MoM!$D$5:$D$129,0),MATCH(K$6,MoM!$G$4:$AH$4,0))</f>
        <v>0.0654878847413378</v>
      </c>
      <c r="L34" s="11">
        <f>INDEX(MoM!$G$5:$AH$129,MATCH($A34,MoM!$D$5:$D$129,0),MATCH(L$6,MoM!$G$4:$AH$4,0))</f>
        <v>0.0584795321637394</v>
      </c>
      <c r="M34" s="11">
        <f>INDEX(MoM!$G$5:$AH$129,MATCH($A34,MoM!$D$5:$D$129,0),MATCH(M$6,MoM!$G$4:$AH$4,0))</f>
        <v>0</v>
      </c>
      <c r="N34" s="11">
        <f>INDEX(MoM!$G$5:$AH$129,MATCH($A34,MoM!$D$5:$D$129,0),MATCH(N$6,MoM!$G$4:$AH$4,0))</f>
        <v>0</v>
      </c>
      <c r="O34" s="11">
        <f>INDEX(MoM!$G$5:$AH$129,MATCH($A34,MoM!$D$5:$D$129,0),MATCH(O$6,MoM!$G$4:$AH$4,0))</f>
        <v>0</v>
      </c>
      <c r="P34" s="11">
        <f>INDEX(MoM!$G$5:$AH$129,MATCH($A34,MoM!$D$5:$D$129,0),MATCH(P$6,MoM!$G$4:$AH$4,0))</f>
        <v>0</v>
      </c>
      <c r="Q34" s="11">
        <f>INDEX(MoM!$G$5:$AH$129,MATCH($A34,MoM!$D$5:$D$129,0),MATCH(Q$6,MoM!$G$4:$AH$4,0))</f>
        <v>0</v>
      </c>
      <c r="R34" s="11">
        <f>INDEX(MoM!$G$5:$AH$129,MATCH($A34,MoM!$D$5:$D$129,0),MATCH(R$6,MoM!$G$4:$AH$4,0))</f>
        <v>0</v>
      </c>
      <c r="S34" s="11">
        <f>INDEX(MoM!$G$5:$AH$129,MATCH($A34,MoM!$D$5:$D$129,0),MATCH(S$6,MoM!$G$4:$AH$4,0))</f>
        <v>-0.0537056928034341</v>
      </c>
      <c r="T34" s="11">
        <f>INDEX(MoM!$G$5:$AH$129,MATCH($A34,MoM!$D$5:$D$129,0),MATCH(T$6,MoM!$G$4:$AH$4,0))</f>
        <v>0</v>
      </c>
      <c r="U34" s="11">
        <f>INDEX(MoM!$G$5:$AH$129,MATCH($A34,MoM!$D$5:$D$129,0),MATCH(U$6,MoM!$G$4:$AH$4,0))</f>
        <v>0</v>
      </c>
      <c r="V34" s="11">
        <f>INDEX(MoM!$G$5:$AH$129,MATCH($A34,MoM!$D$5:$D$129,0),MATCH(V$6,MoM!$G$4:$AH$4,0))</f>
        <v>0</v>
      </c>
      <c r="W34" s="11">
        <f>INDEX(MoM!$G$5:$AH$129,MATCH($A34,MoM!$D$5:$D$129,0),MATCH(W$6,MoM!$G$4:$AH$4,0))</f>
        <v>-0.109829763866001</v>
      </c>
      <c r="X34" s="11">
        <f>INDEX(MoM!$G$5:$AH$129,MATCH($A34,MoM!$D$5:$D$129,0),MATCH(X$6,MoM!$G$4:$AH$4,0))</f>
        <v>0</v>
      </c>
      <c r="Y34" s="11">
        <f>INDEX(MoM!$G$5:$AH$129,MATCH($A34,MoM!$D$5:$D$129,0),MATCH(Y$6,MoM!$G$4:$AH$4,0))</f>
        <v>0</v>
      </c>
      <c r="Z34" s="11">
        <f>INDEX(MoM!$G$5:$AH$129,MATCH($A34,MoM!$D$5:$D$129,0),MATCH(Z$6,MoM!$G$4:$AH$4,0))</f>
        <v>0</v>
      </c>
      <c r="AA34" s="11">
        <f>INDEX(MoM!$G$5:$AH$129,MATCH($A34,MoM!$D$5:$D$129,0),MATCH(AA$6,MoM!$G$4:$AH$4,0))</f>
        <v>0</v>
      </c>
      <c r="AB34" s="11">
        <f>INDEX(MoM!$G$5:$AH$129,MATCH($A34,MoM!$D$5:$D$129,0),MATCH(AB$6,MoM!$G$4:$AH$4,0))</f>
        <v>0</v>
      </c>
      <c r="AC34" s="11">
        <f>INDEX(MoM!$G$5:$AH$129,MATCH($A34,MoM!$D$5:$D$129,0),MATCH(AC$6,MoM!$G$4:$AH$4,0))</f>
        <v>0</v>
      </c>
      <c r="AD34" s="11">
        <f>INDEX(MoM!$G$5:$AH$129,MATCH($A34,MoM!$D$5:$D$129,0),MATCH(AD$6,MoM!$G$4:$AH$4,0))</f>
        <v>0</v>
      </c>
      <c r="AE34" s="11">
        <f>INDEX(MoM!$G$5:$AH$129,MATCH($A34,MoM!$D$5:$D$129,0),MATCH(AE$6,MoM!$G$4:$AH$4,0))</f>
        <v>0</v>
      </c>
      <c r="AF34" s="11">
        <f>INDEX(MoM!$G$5:$AH$129,MATCH($A34,MoM!$D$5:$D$129,0),MATCH(AF$6,MoM!$G$4:$AH$4,0))</f>
        <v>0.00475714761428615</v>
      </c>
    </row>
    <row r="35" spans="1:32">
      <c r="A35" s="9">
        <v>45017</v>
      </c>
      <c r="B35" s="10">
        <v>83.76</v>
      </c>
      <c r="C35" s="6" t="s">
        <v>165</v>
      </c>
      <c r="D35" s="12" t="str">
        <f t="shared" si="1"/>
        <v/>
      </c>
      <c r="E35" s="11">
        <f>INDEX(MoM!$G$5:$AH$129,MATCH($A35,MoM!$D$5:$D$129,0),MATCH(E$6,MoM!$G$4:$AH$4,0))</f>
        <v>-0.344036697247703</v>
      </c>
      <c r="F35" s="11">
        <f>INDEX(MoM!$G$5:$AH$129,MATCH($A35,MoM!$D$5:$D$129,0),MATCH(F$6,MoM!$G$4:$AH$4,0))</f>
        <v>0.770341839191152</v>
      </c>
      <c r="G35" s="11">
        <f>INDEX(MoM!$G$5:$AH$129,MATCH($A35,MoM!$D$5:$D$129,0),MATCH(G$6,MoM!$G$4:$AH$4,0))</f>
        <v>-3.19634703196347</v>
      </c>
      <c r="H35" s="11">
        <f>INDEX(MoM!$G$5:$AH$129,MATCH($A35,MoM!$D$5:$D$129,0),MATCH(H$6,MoM!$G$4:$AH$4,0))</f>
        <v>0.620417371686404</v>
      </c>
      <c r="I35" s="11">
        <f>INDEX(MoM!$G$5:$AH$129,MATCH($A35,MoM!$D$5:$D$129,0),MATCH(I$6,MoM!$G$4:$AH$4,0))</f>
        <v>-2.39955357142856</v>
      </c>
      <c r="J35" s="11">
        <f>INDEX(MoM!$G$5:$AH$129,MATCH($A35,MoM!$D$5:$D$129,0),MATCH(J$6,MoM!$G$4:$AH$4,0))</f>
        <v>4.01179941002951</v>
      </c>
      <c r="K35" s="11">
        <f>INDEX(MoM!$G$5:$AH$129,MATCH($A35,MoM!$D$5:$D$129,0),MATCH(K$6,MoM!$G$4:$AH$4,0))</f>
        <v>1.70157068062827</v>
      </c>
      <c r="L35" s="11">
        <f>INDEX(MoM!$G$5:$AH$129,MATCH($A35,MoM!$D$5:$D$129,0),MATCH(L$6,MoM!$G$4:$AH$4,0))</f>
        <v>1.34424313267096</v>
      </c>
      <c r="M35" s="11">
        <f>INDEX(MoM!$G$5:$AH$129,MATCH($A35,MoM!$D$5:$D$129,0),MATCH(M$6,MoM!$G$4:$AH$4,0))</f>
        <v>1.08333333333333</v>
      </c>
      <c r="N35" s="11">
        <f>INDEX(MoM!$G$5:$AH$129,MATCH($A35,MoM!$D$5:$D$129,0),MATCH(N$6,MoM!$G$4:$AH$4,0))</f>
        <v>1.52598950882214</v>
      </c>
      <c r="O35" s="11">
        <f>INDEX(MoM!$G$5:$AH$129,MATCH($A35,MoM!$D$5:$D$129,0),MATCH(O$6,MoM!$G$4:$AH$4,0))</f>
        <v>0.348229831688911</v>
      </c>
      <c r="P35" s="11">
        <f>INDEX(MoM!$G$5:$AH$129,MATCH($A35,MoM!$D$5:$D$129,0),MATCH(P$6,MoM!$G$4:$AH$4,0))</f>
        <v>0.259067357512953</v>
      </c>
      <c r="Q35" s="11">
        <f>INDEX(MoM!$G$5:$AH$129,MATCH($A35,MoM!$D$5:$D$129,0),MATCH(Q$6,MoM!$G$4:$AH$4,0))</f>
        <v>0.50847457627119</v>
      </c>
      <c r="R35" s="11">
        <f>INDEX(MoM!$G$5:$AH$129,MATCH($A35,MoM!$D$5:$D$129,0),MATCH(R$6,MoM!$G$4:$AH$4,0))</f>
        <v>0.551378446115285</v>
      </c>
      <c r="S35" s="11">
        <f>INDEX(MoM!$G$5:$AH$129,MATCH($A35,MoM!$D$5:$D$129,0),MATCH(S$6,MoM!$G$4:$AH$4,0))</f>
        <v>0.429876410531978</v>
      </c>
      <c r="T35" s="11">
        <f>INDEX(MoM!$G$5:$AH$129,MATCH($A35,MoM!$D$5:$D$129,0),MATCH(T$6,MoM!$G$4:$AH$4,0))</f>
        <v>0.279798545047566</v>
      </c>
      <c r="U35" s="11">
        <f>INDEX(MoM!$G$5:$AH$129,MATCH($A35,MoM!$D$5:$D$129,0),MATCH(U$6,MoM!$G$4:$AH$4,0))</f>
        <v>0.324149108589948</v>
      </c>
      <c r="V35" s="11">
        <f>INDEX(MoM!$G$5:$AH$129,MATCH($A35,MoM!$D$5:$D$129,0),MATCH(V$6,MoM!$G$4:$AH$4,0))</f>
        <v>0.979827089337169</v>
      </c>
      <c r="W35" s="11">
        <f>INDEX(MoM!$G$5:$AH$129,MATCH($A35,MoM!$D$5:$D$129,0),MATCH(W$6,MoM!$G$4:$AH$4,0))</f>
        <v>-0.10995052226499</v>
      </c>
      <c r="X35" s="11">
        <f>INDEX(MoM!$G$5:$AH$129,MATCH($A35,MoM!$D$5:$D$129,0),MATCH(X$6,MoM!$G$4:$AH$4,0))</f>
        <v>0.229621125143516</v>
      </c>
      <c r="Y35" s="11">
        <f>INDEX(MoM!$G$5:$AH$129,MATCH($A35,MoM!$D$5:$D$129,0),MATCH(Y$6,MoM!$G$4:$AH$4,0))</f>
        <v>0.325379609544465</v>
      </c>
      <c r="Z35" s="11">
        <f>INDEX(MoM!$G$5:$AH$129,MATCH($A35,MoM!$D$5:$D$129,0),MATCH(Z$6,MoM!$G$4:$AH$4,0))</f>
        <v>0.182704019488436</v>
      </c>
      <c r="AA35" s="11">
        <f>INDEX(MoM!$G$5:$AH$129,MATCH($A35,MoM!$D$5:$D$129,0),MATCH(AA$6,MoM!$G$4:$AH$4,0))</f>
        <v>0.234879624192588</v>
      </c>
      <c r="AB35" s="11">
        <f>INDEX(MoM!$G$5:$AH$129,MATCH($A35,MoM!$D$5:$D$129,0),MATCH(AB$6,MoM!$G$4:$AH$4,0))</f>
        <v>0.800000000000003</v>
      </c>
      <c r="AC35" s="11">
        <f>INDEX(MoM!$G$5:$AH$129,MATCH($A35,MoM!$D$5:$D$129,0),MATCH(AC$6,MoM!$G$4:$AH$4,0))</f>
        <v>1.65745856353591</v>
      </c>
      <c r="AD35" s="11">
        <f>INDEX(MoM!$G$5:$AH$129,MATCH($A35,MoM!$D$5:$D$129,0),MATCH(AD$6,MoM!$G$4:$AH$4,0))</f>
        <v>0.516944284893743</v>
      </c>
      <c r="AE35" s="11">
        <f>INDEX(MoM!$G$5:$AH$129,MATCH($A35,MoM!$D$5:$D$129,0),MATCH(AE$6,MoM!$G$4:$AH$4,0))</f>
        <v>0.507900677200906</v>
      </c>
      <c r="AF35" s="11">
        <f>INDEX(MoM!$G$5:$AH$129,MATCH($A35,MoM!$D$5:$D$129,0),MATCH(AF$6,MoM!$G$4:$AH$4,0))</f>
        <v>0.451907525449551</v>
      </c>
    </row>
    <row r="36" spans="1:32">
      <c r="A36" s="9">
        <v>45047</v>
      </c>
      <c r="B36" s="10">
        <v>74.98</v>
      </c>
      <c r="C36" s="6" t="s">
        <v>166</v>
      </c>
      <c r="D36" s="12">
        <f t="shared" si="1"/>
        <v>-10.4823304680038</v>
      </c>
      <c r="E36" s="11">
        <f>INDEX(MoM!$G$5:$AH$129,MATCH($A36,MoM!$D$5:$D$129,0),MATCH(E$6,MoM!$G$4:$AH$4,0))</f>
        <v>-0.0575373993095643</v>
      </c>
      <c r="F36" s="11">
        <f>INDEX(MoM!$G$5:$AH$129,MATCH($A36,MoM!$D$5:$D$129,0),MATCH(F$6,MoM!$G$4:$AH$4,0))</f>
        <v>2.38891543239369</v>
      </c>
      <c r="G36" s="11">
        <f>INDEX(MoM!$G$5:$AH$129,MATCH($A36,MoM!$D$5:$D$129,0),MATCH(G$6,MoM!$G$4:$AH$4,0))</f>
        <v>2.12264150943396</v>
      </c>
      <c r="H36" s="11">
        <f>INDEX(MoM!$G$5:$AH$129,MATCH($A36,MoM!$D$5:$D$129,0),MATCH(H$6,MoM!$G$4:$AH$4,0))</f>
        <v>0.616591928251118</v>
      </c>
      <c r="I36" s="11">
        <f>INDEX(MoM!$G$5:$AH$129,MATCH($A36,MoM!$D$5:$D$129,0),MATCH(I$6,MoM!$G$4:$AH$4,0))</f>
        <v>-2.80160091480846</v>
      </c>
      <c r="J36" s="11">
        <f>INDEX(MoM!$G$5:$AH$129,MATCH($A36,MoM!$D$5:$D$129,0),MATCH(J$6,MoM!$G$4:$AH$4,0))</f>
        <v>-2.32558139534885</v>
      </c>
      <c r="K36" s="11">
        <f>INDEX(MoM!$G$5:$AH$129,MATCH($A36,MoM!$D$5:$D$129,0),MATCH(K$6,MoM!$G$4:$AH$4,0))</f>
        <v>3.6036036036036</v>
      </c>
      <c r="L36" s="11">
        <f>INDEX(MoM!$G$5:$AH$129,MATCH($A36,MoM!$D$5:$D$129,0),MATCH(L$6,MoM!$G$4:$AH$4,0))</f>
        <v>1.26874279123413</v>
      </c>
      <c r="M36" s="11">
        <f>INDEX(MoM!$G$5:$AH$129,MATCH($A36,MoM!$D$5:$D$129,0),MATCH(M$6,MoM!$G$4:$AH$4,0))</f>
        <v>1.15416323165705</v>
      </c>
      <c r="N36" s="11">
        <f>INDEX(MoM!$G$5:$AH$129,MATCH($A36,MoM!$D$5:$D$129,0),MATCH(N$6,MoM!$G$4:$AH$4,0))</f>
        <v>2.39549084077031</v>
      </c>
      <c r="O36" s="11">
        <f>INDEX(MoM!$G$5:$AH$129,MATCH($A36,MoM!$D$5:$D$129,0),MATCH(O$6,MoM!$G$4:$AH$4,0))</f>
        <v>0.289184499710816</v>
      </c>
      <c r="P36" s="11">
        <f>INDEX(MoM!$G$5:$AH$129,MATCH($A36,MoM!$D$5:$D$129,0),MATCH(P$6,MoM!$G$4:$AH$4,0))</f>
        <v>0.361757105943147</v>
      </c>
      <c r="Q36" s="11">
        <f>INDEX(MoM!$G$5:$AH$129,MATCH($A36,MoM!$D$5:$D$129,0),MATCH(Q$6,MoM!$G$4:$AH$4,0))</f>
        <v>0.674536256323771</v>
      </c>
      <c r="R36" s="11">
        <f>INDEX(MoM!$G$5:$AH$129,MATCH($A36,MoM!$D$5:$D$129,0),MATCH(R$6,MoM!$G$4:$AH$4,0))</f>
        <v>0.199401794616154</v>
      </c>
      <c r="S36" s="11">
        <f>INDEX(MoM!$G$5:$AH$129,MATCH($A36,MoM!$D$5:$D$129,0),MATCH(S$6,MoM!$G$4:$AH$4,0))</f>
        <v>0.214018191546284</v>
      </c>
      <c r="T36" s="11">
        <f>INDEX(MoM!$G$5:$AH$129,MATCH($A36,MoM!$D$5:$D$129,0),MATCH(T$6,MoM!$G$4:$AH$4,0))</f>
        <v>0.279017857142857</v>
      </c>
      <c r="U36" s="11">
        <f>INDEX(MoM!$G$5:$AH$129,MATCH($A36,MoM!$D$5:$D$129,0),MATCH(U$6,MoM!$G$4:$AH$4,0))</f>
        <v>0.269251480883145</v>
      </c>
      <c r="V36" s="11">
        <f>INDEX(MoM!$G$5:$AH$129,MATCH($A36,MoM!$D$5:$D$129,0),MATCH(V$6,MoM!$G$4:$AH$4,0))</f>
        <v>0.228310502283108</v>
      </c>
      <c r="W36" s="11">
        <f>INDEX(MoM!$G$5:$AH$129,MATCH($A36,MoM!$D$5:$D$129,0),MATCH(W$6,MoM!$G$4:$AH$4,0))</f>
        <v>0.605393505778769</v>
      </c>
      <c r="X36" s="11">
        <f>INDEX(MoM!$G$5:$AH$129,MATCH($A36,MoM!$D$5:$D$129,0),MATCH(X$6,MoM!$G$4:$AH$4,0))</f>
        <v>0.343642611683846</v>
      </c>
      <c r="Y36" s="11">
        <f>INDEX(MoM!$G$5:$AH$129,MATCH($A36,MoM!$D$5:$D$129,0),MATCH(Y$6,MoM!$G$4:$AH$4,0))</f>
        <v>0.378378378378372</v>
      </c>
      <c r="Z36" s="11">
        <f>INDEX(MoM!$G$5:$AH$129,MATCH($A36,MoM!$D$5:$D$129,0),MATCH(Z$6,MoM!$G$4:$AH$4,0))</f>
        <v>0.1823708206687</v>
      </c>
      <c r="AA36" s="11">
        <f>INDEX(MoM!$G$5:$AH$129,MATCH($A36,MoM!$D$5:$D$129,0),MATCH(AA$6,MoM!$G$4:$AH$4,0))</f>
        <v>0.292911540714704</v>
      </c>
      <c r="AB36" s="11">
        <f>INDEX(MoM!$G$5:$AH$129,MATCH($A36,MoM!$D$5:$D$129,0),MATCH(AB$6,MoM!$G$4:$AH$4,0))</f>
        <v>0.39682539682539</v>
      </c>
      <c r="AC36" s="11">
        <f>INDEX(MoM!$G$5:$AH$129,MATCH($A36,MoM!$D$5:$D$129,0),MATCH(AC$6,MoM!$G$4:$AH$4,0))</f>
        <v>0.652173913043472</v>
      </c>
      <c r="AD36" s="11">
        <f>INDEX(MoM!$G$5:$AH$129,MATCH($A36,MoM!$D$5:$D$129,0),MATCH(AD$6,MoM!$G$4:$AH$4,0))</f>
        <v>0.399999999999994</v>
      </c>
      <c r="AE36" s="11">
        <f>INDEX(MoM!$G$5:$AH$129,MATCH($A36,MoM!$D$5:$D$129,0),MATCH(AE$6,MoM!$G$4:$AH$4,0))</f>
        <v>0.561482313307131</v>
      </c>
      <c r="AF36" s="11">
        <f>INDEX(MoM!$G$5:$AH$129,MATCH($A36,MoM!$D$5:$D$129,0),MATCH(AF$6,MoM!$G$4:$AH$4,0))</f>
        <v>0.762418904200403</v>
      </c>
    </row>
    <row r="39" spans="1:32">
      <c r="A39" s="5" t="s">
        <v>167</v>
      </c>
    </row>
    <row r="40" spans="1:32">
      <c r="A40" s="8" t="s">
        <v>168</v>
      </c>
      <c r="B40" s="8" t="s">
        <v>140</v>
      </c>
      <c r="C40" s="8" t="s">
        <v>169</v>
      </c>
      <c r="D40" s="8" t="s">
        <v>170</v>
      </c>
    </row>
    <row r="41" spans="1:32">
      <c r="A41" s="6">
        <v>1</v>
      </c>
      <c r="B41" s="6" t="str">
        <f t="shared" ref="B41:B68" si="2">INDEX($E$6:$AF$6,A41)</f>
        <v>Cereals and products</v>
      </c>
      <c r="C41" s="12" t="str">
        <f t="shared" ref="C41:C68" si="3">INDEX($E$5:$AF$5,A41)</f>
        <v>fill oil data</v>
      </c>
      <c r="D41" s="12" t="str">
        <f t="shared" ref="D41:D68" si="4">IF(ISNUMBER(C41),ABS(C41),"")</f>
        <v/>
      </c>
    </row>
    <row r="42" spans="1:32">
      <c r="A42" s="6">
        <v>2</v>
      </c>
      <c r="B42" s="6" t="str">
        <f t="shared" si="2"/>
        <v>Meat and fish</v>
      </c>
      <c r="C42" s="12" t="str">
        <f t="shared" si="3"/>
        <v>fill oil data</v>
      </c>
      <c r="D42" s="12" t="str">
        <f t="shared" si="4"/>
        <v/>
      </c>
    </row>
    <row r="43" spans="1:32">
      <c r="A43" s="6">
        <v>3</v>
      </c>
      <c r="B43" s="6" t="str">
        <f t="shared" si="2"/>
        <v>Egg</v>
      </c>
      <c r="C43" s="12" t="str">
        <f t="shared" si="3"/>
        <v>fill oil data</v>
      </c>
      <c r="D43" s="12" t="str">
        <f t="shared" si="4"/>
        <v/>
      </c>
    </row>
    <row r="44" spans="1:32">
      <c r="A44" s="6">
        <v>4</v>
      </c>
      <c r="B44" s="6" t="str">
        <f t="shared" si="2"/>
        <v>Milk and products</v>
      </c>
      <c r="C44" s="12" t="str">
        <f t="shared" si="3"/>
        <v>fill oil data</v>
      </c>
      <c r="D44" s="12" t="str">
        <f t="shared" si="4"/>
        <v/>
      </c>
    </row>
    <row r="45" spans="1:32">
      <c r="A45" s="6">
        <v>5</v>
      </c>
      <c r="B45" s="6" t="str">
        <f t="shared" si="2"/>
        <v>Oils and fats</v>
      </c>
      <c r="C45" s="12" t="str">
        <f t="shared" si="3"/>
        <v>fill oil data</v>
      </c>
      <c r="D45" s="12" t="str">
        <f t="shared" si="4"/>
        <v/>
      </c>
    </row>
    <row r="46" spans="1:32">
      <c r="A46" s="6">
        <v>6</v>
      </c>
      <c r="B46" s="6" t="str">
        <f t="shared" si="2"/>
        <v>Fruits</v>
      </c>
      <c r="C46" s="12" t="str">
        <f t="shared" si="3"/>
        <v>fill oil data</v>
      </c>
      <c r="D46" s="12" t="str">
        <f t="shared" si="4"/>
        <v/>
      </c>
    </row>
    <row r="47" spans="1:32">
      <c r="A47" s="6">
        <v>7</v>
      </c>
      <c r="B47" s="6" t="str">
        <f t="shared" si="2"/>
        <v>Vegetables</v>
      </c>
      <c r="C47" s="12" t="str">
        <f t="shared" si="3"/>
        <v>fill oil data</v>
      </c>
      <c r="D47" s="12" t="str">
        <f t="shared" si="4"/>
        <v/>
      </c>
    </row>
    <row r="48" spans="1:32">
      <c r="A48" s="6">
        <v>8</v>
      </c>
      <c r="B48" s="6" t="str">
        <f t="shared" si="2"/>
        <v>Pulses and products</v>
      </c>
      <c r="C48" s="12" t="str">
        <f t="shared" si="3"/>
        <v>fill oil data</v>
      </c>
      <c r="D48" s="12" t="str">
        <f t="shared" si="4"/>
        <v/>
      </c>
    </row>
    <row r="49" spans="1:4">
      <c r="A49" s="6">
        <v>9</v>
      </c>
      <c r="B49" s="6" t="str">
        <f t="shared" si="2"/>
        <v>Sugar and Confectionery</v>
      </c>
      <c r="C49" s="12" t="str">
        <f t="shared" si="3"/>
        <v>fill oil data</v>
      </c>
      <c r="D49" s="12" t="str">
        <f t="shared" si="4"/>
        <v/>
      </c>
    </row>
    <row r="50" spans="1:4">
      <c r="A50" s="6">
        <v>10</v>
      </c>
      <c r="B50" s="6" t="str">
        <f t="shared" si="2"/>
        <v>Spices</v>
      </c>
      <c r="C50" s="12" t="str">
        <f t="shared" si="3"/>
        <v>fill oil data</v>
      </c>
      <c r="D50" s="12" t="str">
        <f t="shared" si="4"/>
        <v/>
      </c>
    </row>
    <row r="51" spans="1:4">
      <c r="A51" s="6">
        <v>11</v>
      </c>
      <c r="B51" s="6" t="str">
        <f t="shared" si="2"/>
        <v>Non-alcoholic beverages</v>
      </c>
      <c r="C51" s="12" t="str">
        <f t="shared" si="3"/>
        <v>fill oil data</v>
      </c>
      <c r="D51" s="12" t="str">
        <f t="shared" si="4"/>
        <v/>
      </c>
    </row>
    <row r="52" spans="1:4">
      <c r="A52" s="6">
        <v>12</v>
      </c>
      <c r="B52" s="6" t="str">
        <f t="shared" si="2"/>
        <v>Prepared meals, snacks, sweets etc.</v>
      </c>
      <c r="C52" s="12" t="str">
        <f t="shared" si="3"/>
        <v>fill oil data</v>
      </c>
      <c r="D52" s="12" t="str">
        <f t="shared" si="4"/>
        <v/>
      </c>
    </row>
    <row r="53" spans="1:4">
      <c r="A53" s="6">
        <v>13</v>
      </c>
      <c r="B53" s="6" t="str">
        <f t="shared" si="2"/>
        <v>Food and beverages</v>
      </c>
      <c r="C53" s="12" t="str">
        <f t="shared" si="3"/>
        <v>fill oil data</v>
      </c>
      <c r="D53" s="12" t="str">
        <f t="shared" si="4"/>
        <v/>
      </c>
    </row>
    <row r="54" spans="1:4">
      <c r="A54" s="6">
        <v>14</v>
      </c>
      <c r="B54" s="6" t="str">
        <f t="shared" si="2"/>
        <v>Pan, tobacco and intoxicants</v>
      </c>
      <c r="C54" s="12" t="str">
        <f t="shared" si="3"/>
        <v>fill oil data</v>
      </c>
      <c r="D54" s="12" t="str">
        <f t="shared" si="4"/>
        <v/>
      </c>
    </row>
    <row r="55" spans="1:4">
      <c r="A55" s="6">
        <v>15</v>
      </c>
      <c r="B55" s="6" t="str">
        <f t="shared" si="2"/>
        <v>Clothing</v>
      </c>
      <c r="C55" s="12" t="str">
        <f t="shared" si="3"/>
        <v>fill oil data</v>
      </c>
      <c r="D55" s="12" t="str">
        <f t="shared" si="4"/>
        <v/>
      </c>
    </row>
    <row r="56" spans="1:4">
      <c r="A56" s="6">
        <v>16</v>
      </c>
      <c r="B56" s="6" t="str">
        <f t="shared" si="2"/>
        <v>Footwear</v>
      </c>
      <c r="C56" s="12" t="str">
        <f t="shared" si="3"/>
        <v>fill oil data</v>
      </c>
      <c r="D56" s="12" t="str">
        <f t="shared" si="4"/>
        <v/>
      </c>
    </row>
    <row r="57" spans="1:4">
      <c r="A57" s="6">
        <v>17</v>
      </c>
      <c r="B57" s="6" t="str">
        <f t="shared" si="2"/>
        <v>Clothing and footwear</v>
      </c>
      <c r="C57" s="12" t="str">
        <f t="shared" si="3"/>
        <v>fill oil data</v>
      </c>
      <c r="D57" s="12" t="str">
        <f t="shared" si="4"/>
        <v/>
      </c>
    </row>
    <row r="58" spans="1:4">
      <c r="A58" s="6">
        <v>18</v>
      </c>
      <c r="B58" s="6" t="str">
        <f t="shared" si="2"/>
        <v>Housing</v>
      </c>
      <c r="C58" s="12" t="str">
        <f t="shared" si="3"/>
        <v>fill oil data</v>
      </c>
      <c r="D58" s="12" t="str">
        <f t="shared" si="4"/>
        <v/>
      </c>
    </row>
    <row r="59" spans="1:4">
      <c r="A59" s="6">
        <v>19</v>
      </c>
      <c r="B59" s="6" t="str">
        <f t="shared" si="2"/>
        <v>Fuel and light</v>
      </c>
      <c r="C59" s="12" t="str">
        <f t="shared" si="3"/>
        <v>fill oil data</v>
      </c>
      <c r="D59" s="12" t="str">
        <f t="shared" si="4"/>
        <v/>
      </c>
    </row>
    <row r="60" spans="1:4">
      <c r="A60" s="6">
        <v>20</v>
      </c>
      <c r="B60" s="6" t="str">
        <f t="shared" si="2"/>
        <v>Household goods and services</v>
      </c>
      <c r="C60" s="12" t="str">
        <f t="shared" si="3"/>
        <v>fill oil data</v>
      </c>
      <c r="D60" s="12" t="str">
        <f t="shared" si="4"/>
        <v/>
      </c>
    </row>
    <row r="61" spans="1:4">
      <c r="A61" s="6">
        <v>21</v>
      </c>
      <c r="B61" s="6" t="str">
        <f t="shared" si="2"/>
        <v>Health</v>
      </c>
      <c r="C61" s="12" t="str">
        <f t="shared" si="3"/>
        <v>fill oil data</v>
      </c>
      <c r="D61" s="12" t="str">
        <f t="shared" si="4"/>
        <v/>
      </c>
    </row>
    <row r="62" spans="1:4">
      <c r="A62" s="6">
        <v>22</v>
      </c>
      <c r="B62" s="6" t="str">
        <f t="shared" si="2"/>
        <v>Transport and communication</v>
      </c>
      <c r="C62" s="12" t="str">
        <f t="shared" si="3"/>
        <v>fill oil data</v>
      </c>
      <c r="D62" s="12" t="str">
        <f t="shared" si="4"/>
        <v/>
      </c>
    </row>
    <row r="63" spans="1:4">
      <c r="A63" s="6">
        <v>23</v>
      </c>
      <c r="B63" s="6" t="str">
        <f t="shared" si="2"/>
        <v>Recreation and amusement</v>
      </c>
      <c r="C63" s="12" t="str">
        <f t="shared" si="3"/>
        <v>fill oil data</v>
      </c>
      <c r="D63" s="12" t="str">
        <f t="shared" si="4"/>
        <v/>
      </c>
    </row>
    <row r="64" spans="1:4">
      <c r="A64" s="6">
        <v>24</v>
      </c>
      <c r="B64" s="6" t="str">
        <f t="shared" si="2"/>
        <v>Education</v>
      </c>
      <c r="C64" s="12" t="str">
        <f t="shared" si="3"/>
        <v>fill oil data</v>
      </c>
      <c r="D64" s="12" t="str">
        <f t="shared" si="4"/>
        <v/>
      </c>
    </row>
    <row r="65" spans="1:4">
      <c r="A65" s="6">
        <v>25</v>
      </c>
      <c r="B65" s="6" t="str">
        <f t="shared" si="2"/>
        <v>Personal care and effects</v>
      </c>
      <c r="C65" s="12" t="str">
        <f t="shared" si="3"/>
        <v>fill oil data</v>
      </c>
      <c r="D65" s="12" t="str">
        <f t="shared" si="4"/>
        <v/>
      </c>
    </row>
    <row r="66" spans="1:4">
      <c r="A66" s="6">
        <v>26</v>
      </c>
      <c r="B66" s="6" t="str">
        <f t="shared" si="2"/>
        <v>Miscellaneous</v>
      </c>
      <c r="C66" s="12" t="str">
        <f t="shared" si="3"/>
        <v>fill oil data</v>
      </c>
      <c r="D66" s="12" t="str">
        <f t="shared" si="4"/>
        <v/>
      </c>
    </row>
    <row r="67" spans="1:4">
      <c r="A67" s="6">
        <v>27</v>
      </c>
      <c r="B67" s="6" t="str">
        <f t="shared" si="2"/>
        <v>General index</v>
      </c>
      <c r="C67" s="12" t="str">
        <f t="shared" si="3"/>
        <v>fill oil data</v>
      </c>
      <c r="D67" s="12" t="str">
        <f t="shared" si="4"/>
        <v/>
      </c>
    </row>
    <row r="68" spans="1:4">
      <c r="A68" s="6">
        <v>28</v>
      </c>
      <c r="B68" s="6" t="str">
        <f t="shared" si="2"/>
        <v>Food bucket (sum of 12 food items)</v>
      </c>
      <c r="C68" s="12" t="str">
        <f t="shared" si="3"/>
        <v>fill oil data</v>
      </c>
      <c r="D68" s="12" t="str">
        <f t="shared" si="4"/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Data</vt:lpstr>
      <vt:lpstr>RU_Raw</vt:lpstr>
      <vt:lpstr>RU_Clean</vt:lpstr>
      <vt:lpstr>MoM</vt:lpstr>
      <vt:lpstr>YoY</vt:lpstr>
      <vt:lpstr>Q1</vt:lpstr>
      <vt:lpstr>Q2</vt:lpstr>
      <vt:lpstr>Q3</vt:lpstr>
      <vt:lpstr>Q4</vt:lpstr>
      <vt:lpstr>Q5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</cp:lastModifiedBy>
  <cp:revision>1</cp:revision>
  <dcterms:created xsi:type="dcterms:W3CDTF">2026-10-07T04:01:00Z</dcterms:created>
  <dcterms:modified xsi:type="dcterms:W3CDTF">2026-10-08T20:33:43Z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4C9FFE6963024D3580B6BF15255D9FD4_12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